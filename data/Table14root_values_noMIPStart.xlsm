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User\Documents\000_Passau\Research\Code\StochPRP_Git\data\"/>
    </mc:Choice>
  </mc:AlternateContent>
  <xr:revisionPtr revIDLastSave="0" documentId="13_ncr:1_{A7E1C44F-76EF-4155-A690-64BAD48F8F03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Tabelle2" sheetId="3" r:id="rId1"/>
    <sheet name="Tabelle5" sheetId="7" r:id="rId2"/>
    <sheet name="benders_bc_ParetoOpt_DelayedSol" sheetId="1" r:id="rId3"/>
  </sheets>
  <calcPr calcId="191029"/>
  <pivotCaches>
    <pivotCache cacheId="1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K127" i="1" l="1"/>
  <c r="N127" i="1" s="1"/>
  <c r="I127" i="1"/>
  <c r="B127" i="1" a="1"/>
  <c r="B127" i="1" s="1"/>
  <c r="N126" i="1"/>
  <c r="K126" i="1"/>
  <c r="I126" i="1"/>
  <c r="B126" i="1" a="1"/>
  <c r="B126" i="1" s="1"/>
  <c r="K125" i="1"/>
  <c r="N125" i="1" s="1"/>
  <c r="I125" i="1"/>
  <c r="B125" i="1" a="1"/>
  <c r="B125" i="1" s="1"/>
  <c r="K124" i="1"/>
  <c r="N124" i="1" s="1"/>
  <c r="I124" i="1"/>
  <c r="B124" i="1" a="1"/>
  <c r="B124" i="1" s="1"/>
  <c r="K123" i="1"/>
  <c r="N123" i="1" s="1"/>
  <c r="I123" i="1"/>
  <c r="B123" i="1" a="1"/>
  <c r="B123" i="1" s="1"/>
  <c r="N122" i="1"/>
  <c r="K122" i="1"/>
  <c r="I122" i="1"/>
  <c r="B122" i="1" a="1"/>
  <c r="B122" i="1" s="1"/>
  <c r="K121" i="1"/>
  <c r="N121" i="1" s="1"/>
  <c r="I121" i="1"/>
  <c r="B121" i="1" a="1"/>
  <c r="B121" i="1" s="1"/>
  <c r="K120" i="1"/>
  <c r="N120" i="1" s="1"/>
  <c r="I120" i="1"/>
  <c r="B120" i="1" a="1"/>
  <c r="B120" i="1" s="1"/>
  <c r="K119" i="1"/>
  <c r="N119" i="1" s="1"/>
  <c r="I119" i="1"/>
  <c r="B119" i="1" a="1"/>
  <c r="B119" i="1" s="1"/>
  <c r="N118" i="1"/>
  <c r="K118" i="1"/>
  <c r="I118" i="1"/>
  <c r="B118" i="1" a="1"/>
  <c r="B118" i="1" s="1"/>
  <c r="K117" i="1"/>
  <c r="N117" i="1" s="1"/>
  <c r="I117" i="1"/>
  <c r="B117" i="1" a="1"/>
  <c r="B117" i="1" s="1"/>
  <c r="K116" i="1"/>
  <c r="N116" i="1" s="1"/>
  <c r="I116" i="1"/>
  <c r="B116" i="1" a="1"/>
  <c r="B116" i="1" s="1"/>
  <c r="K115" i="1"/>
  <c r="N115" i="1" s="1"/>
  <c r="I115" i="1"/>
  <c r="B115" i="1" a="1"/>
  <c r="B115" i="1" s="1"/>
  <c r="N114" i="1"/>
  <c r="K114" i="1"/>
  <c r="I114" i="1"/>
  <c r="B114" i="1" a="1"/>
  <c r="B114" i="1" s="1"/>
  <c r="K113" i="1"/>
  <c r="N113" i="1" s="1"/>
  <c r="I113" i="1"/>
  <c r="B113" i="1" a="1"/>
  <c r="B113" i="1" s="1"/>
  <c r="K112" i="1"/>
  <c r="N112" i="1" s="1"/>
  <c r="I112" i="1"/>
  <c r="B112" i="1" a="1"/>
  <c r="B112" i="1" s="1"/>
  <c r="K111" i="1"/>
  <c r="N111" i="1" s="1"/>
  <c r="I111" i="1"/>
  <c r="B111" i="1" a="1"/>
  <c r="B111" i="1" s="1"/>
  <c r="N110" i="1"/>
  <c r="K110" i="1"/>
  <c r="I110" i="1"/>
  <c r="B110" i="1" a="1"/>
  <c r="B110" i="1" s="1"/>
  <c r="K109" i="1"/>
  <c r="N109" i="1" s="1"/>
  <c r="I109" i="1"/>
  <c r="B109" i="1" a="1"/>
  <c r="B109" i="1" s="1"/>
  <c r="K108" i="1"/>
  <c r="N108" i="1" s="1"/>
  <c r="I108" i="1"/>
  <c r="B108" i="1" a="1"/>
  <c r="B108" i="1" s="1"/>
  <c r="K107" i="1"/>
  <c r="N107" i="1" s="1"/>
  <c r="I107" i="1"/>
  <c r="B107" i="1" a="1"/>
  <c r="B107" i="1" s="1"/>
  <c r="N106" i="1"/>
  <c r="K106" i="1"/>
  <c r="I106" i="1"/>
  <c r="B106" i="1" a="1"/>
  <c r="B106" i="1" s="1"/>
  <c r="K105" i="1"/>
  <c r="N105" i="1" s="1"/>
  <c r="I105" i="1"/>
  <c r="B105" i="1" a="1"/>
  <c r="B105" i="1" s="1"/>
  <c r="K104" i="1"/>
  <c r="N104" i="1" s="1"/>
  <c r="I104" i="1"/>
  <c r="B104" i="1" a="1"/>
  <c r="B104" i="1" s="1"/>
  <c r="K103" i="1"/>
  <c r="N103" i="1" s="1"/>
  <c r="I103" i="1"/>
  <c r="B103" i="1" a="1"/>
  <c r="B103" i="1" s="1"/>
  <c r="N102" i="1"/>
  <c r="K102" i="1"/>
  <c r="I102" i="1"/>
  <c r="B102" i="1" a="1"/>
  <c r="B102" i="1" s="1"/>
  <c r="K101" i="1"/>
  <c r="N101" i="1" s="1"/>
  <c r="I101" i="1"/>
  <c r="B101" i="1" a="1"/>
  <c r="B101" i="1" s="1"/>
  <c r="K100" i="1"/>
  <c r="N100" i="1" s="1"/>
  <c r="I100" i="1"/>
  <c r="B100" i="1" a="1"/>
  <c r="B100" i="1" s="1"/>
  <c r="K99" i="1"/>
  <c r="N99" i="1" s="1"/>
  <c r="I99" i="1"/>
  <c r="B99" i="1" a="1"/>
  <c r="B99" i="1" s="1"/>
  <c r="N98" i="1"/>
  <c r="K98" i="1"/>
  <c r="I98" i="1"/>
  <c r="B98" i="1" a="1"/>
  <c r="B98" i="1" s="1"/>
  <c r="K97" i="1"/>
  <c r="N97" i="1" s="1"/>
  <c r="I97" i="1"/>
  <c r="B97" i="1" a="1"/>
  <c r="B97" i="1" s="1"/>
  <c r="K96" i="1"/>
  <c r="N96" i="1" s="1"/>
  <c r="I96" i="1"/>
  <c r="B96" i="1" a="1"/>
  <c r="B96" i="1" s="1"/>
  <c r="K95" i="1"/>
  <c r="N95" i="1" s="1"/>
  <c r="I95" i="1"/>
  <c r="B95" i="1" a="1"/>
  <c r="B95" i="1" s="1"/>
  <c r="N94" i="1"/>
  <c r="K94" i="1"/>
  <c r="I94" i="1"/>
  <c r="B94" i="1" a="1"/>
  <c r="B94" i="1" s="1"/>
  <c r="K93" i="1"/>
  <c r="N93" i="1" s="1"/>
  <c r="I93" i="1"/>
  <c r="B93" i="1" a="1"/>
  <c r="B93" i="1" s="1"/>
  <c r="K92" i="1"/>
  <c r="N92" i="1" s="1"/>
  <c r="I92" i="1"/>
  <c r="B92" i="1" a="1"/>
  <c r="B92" i="1" s="1"/>
  <c r="K91" i="1"/>
  <c r="N91" i="1" s="1"/>
  <c r="I91" i="1"/>
  <c r="B91" i="1" a="1"/>
  <c r="B91" i="1" s="1"/>
  <c r="N90" i="1"/>
  <c r="K90" i="1"/>
  <c r="I90" i="1"/>
  <c r="B90" i="1" a="1"/>
  <c r="B90" i="1" s="1"/>
  <c r="K89" i="1"/>
  <c r="N89" i="1" s="1"/>
  <c r="I89" i="1"/>
  <c r="B89" i="1" a="1"/>
  <c r="B89" i="1" s="1"/>
  <c r="K88" i="1"/>
  <c r="N88" i="1" s="1"/>
  <c r="I88" i="1"/>
  <c r="B88" i="1" a="1"/>
  <c r="B88" i="1" s="1"/>
  <c r="K87" i="1"/>
  <c r="N87" i="1" s="1"/>
  <c r="I87" i="1"/>
  <c r="B87" i="1" a="1"/>
  <c r="B87" i="1" s="1"/>
  <c r="N86" i="1"/>
  <c r="K86" i="1"/>
  <c r="I86" i="1"/>
  <c r="B86" i="1" a="1"/>
  <c r="B86" i="1" s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" i="1"/>
  <c r="K3" i="1"/>
  <c r="K4" i="1"/>
  <c r="N4" i="1" s="1"/>
  <c r="K5" i="1"/>
  <c r="K6" i="1"/>
  <c r="N6" i="1" s="1"/>
  <c r="K7" i="1"/>
  <c r="K8" i="1"/>
  <c r="N8" i="1" s="1"/>
  <c r="K9" i="1"/>
  <c r="K10" i="1"/>
  <c r="N10" i="1" s="1"/>
  <c r="K11" i="1"/>
  <c r="K12" i="1"/>
  <c r="N12" i="1" s="1"/>
  <c r="K13" i="1"/>
  <c r="K14" i="1"/>
  <c r="N14" i="1" s="1"/>
  <c r="K15" i="1"/>
  <c r="K16" i="1"/>
  <c r="N16" i="1" s="1"/>
  <c r="K17" i="1"/>
  <c r="K18" i="1"/>
  <c r="N18" i="1" s="1"/>
  <c r="K19" i="1"/>
  <c r="K20" i="1"/>
  <c r="N20" i="1" s="1"/>
  <c r="K21" i="1"/>
  <c r="K22" i="1"/>
  <c r="N22" i="1" s="1"/>
  <c r="K23" i="1"/>
  <c r="K24" i="1"/>
  <c r="N24" i="1" s="1"/>
  <c r="K25" i="1"/>
  <c r="K26" i="1"/>
  <c r="N26" i="1" s="1"/>
  <c r="K27" i="1"/>
  <c r="K28" i="1"/>
  <c r="N28" i="1" s="1"/>
  <c r="K29" i="1"/>
  <c r="K30" i="1"/>
  <c r="N30" i="1" s="1"/>
  <c r="K31" i="1"/>
  <c r="K32" i="1"/>
  <c r="N32" i="1" s="1"/>
  <c r="K33" i="1"/>
  <c r="K34" i="1"/>
  <c r="N34" i="1" s="1"/>
  <c r="K35" i="1"/>
  <c r="K36" i="1"/>
  <c r="N36" i="1" s="1"/>
  <c r="K37" i="1"/>
  <c r="K38" i="1"/>
  <c r="N38" i="1" s="1"/>
  <c r="K39" i="1"/>
  <c r="K40" i="1"/>
  <c r="N40" i="1" s="1"/>
  <c r="K41" i="1"/>
  <c r="K42" i="1"/>
  <c r="N42" i="1" s="1"/>
  <c r="K43" i="1"/>
  <c r="K44" i="1"/>
  <c r="N44" i="1" s="1"/>
  <c r="K45" i="1"/>
  <c r="K46" i="1"/>
  <c r="N46" i="1" s="1"/>
  <c r="K47" i="1"/>
  <c r="K48" i="1"/>
  <c r="N48" i="1" s="1"/>
  <c r="K49" i="1"/>
  <c r="K50" i="1"/>
  <c r="N50" i="1" s="1"/>
  <c r="K51" i="1"/>
  <c r="K52" i="1"/>
  <c r="N52" i="1" s="1"/>
  <c r="K53" i="1"/>
  <c r="K54" i="1"/>
  <c r="N54" i="1" s="1"/>
  <c r="K55" i="1"/>
  <c r="K56" i="1"/>
  <c r="N56" i="1" s="1"/>
  <c r="K57" i="1"/>
  <c r="K58" i="1"/>
  <c r="N58" i="1" s="1"/>
  <c r="K59" i="1"/>
  <c r="K60" i="1"/>
  <c r="N60" i="1" s="1"/>
  <c r="K61" i="1"/>
  <c r="K62" i="1"/>
  <c r="N62" i="1" s="1"/>
  <c r="K63" i="1"/>
  <c r="K64" i="1"/>
  <c r="N64" i="1" s="1"/>
  <c r="K65" i="1"/>
  <c r="K66" i="1"/>
  <c r="N66" i="1" s="1"/>
  <c r="K67" i="1"/>
  <c r="K68" i="1"/>
  <c r="N68" i="1" s="1"/>
  <c r="K69" i="1"/>
  <c r="K70" i="1"/>
  <c r="N70" i="1" s="1"/>
  <c r="K71" i="1"/>
  <c r="K72" i="1"/>
  <c r="N72" i="1" s="1"/>
  <c r="K73" i="1"/>
  <c r="K74" i="1"/>
  <c r="N74" i="1" s="1"/>
  <c r="K75" i="1"/>
  <c r="K76" i="1"/>
  <c r="N76" i="1" s="1"/>
  <c r="K77" i="1"/>
  <c r="K78" i="1"/>
  <c r="N78" i="1" s="1"/>
  <c r="K79" i="1"/>
  <c r="K80" i="1"/>
  <c r="N80" i="1" s="1"/>
  <c r="K81" i="1"/>
  <c r="K82" i="1"/>
  <c r="N82" i="1" s="1"/>
  <c r="K83" i="1"/>
  <c r="K84" i="1"/>
  <c r="N84" i="1" s="1"/>
  <c r="K85" i="1"/>
  <c r="K2" i="1"/>
  <c r="N2" i="1" s="1"/>
  <c r="N81" i="1"/>
  <c r="N83" i="1"/>
  <c r="N85" i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N3" i="1"/>
  <c r="N5" i="1"/>
  <c r="N7" i="1"/>
  <c r="N9" i="1"/>
  <c r="N11" i="1"/>
  <c r="N13" i="1"/>
  <c r="N15" i="1"/>
  <c r="N17" i="1"/>
  <c r="N19" i="1"/>
  <c r="N21" i="1"/>
  <c r="N23" i="1"/>
  <c r="N25" i="1"/>
  <c r="N27" i="1"/>
  <c r="N29" i="1"/>
  <c r="N31" i="1"/>
  <c r="N33" i="1"/>
  <c r="N35" i="1"/>
  <c r="N37" i="1"/>
  <c r="N39" i="1"/>
  <c r="N41" i="1"/>
  <c r="N43" i="1"/>
  <c r="N45" i="1"/>
  <c r="N47" i="1"/>
  <c r="N49" i="1"/>
  <c r="N51" i="1"/>
  <c r="N53" i="1"/>
  <c r="N55" i="1"/>
  <c r="N57" i="1"/>
  <c r="N59" i="1"/>
  <c r="N61" i="1"/>
  <c r="N63" i="1"/>
  <c r="N65" i="1"/>
  <c r="N67" i="1"/>
  <c r="N69" i="1"/>
  <c r="N71" i="1"/>
  <c r="N73" i="1"/>
  <c r="N75" i="1"/>
  <c r="N77" i="1"/>
  <c r="N79" i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2" i="1" a="1"/>
  <c r="B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<sst xmlns="http://schemas.openxmlformats.org/spreadsheetml/2006/main" count="762" uniqueCount="121">
  <si>
    <t>instance</t>
  </si>
  <si>
    <t>Model</t>
  </si>
  <si>
    <t>status</t>
  </si>
  <si>
    <t>ObjVal</t>
  </si>
  <si>
    <t>ObjBound</t>
  </si>
  <si>
    <t>Gap</t>
  </si>
  <si>
    <t>runtime</t>
  </si>
  <si>
    <t>period_vehicle</t>
  </si>
  <si>
    <t>Q</t>
  </si>
  <si>
    <t>error</t>
  </si>
  <si>
    <t>recourse_gamma</t>
  </si>
  <si>
    <t>fixed_prod_cost</t>
  </si>
  <si>
    <t>variable_prod_cost</t>
  </si>
  <si>
    <t>inv_hold_cost</t>
  </si>
  <si>
    <t>routing_cost</t>
  </si>
  <si>
    <t>recourse_cost</t>
  </si>
  <si>
    <t>unused_routing_cost</t>
  </si>
  <si>
    <t>expected_cost_diff</t>
  </si>
  <si>
    <t>benders_cuts</t>
  </si>
  <si>
    <t>lfcc</t>
  </si>
  <si>
    <t>ufcc</t>
  </si>
  <si>
    <t>lsec</t>
  </si>
  <si>
    <t>usec</t>
  </si>
  <si>
    <t>l_st_time</t>
  </si>
  <si>
    <t>u_st_time</t>
  </si>
  <si>
    <t>l_fcc_time</t>
  </si>
  <si>
    <t>u_fcc_time</t>
  </si>
  <si>
    <t>l_benders</t>
  </si>
  <si>
    <t>NODE_LIMIT</t>
  </si>
  <si>
    <t>inf</t>
  </si>
  <si>
    <t>[]</t>
  </si>
  <si>
    <t>OPTIMAL</t>
  </si>
  <si>
    <t>MVPRP_C15_P9_V3_I1</t>
  </si>
  <si>
    <t>MVPRP_C20_P3_V2_I1</t>
  </si>
  <si>
    <t>MVPRP_C40_P3_V4_I1</t>
  </si>
  <si>
    <t>MVPRP_C10_P9_V2_I1</t>
  </si>
  <si>
    <t>MVPRP_C15_P3_V2_I1</t>
  </si>
  <si>
    <t>MVPRP_C40_P3_V3_I1</t>
  </si>
  <si>
    <t>MVPRP_C20_P6_V3_I1</t>
  </si>
  <si>
    <t>MVPRP_C30_P3_V4_I1</t>
  </si>
  <si>
    <t>MVPRP_C10_P3_V3_I1</t>
  </si>
  <si>
    <t>MVPRP_C10_P3_V2_I1</t>
  </si>
  <si>
    <t>MVPRP_C30_P9_V4_I1</t>
  </si>
  <si>
    <t>MVPRP_C20_P3_V3_I1</t>
  </si>
  <si>
    <t>MVPRP_C40_P6_V3_I1</t>
  </si>
  <si>
    <t>MVPRP_C15_P9_V2_I1</t>
  </si>
  <si>
    <t>MVPRP_C35_P6_V4_I1</t>
  </si>
  <si>
    <t>MVPRP_C45_P3_V3_I1</t>
  </si>
  <si>
    <t>MVPRP_C10_P6_V2_I1</t>
  </si>
  <si>
    <t>MVPRP_C45_P3_V4_I1</t>
  </si>
  <si>
    <t>MVPRP_C25_P6_V3_I1</t>
  </si>
  <si>
    <t>MVPRP_C15_P6_V2_I1</t>
  </si>
  <si>
    <t>MVPRP_C35_P6_V3_I1</t>
  </si>
  <si>
    <t>MVPRP_C25_P3_V3_I1</t>
  </si>
  <si>
    <t>MVPRP_C10_P6_V3_I1</t>
  </si>
  <si>
    <t>MVPRP_C35_P3_V3_I1</t>
  </si>
  <si>
    <t>MVPRP_C50_P3_V3_I1</t>
  </si>
  <si>
    <t>MVPRP_C30_P6_V3_I1</t>
  </si>
  <si>
    <t>MVPRP_C30_P6_V4_I1</t>
  </si>
  <si>
    <t>MVPRP_C25_P9_V3_I1</t>
  </si>
  <si>
    <t>MVPRP_C20_P6_V2_I1</t>
  </si>
  <si>
    <t>MVPRP_C15_P6_V3_I1</t>
  </si>
  <si>
    <t>MVPRP_C15_P3_V3_I1</t>
  </si>
  <si>
    <t>MVPRP_C25_P9_V2_I1</t>
  </si>
  <si>
    <t>MVPRP_C35_P3_V4_I1</t>
  </si>
  <si>
    <t>MVPRP_C25_P3_V2_I1</t>
  </si>
  <si>
    <t>MVPRP_C20_P9_V3_I1</t>
  </si>
  <si>
    <t>MVPRP_C40_P6_V4_I1</t>
  </si>
  <si>
    <t>[(1, 1, 251.0), (3, 1, 150.0)]</t>
  </si>
  <si>
    <t>[(1, 1, 89.0), (2, 1, 76.0), (3, 1, 48.0)]</t>
  </si>
  <si>
    <t>[(1, 1, 165.0), (3, 1, 48.0)]</t>
  </si>
  <si>
    <t>[(2, 1, 176.0), (5, 1, 188.0), (6, 1, 59.0)]</t>
  </si>
  <si>
    <t>MVPRP_C30_P9_V3_I1</t>
  </si>
  <si>
    <t>MVPRP_C25_P6_V2_I1</t>
  </si>
  <si>
    <t>MVPRP_C10_P9_V3_I1</t>
  </si>
  <si>
    <t>MVPRP_C20_P9_V2_I1</t>
  </si>
  <si>
    <t>MVPRP_C30_P3_V3_I1</t>
  </si>
  <si>
    <t>MVPRP_C50_P3_V4_I1</t>
  </si>
  <si>
    <t>AdjUB</t>
  </si>
  <si>
    <t>AdjGap</t>
  </si>
  <si>
    <t>Zeilenbeschriftungen</t>
  </si>
  <si>
    <t>(Leer)</t>
  </si>
  <si>
    <t>Gesamtergebnis</t>
  </si>
  <si>
    <t>Spaltenbeschriftungen</t>
  </si>
  <si>
    <t>Inst String</t>
  </si>
  <si>
    <t>Customers</t>
  </si>
  <si>
    <t>Periods</t>
  </si>
  <si>
    <t>MED</t>
  </si>
  <si>
    <t>Inst Type</t>
  </si>
  <si>
    <t>P3</t>
  </si>
  <si>
    <t>P6</t>
  </si>
  <si>
    <t>P9</t>
  </si>
  <si>
    <t>V2</t>
  </si>
  <si>
    <t>V3</t>
  </si>
  <si>
    <t>V4</t>
  </si>
  <si>
    <t>Mittelwert von AdjUB</t>
  </si>
  <si>
    <t>Mittelwert von ObjBound</t>
  </si>
  <si>
    <t>Mittelwert von AdjGap</t>
  </si>
  <si>
    <t>Mittelwert von runtime</t>
  </si>
  <si>
    <t>Benders</t>
  </si>
  <si>
    <t>EF</t>
  </si>
  <si>
    <t>HetPRP</t>
  </si>
  <si>
    <t>Status Adj</t>
  </si>
  <si>
    <t>Anzahl von Status Adj</t>
  </si>
  <si>
    <t>Benders Ergebnis</t>
  </si>
  <si>
    <t>EF Ergebnis</t>
  </si>
  <si>
    <t>HetPRP Ergebnis</t>
  </si>
  <si>
    <t>(Leer) Ergebnis</t>
  </si>
  <si>
    <t>[(1, 2, 208.0), (2, 2, 178.0), (3, 2, 536.0)]</t>
  </si>
  <si>
    <t>[(1, 1, 97.0), (2, 1, 163.0), (3, 1, 72.0)]</t>
  </si>
  <si>
    <t>[(1, 2, 171.0), (1, 3, 1.0), (2, 2, 124.0), (3, 2, 260.0)]</t>
  </si>
  <si>
    <t>[(1, 2, 264.0), (2, 2, 270.0), (3, 2, 540.0), (3, 3, 28.0)]</t>
  </si>
  <si>
    <t>[(2, 1, 100.0), (3, 1, 176.0), (5, 1, 197.0), (5, 2, 38.0), (6, 1, 149.0)]</t>
  </si>
  <si>
    <t>[(1, 1, 189.0), (2, 1, 126.0), (3, 1, 163.0)]</t>
  </si>
  <si>
    <t>[(2, 1, 100.0), (3, 1, 76.0), (5, 1, 121.0), (6, 1, 126.0)]</t>
  </si>
  <si>
    <t>[(2, 2, 112.0), (3, 2, 317.0), (5, 2, 339.0), (6, 2, 337.0)]</t>
  </si>
  <si>
    <t>[(2, 1, 278.0), (3, 1, 84.0), (5, 1, 273.0), (6, 1, 159.0)]</t>
  </si>
  <si>
    <t>[(1, 1, 58.0), (1, 2, 42.0), (2, 1, 122.0), (2, 2, 0), (2, 3, 0), (2, 4, 10.0), (3, 1, 100.0)]</t>
  </si>
  <si>
    <t>[(1, 2, 246.0), (2, 2, 112.0), (3, 2, 362.0)]</t>
  </si>
  <si>
    <t>[(2, 2, 263.0), (3, 2, 259.0), (4, 2, 248.0), (5, 2, 536.0), (5, 3, 14.0), (6, 2, 519.0)]</t>
  </si>
  <si>
    <t>[(1, 2, 176.0), (2, 2, 270.0), (3, 2, 540.0)]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</si>
</sst>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Standard" xfId="0" builtinId="0"/>
  </cellStyles>
  <dxfs count="8">
    <dxf>
      <numFmt numFmtId="1" formatCode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[root_values_noMIPStart.xlsm]Tabelle2!PivotTable2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Tabelle2!$B$1:$B$3</c:f>
              <c:strCache>
                <c:ptCount val="1"/>
                <c:pt idx="0">
                  <c:v>Benders - Mittelwert von AdjUB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Tabelle2!$B$4:$B$16</c:f>
              <c:numCache>
                <c:formatCode>0</c:formatCode>
                <c:ptCount val="9"/>
                <c:pt idx="0">
                  <c:v>141818.17499824864</c:v>
                </c:pt>
                <c:pt idx="1">
                  <c:v>275922.42499824998</c:v>
                </c:pt>
                <c:pt idx="2">
                  <c:v>500000</c:v>
                </c:pt>
                <c:pt idx="3">
                  <c:v>446076.01111044432</c:v>
                </c:pt>
                <c:pt idx="4">
                  <c:v>372261.65714099997</c:v>
                </c:pt>
                <c:pt idx="5">
                  <c:v>500000</c:v>
                </c:pt>
                <c:pt idx="6">
                  <c:v>500000</c:v>
                </c:pt>
                <c:pt idx="7">
                  <c:v>500000</c:v>
                </c:pt>
                <c:pt idx="8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DD-4C68-BA53-D558D4DC0382}"/>
            </c:ext>
          </c:extLst>
        </c:ser>
        <c:ser>
          <c:idx val="1"/>
          <c:order val="1"/>
          <c:tx>
            <c:strRef>
              <c:f>Tabelle2!$C$1:$C$3</c:f>
              <c:strCache>
                <c:ptCount val="1"/>
                <c:pt idx="0">
                  <c:v>Benders - Mittelwert von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Tabelle2!$C$4:$C$16</c:f>
              <c:numCache>
                <c:formatCode>0</c:formatCode>
                <c:ptCount val="9"/>
                <c:pt idx="0">
                  <c:v>20818.772095084976</c:v>
                </c:pt>
                <c:pt idx="1">
                  <c:v>35414.421953284727</c:v>
                </c:pt>
                <c:pt idx="2">
                  <c:v>64700.385365866445</c:v>
                </c:pt>
                <c:pt idx="3">
                  <c:v>18098.163869022152</c:v>
                </c:pt>
                <c:pt idx="4">
                  <c:v>39523.728065725481</c:v>
                </c:pt>
                <c:pt idx="5">
                  <c:v>62168.447701600366</c:v>
                </c:pt>
                <c:pt idx="6">
                  <c:v>20443.925937592438</c:v>
                </c:pt>
                <c:pt idx="7">
                  <c:v>41867.211136129401</c:v>
                </c:pt>
                <c:pt idx="8">
                  <c:v>64475.544471986199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DD-4C68-BA53-D558D4DC0382}"/>
            </c:ext>
          </c:extLst>
        </c:ser>
        <c:ser>
          <c:idx val="2"/>
          <c:order val="2"/>
          <c:tx>
            <c:strRef>
              <c:f>Tabelle2!$D$1:$D$3</c:f>
              <c:strCache>
                <c:ptCount val="1"/>
                <c:pt idx="0">
                  <c:v>Benders - Mittelwert von AdjGap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Tabelle2!$D$4:$D$16</c:f>
              <c:numCache>
                <c:formatCode>0.00%</c:formatCode>
                <c:ptCount val="9"/>
                <c:pt idx="0">
                  <c:v>0.33194810651110562</c:v>
                </c:pt>
                <c:pt idx="1">
                  <c:v>0.58211210398075552</c:v>
                </c:pt>
                <c:pt idx="2">
                  <c:v>0.87059922926826705</c:v>
                </c:pt>
                <c:pt idx="3">
                  <c:v>0.8620733041557237</c:v>
                </c:pt>
                <c:pt idx="4">
                  <c:v>0.7048850944782975</c:v>
                </c:pt>
                <c:pt idx="5">
                  <c:v>0.8756631045967993</c:v>
                </c:pt>
                <c:pt idx="6">
                  <c:v>0.95911214812481516</c:v>
                </c:pt>
                <c:pt idx="7">
                  <c:v>0.9162655777277412</c:v>
                </c:pt>
                <c:pt idx="8">
                  <c:v>0.87104891105602766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DD-4C68-BA53-D558D4DC0382}"/>
            </c:ext>
          </c:extLst>
        </c:ser>
        <c:ser>
          <c:idx val="3"/>
          <c:order val="3"/>
          <c:tx>
            <c:strRef>
              <c:f>Tabelle2!$E$1:$E$3</c:f>
              <c:strCache>
                <c:ptCount val="1"/>
                <c:pt idx="0">
                  <c:v>Benders - Mittelwert von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Tabelle2!$E$4:$E$16</c:f>
              <c:numCache>
                <c:formatCode>0</c:formatCode>
                <c:ptCount val="9"/>
                <c:pt idx="0">
                  <c:v>2.0873717665672276</c:v>
                </c:pt>
                <c:pt idx="1">
                  <c:v>2.9554747343063372</c:v>
                </c:pt>
                <c:pt idx="2">
                  <c:v>2.6341748237609899</c:v>
                </c:pt>
                <c:pt idx="3">
                  <c:v>2.5507343610127764</c:v>
                </c:pt>
                <c:pt idx="4">
                  <c:v>3.6457349913460875</c:v>
                </c:pt>
                <c:pt idx="5">
                  <c:v>3.910894012451172</c:v>
                </c:pt>
                <c:pt idx="6">
                  <c:v>3.0654875755310078</c:v>
                </c:pt>
                <c:pt idx="7">
                  <c:v>5.0339496135711661</c:v>
                </c:pt>
                <c:pt idx="8">
                  <c:v>7.8131220340728804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DD-4C68-BA53-D558D4DC0382}"/>
            </c:ext>
          </c:extLst>
        </c:ser>
        <c:ser>
          <c:idx val="4"/>
          <c:order val="4"/>
          <c:tx>
            <c:strRef>
              <c:f>Tabelle2!$F$1:$F$3</c:f>
              <c:strCache>
                <c:ptCount val="1"/>
                <c:pt idx="0">
                  <c:v>EF - Mittelwert von AdjUB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Tabelle2!$F$4:$F$16</c:f>
              <c:numCache>
                <c:formatCode>0</c:formatCode>
                <c:ptCount val="9"/>
                <c:pt idx="0">
                  <c:v>22153.65</c:v>
                </c:pt>
                <c:pt idx="1">
                  <c:v>57285.3</c:v>
                </c:pt>
                <c:pt idx="2">
                  <c:v>110748.72500000001</c:v>
                </c:pt>
                <c:pt idx="3">
                  <c:v>234738</c:v>
                </c:pt>
                <c:pt idx="4">
                  <c:v>249166.5</c:v>
                </c:pt>
                <c:pt idx="5">
                  <c:v>339061.02</c:v>
                </c:pt>
                <c:pt idx="6">
                  <c:v>500000</c:v>
                </c:pt>
                <c:pt idx="7">
                  <c:v>500000</c:v>
                </c:pt>
                <c:pt idx="8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DD-4C68-BA53-D558D4DC0382}"/>
            </c:ext>
          </c:extLst>
        </c:ser>
        <c:ser>
          <c:idx val="5"/>
          <c:order val="5"/>
          <c:tx>
            <c:strRef>
              <c:f>Tabelle2!$G$1:$G$3</c:f>
              <c:strCache>
                <c:ptCount val="1"/>
                <c:pt idx="0">
                  <c:v>EF - Mittelwert von ObjBound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Tabelle2!$G$4:$G$16</c:f>
              <c:numCache>
                <c:formatCode>0</c:formatCode>
                <c:ptCount val="9"/>
                <c:pt idx="0">
                  <c:v>20436.969558049677</c:v>
                </c:pt>
                <c:pt idx="1">
                  <c:v>43258.764715697624</c:v>
                </c:pt>
                <c:pt idx="2">
                  <c:v>75614.548057850203</c:v>
                </c:pt>
                <c:pt idx="3">
                  <c:v>31649.912689501652</c:v>
                </c:pt>
                <c:pt idx="4">
                  <c:v>57367.427149126292</c:v>
                </c:pt>
                <c:pt idx="5">
                  <c:v>82063.54763518853</c:v>
                </c:pt>
                <c:pt idx="6">
                  <c:v>40644.335045233966</c:v>
                </c:pt>
                <c:pt idx="7">
                  <c:v>76058.833577279336</c:v>
                </c:pt>
                <c:pt idx="8">
                  <c:v>106706.39462317999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DD-4C68-BA53-D558D4DC0382}"/>
            </c:ext>
          </c:extLst>
        </c:ser>
        <c:ser>
          <c:idx val="6"/>
          <c:order val="6"/>
          <c:tx>
            <c:strRef>
              <c:f>Tabelle2!$H$1:$H$3</c:f>
              <c:strCache>
                <c:ptCount val="1"/>
                <c:pt idx="0">
                  <c:v>EF - Mittelwert von AdjGap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Tabelle2!$H$4:$H$16</c:f>
              <c:numCache>
                <c:formatCode>0.00%</c:formatCode>
                <c:ptCount val="9"/>
                <c:pt idx="0">
                  <c:v>7.4486326449059323E-2</c:v>
                </c:pt>
                <c:pt idx="1">
                  <c:v>0.20243631911499324</c:v>
                </c:pt>
                <c:pt idx="2">
                  <c:v>0.27371357768664117</c:v>
                </c:pt>
                <c:pt idx="3">
                  <c:v>0.41634492098813825</c:v>
                </c:pt>
                <c:pt idx="4">
                  <c:v>0.47456212562919386</c:v>
                </c:pt>
                <c:pt idx="5">
                  <c:v>0.58646894910597847</c:v>
                </c:pt>
                <c:pt idx="6">
                  <c:v>0.91871132990953208</c:v>
                </c:pt>
                <c:pt idx="7">
                  <c:v>0.84788233284544134</c:v>
                </c:pt>
                <c:pt idx="8">
                  <c:v>0.78658721075364002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DD-4C68-BA53-D558D4DC0382}"/>
            </c:ext>
          </c:extLst>
        </c:ser>
        <c:ser>
          <c:idx val="7"/>
          <c:order val="7"/>
          <c:tx>
            <c:strRef>
              <c:f>Tabelle2!$I$1:$I$3</c:f>
              <c:strCache>
                <c:ptCount val="1"/>
                <c:pt idx="0">
                  <c:v>EF - Mittelwert von runtime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Tabelle2!$I$4:$I$16</c:f>
              <c:numCache>
                <c:formatCode>0</c:formatCode>
                <c:ptCount val="9"/>
                <c:pt idx="0">
                  <c:v>5.7093582749366654</c:v>
                </c:pt>
                <c:pt idx="1">
                  <c:v>14.289987027645104</c:v>
                </c:pt>
                <c:pt idx="2">
                  <c:v>30.716378450393666</c:v>
                </c:pt>
                <c:pt idx="3">
                  <c:v>29.483592112859039</c:v>
                </c:pt>
                <c:pt idx="4">
                  <c:v>37.038540840148919</c:v>
                </c:pt>
                <c:pt idx="5">
                  <c:v>41.254782819747916</c:v>
                </c:pt>
                <c:pt idx="6">
                  <c:v>45.585598421096883</c:v>
                </c:pt>
                <c:pt idx="7">
                  <c:v>78.057083129882827</c:v>
                </c:pt>
                <c:pt idx="8">
                  <c:v>113.422084093094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DD-4C68-BA53-D558D4DC0382}"/>
            </c:ext>
          </c:extLst>
        </c:ser>
        <c:ser>
          <c:idx val="8"/>
          <c:order val="8"/>
          <c:tx>
            <c:strRef>
              <c:f>Tabelle2!$J$1:$J$3</c:f>
              <c:strCache>
                <c:ptCount val="1"/>
                <c:pt idx="0">
                  <c:v>HetPRP - Mittelwert von AdjUB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Tabelle2!$J$4:$J$16</c:f>
              <c:numCache>
                <c:formatCode>0</c:formatCode>
                <c:ptCount val="9"/>
                <c:pt idx="0">
                  <c:v>139635.375</c:v>
                </c:pt>
                <c:pt idx="1">
                  <c:v>155906.45000000001</c:v>
                </c:pt>
                <c:pt idx="2">
                  <c:v>500000</c:v>
                </c:pt>
                <c:pt idx="3">
                  <c:v>340285.9222222222</c:v>
                </c:pt>
                <c:pt idx="4">
                  <c:v>432886.42857142858</c:v>
                </c:pt>
                <c:pt idx="5">
                  <c:v>500000</c:v>
                </c:pt>
                <c:pt idx="6">
                  <c:v>41705.18</c:v>
                </c:pt>
                <c:pt idx="7">
                  <c:v>219771.53333333333</c:v>
                </c:pt>
                <c:pt idx="8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DD-4C68-BA53-D558D4DC0382}"/>
            </c:ext>
          </c:extLst>
        </c:ser>
        <c:ser>
          <c:idx val="9"/>
          <c:order val="9"/>
          <c:tx>
            <c:strRef>
              <c:f>Tabelle2!$K$1:$K$3</c:f>
              <c:strCache>
                <c:ptCount val="1"/>
                <c:pt idx="0">
                  <c:v>HetPRP - Mittelwert von ObjBound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Tabelle2!$K$4:$K$16</c:f>
              <c:numCache>
                <c:formatCode>0</c:formatCode>
                <c:ptCount val="9"/>
                <c:pt idx="0">
                  <c:v>21478.314264473451</c:v>
                </c:pt>
                <c:pt idx="1">
                  <c:v>45040.906979603795</c:v>
                </c:pt>
                <c:pt idx="2">
                  <c:v>79857.470735062394</c:v>
                </c:pt>
                <c:pt idx="3">
                  <c:v>31857.432894903104</c:v>
                </c:pt>
                <c:pt idx="4">
                  <c:v>57906.114230074374</c:v>
                </c:pt>
                <c:pt idx="5">
                  <c:v>83099.430021936423</c:v>
                </c:pt>
                <c:pt idx="6">
                  <c:v>41044.166193414138</c:v>
                </c:pt>
                <c:pt idx="7">
                  <c:v>77177.744586122324</c:v>
                </c:pt>
                <c:pt idx="8">
                  <c:v>108501.852771921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DD-4C68-BA53-D558D4DC0382}"/>
            </c:ext>
          </c:extLst>
        </c:ser>
        <c:ser>
          <c:idx val="10"/>
          <c:order val="10"/>
          <c:tx>
            <c:strRef>
              <c:f>Tabelle2!$L$1:$L$3</c:f>
              <c:strCache>
                <c:ptCount val="1"/>
                <c:pt idx="0">
                  <c:v>HetPRP - Mittelwert von AdjGap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Tabelle2!$L$4:$L$16</c:f>
              <c:numCache>
                <c:formatCode>0.00%</c:formatCode>
                <c:ptCount val="9"/>
                <c:pt idx="0">
                  <c:v>0.2380548785850688</c:v>
                </c:pt>
                <c:pt idx="1">
                  <c:v>0.23171091080961326</c:v>
                </c:pt>
                <c:pt idx="2">
                  <c:v>0.84028505852987523</c:v>
                </c:pt>
                <c:pt idx="3">
                  <c:v>0.63133133173122746</c:v>
                </c:pt>
                <c:pt idx="4">
                  <c:v>0.75528418756396232</c:v>
                </c:pt>
                <c:pt idx="5">
                  <c:v>0.83380113995612715</c:v>
                </c:pt>
                <c:pt idx="6">
                  <c:v>1.5782787809466372E-2</c:v>
                </c:pt>
                <c:pt idx="7">
                  <c:v>0.29364379917251865</c:v>
                </c:pt>
                <c:pt idx="8">
                  <c:v>0.78299629445615804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2DD-4C68-BA53-D558D4DC0382}"/>
            </c:ext>
          </c:extLst>
        </c:ser>
        <c:ser>
          <c:idx val="11"/>
          <c:order val="11"/>
          <c:tx>
            <c:strRef>
              <c:f>Tabelle2!$M$1:$M$3</c:f>
              <c:strCache>
                <c:ptCount val="1"/>
                <c:pt idx="0">
                  <c:v>HetPRP - Mittelwert von runtime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Tabelle2!$A$4:$A$16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Tabelle2!$M$4:$M$16</c:f>
              <c:numCache>
                <c:formatCode>0</c:formatCode>
                <c:ptCount val="9"/>
                <c:pt idx="0">
                  <c:v>1.9590001106262216</c:v>
                </c:pt>
                <c:pt idx="1">
                  <c:v>10.202106595039377</c:v>
                </c:pt>
                <c:pt idx="2">
                  <c:v>12.161188721656792</c:v>
                </c:pt>
                <c:pt idx="3">
                  <c:v>16.647426313824131</c:v>
                </c:pt>
                <c:pt idx="4">
                  <c:v>21.604867935180653</c:v>
                </c:pt>
                <c:pt idx="5">
                  <c:v>25.932847785949711</c:v>
                </c:pt>
                <c:pt idx="6">
                  <c:v>120.25691933631904</c:v>
                </c:pt>
                <c:pt idx="7">
                  <c:v>76.604195992151901</c:v>
                </c:pt>
                <c:pt idx="8">
                  <c:v>217.68327999114999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DD-4C68-BA53-D558D4DC0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05840"/>
        <c:axId val="798306200"/>
      </c:barChart>
      <c:catAx>
        <c:axId val="79830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306200"/>
        <c:crosses val="autoZero"/>
        <c:auto val="1"/>
        <c:lblAlgn val="ctr"/>
        <c:lblOffset val="100"/>
        <c:noMultiLvlLbl val="0"/>
      </c:catAx>
      <c:valAx>
        <c:axId val="79830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30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[root_values_noMIPStart.xlsm]Tabelle5!PivotTable4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Tabelle5!$B$1:$B$3</c:f>
              <c:strCache>
                <c:ptCount val="1"/>
                <c:pt idx="0">
                  <c:v>Benders - inf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Tabelle5!$B$4:$B$18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0-4445-9479-2523DEC3EEB4}"/>
            </c:ext>
          </c:extLst>
        </c:ser>
        <c:ser>
          <c:idx val="1"/>
          <c:order val="1"/>
          <c:tx>
            <c:strRef>
              <c:f>Tabelle5!$C$1:$C$3</c:f>
              <c:strCache>
                <c:ptCount val="1"/>
                <c:pt idx="0">
                  <c:v>Benders - NODE_LIMIT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Tabelle5!$C$4:$C$18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30-4445-9479-2523DEC3EEB4}"/>
            </c:ext>
          </c:extLst>
        </c:ser>
        <c:ser>
          <c:idx val="2"/>
          <c:order val="2"/>
          <c:tx>
            <c:strRef>
              <c:f>Tabelle5!$D$1:$D$3</c:f>
              <c:strCache>
                <c:ptCount val="1"/>
                <c:pt idx="0">
                  <c:v>Benders - OPTIMAL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Tabelle5!$D$4:$D$18</c:f>
              <c:numCache>
                <c:formatCode>General</c:formatCode>
                <c:ptCount val="10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30-4445-9479-2523DEC3EEB4}"/>
            </c:ext>
          </c:extLst>
        </c:ser>
        <c:ser>
          <c:idx val="3"/>
          <c:order val="3"/>
          <c:tx>
            <c:strRef>
              <c:f>Tabelle5!$F$1:$F$3</c:f>
              <c:strCache>
                <c:ptCount val="1"/>
                <c:pt idx="0">
                  <c:v>EF - inf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Tabelle5!$F$4:$F$18</c:f>
              <c:numCache>
                <c:formatCode>General</c:formatCode>
                <c:ptCount val="10"/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30-4445-9479-2523DEC3EEB4}"/>
            </c:ext>
          </c:extLst>
        </c:ser>
        <c:ser>
          <c:idx val="4"/>
          <c:order val="4"/>
          <c:tx>
            <c:strRef>
              <c:f>Tabelle5!$G$1:$G$3</c:f>
              <c:strCache>
                <c:ptCount val="1"/>
                <c:pt idx="0">
                  <c:v>EF - NODE_LIMIT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Tabelle5!$G$4:$G$18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C-405E-A17E-5D6DA6AE8D36}"/>
            </c:ext>
          </c:extLst>
        </c:ser>
        <c:ser>
          <c:idx val="5"/>
          <c:order val="5"/>
          <c:tx>
            <c:strRef>
              <c:f>Tabelle5!$H$1:$H$3</c:f>
              <c:strCache>
                <c:ptCount val="1"/>
                <c:pt idx="0">
                  <c:v>EF - OPTIMAL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Tabelle5!$H$4:$H$18</c:f>
              <c:numCache>
                <c:formatCode>General</c:formatCode>
                <c:ptCount val="10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C-405E-A17E-5D6DA6AE8D36}"/>
            </c:ext>
          </c:extLst>
        </c:ser>
        <c:ser>
          <c:idx val="6"/>
          <c:order val="6"/>
          <c:tx>
            <c:strRef>
              <c:f>Tabelle5!$J$1:$J$3</c:f>
              <c:strCache>
                <c:ptCount val="1"/>
                <c:pt idx="0">
                  <c:v>HetPRP - inf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Tabelle5!$J$4:$J$18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BC-405E-A17E-5D6DA6AE8D36}"/>
            </c:ext>
          </c:extLst>
        </c:ser>
        <c:ser>
          <c:idx val="7"/>
          <c:order val="7"/>
          <c:tx>
            <c:strRef>
              <c:f>Tabelle5!$K$1:$K$3</c:f>
              <c:strCache>
                <c:ptCount val="1"/>
                <c:pt idx="0">
                  <c:v>HetPRP - NODE_LIMIT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Tabelle5!$K$4:$K$18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3">
                  <c:v>2</c:v>
                </c:pt>
                <c:pt idx="4">
                  <c:v>1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BC-405E-A17E-5D6DA6AE8D36}"/>
            </c:ext>
          </c:extLst>
        </c:ser>
        <c:ser>
          <c:idx val="8"/>
          <c:order val="8"/>
          <c:tx>
            <c:strRef>
              <c:f>Tabelle5!$L$1:$L$3</c:f>
              <c:strCache>
                <c:ptCount val="1"/>
                <c:pt idx="0">
                  <c:v>HetPRP - OPTIMAL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Tabelle5!$L$4:$L$18</c:f>
              <c:numCache>
                <c:formatCode>General</c:formatCode>
                <c:ptCount val="10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BC-405E-A17E-5D6DA6AE8D36}"/>
            </c:ext>
          </c:extLst>
        </c:ser>
        <c:ser>
          <c:idx val="9"/>
          <c:order val="9"/>
          <c:tx>
            <c:strRef>
              <c:f>Tabelle5!$N$1:$N$3</c:f>
              <c:strCache>
                <c:ptCount val="1"/>
                <c:pt idx="0">
                  <c:v>(Leer) - 0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Tabelle5!$A$4:$A$18</c:f>
              <c:multiLvlStrCache>
                <c:ptCount val="10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  <c:pt idx="9">
                    <c:v>(Leer)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  <c:pt idx="9">
                    <c:v>(Leer)</c:v>
                  </c:pt>
                </c:lvl>
              </c:multiLvlStrCache>
            </c:multiLvlStrRef>
          </c:cat>
          <c:val>
            <c:numRef>
              <c:f>Tabelle5!$N$4:$N$18</c:f>
              <c:numCache>
                <c:formatCode>General</c:formatCode>
                <c:ptCount val="10"/>
                <c:pt idx="9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BC-405E-A17E-5D6DA6AE8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9868024"/>
        <c:axId val="759869464"/>
      </c:barChart>
      <c:catAx>
        <c:axId val="75986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9869464"/>
        <c:crosses val="autoZero"/>
        <c:auto val="1"/>
        <c:lblAlgn val="ctr"/>
        <c:lblOffset val="100"/>
        <c:noMultiLvlLbl val="0"/>
      </c:catAx>
      <c:valAx>
        <c:axId val="75986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986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769620</xdr:colOff>
      <xdr:row>33</xdr:row>
      <xdr:rowOff>91440</xdr:rowOff>
    </xdr:from>
    <xdr:to>
      <xdr:col>11</xdr:col>
      <xdr:colOff>838200</xdr:colOff>
      <xdr:row>49</xdr:row>
      <xdr:rowOff>152400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59069A8-E06E-5703-469D-8E9FE50C0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19</xdr:row>
      <xdr:rowOff>161925</xdr:rowOff>
    </xdr:from>
    <xdr:to>
      <xdr:col>12</xdr:col>
      <xdr:colOff>742950</xdr:colOff>
      <xdr:row>36</xdr:row>
      <xdr:rowOff>47625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CCFB06C-CC46-500F-D6EE-4EF0E9BAB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57.715516319447" createdVersion="8" refreshedVersion="8" minRefreshableVersion="3" recordCount="214" xr:uid="{F2F3A825-5DF7-4A4D-8815-1AED8825E4D7}">
  <cacheSource type="worksheet">
    <worksheetSource ref="A1:AJ215" sheet="benders_bc_ParetoOpt_DelayedSol"/>
  </cacheSource>
  <cacheFields count="36">
    <cacheField name="instance" numFmtId="0">
      <sharedItems containsBlank="1"/>
    </cacheField>
    <cacheField name="Inst String" numFmtId="0">
      <sharedItems containsBlank="1"/>
    </cacheField>
    <cacheField name="Customers" numFmtId="0">
      <sharedItems containsBlank="1"/>
    </cacheField>
    <cacheField name="Periods" numFmtId="0">
      <sharedItems containsBlank="1" count="4">
        <s v="P9"/>
        <s v="P3"/>
        <s v="P6"/>
        <m/>
      </sharedItems>
    </cacheField>
    <cacheField name="MED" numFmtId="0">
      <sharedItems containsBlank="1" count="4">
        <s v="V3"/>
        <s v="V2"/>
        <s v="V4"/>
        <m/>
      </sharedItems>
    </cacheField>
    <cacheField name="Inst Type" numFmtId="0">
      <sharedItems containsBlank="1"/>
    </cacheField>
    <cacheField name="Model" numFmtId="0">
      <sharedItems containsBlank="1" count="7">
        <s v="Benders"/>
        <s v="EF"/>
        <s v="HetPRP"/>
        <m/>
        <s v="benders_bc_disaggregate_MW_paretoOpt_delayedPool_rg3.0" u="1"/>
        <s v="model1_ScenarioPRP_homogeneousFractionalCapCut_capCuts_stoch_integral" u="1"/>
        <s v="model2_HPRP_symmBreakNew3_InputOrderingDemand_USerCuts_newSymmetryBreaking_stoch" u="1"/>
      </sharedItems>
    </cacheField>
    <cacheField name="status" numFmtId="0">
      <sharedItems containsBlank="1"/>
    </cacheField>
    <cacheField name="Status Adj" numFmtId="0">
      <sharedItems containsMixedTypes="1" containsNumber="1" containsInteger="1" minValue="0" maxValue="0" count="4">
        <s v="inf"/>
        <s v="NODE_LIMIT"/>
        <s v="OPTIMAL"/>
        <n v="0"/>
      </sharedItems>
    </cacheField>
    <cacheField name="ObjVal" numFmtId="0">
      <sharedItems containsBlank="1" containsMixedTypes="1" containsNumber="1" minValue="14002" maxValue="163315.79999999999"/>
    </cacheField>
    <cacheField name="AdjUB" numFmtId="0">
      <sharedItems containsString="0" containsBlank="1" containsNumber="1" minValue="14002" maxValue="500000"/>
    </cacheField>
    <cacheField name="ObjBound" numFmtId="0">
      <sharedItems containsString="0" containsBlank="1" containsNumber="1" minValue="11948.9427426621" maxValue="108620.693250878"/>
    </cacheField>
    <cacheField name="Gap" numFmtId="0">
      <sharedItems containsBlank="1" containsMixedTypes="1" containsNumber="1" minValue="0" maxValue="0.50494598948216796"/>
    </cacheField>
    <cacheField name="AdjGap" numFmtId="0">
      <sharedItems containsString="0" containsBlank="1" containsNumber="1" minValue="0" maxValue="0.97610211451467577"/>
    </cacheField>
    <cacheField name="runtime" numFmtId="0">
      <sharedItems containsString="0" containsBlank="1" containsNumber="1" minValue="0.26492285728454601" maxValue="285.88621282577498"/>
    </cacheField>
    <cacheField name="period_vehicle" numFmtId="0">
      <sharedItems containsBlank="1"/>
    </cacheField>
    <cacheField name="Q" numFmtId="0">
      <sharedItems containsString="0" containsBlank="1" containsNumber="1" containsInteger="1" minValue="132" maxValue="360"/>
    </cacheField>
    <cacheField name="error" numFmtId="0">
      <sharedItems containsNonDate="0" containsString="0" containsBlank="1"/>
    </cacheField>
    <cacheField name="recourse_gamma" numFmtId="0">
      <sharedItems containsString="0" containsBlank="1" containsNumber="1" containsInteger="1" minValue="0" maxValue="3"/>
    </cacheField>
    <cacheField name="fixed_prod_cost" numFmtId="0">
      <sharedItems containsString="0" containsBlank="1" containsNumber="1" containsInteger="1" minValue="-1" maxValue="21000"/>
    </cacheField>
    <cacheField name="variable_prod_cost" numFmtId="0">
      <sharedItems containsString="0" containsBlank="1" containsNumber="1" containsInteger="1" minValue="-1" maxValue="59880"/>
    </cacheField>
    <cacheField name="inv_hold_cost" numFmtId="0">
      <sharedItems containsString="0" containsBlank="1" containsNumber="1" containsInteger="1" minValue="-1" maxValue="25858"/>
    </cacheField>
    <cacheField name="routing_cost" numFmtId="0">
      <sharedItems containsString="0" containsBlank="1" containsNumber="1" minValue="-1" maxValue="62127"/>
    </cacheField>
    <cacheField name="recourse_cost" numFmtId="0">
      <sharedItems containsString="0" containsBlank="1" containsNumber="1" minValue="-1" maxValue="36734.699999999997"/>
    </cacheField>
    <cacheField name="unused_routing_cost" numFmtId="0">
      <sharedItems containsString="0" containsBlank="1" containsNumber="1" minValue="-1" maxValue="16872.099999999999"/>
    </cacheField>
    <cacheField name="expected_cost_diff" numFmtId="0">
      <sharedItems containsString="0" containsBlank="1" containsNumber="1" minValue="-1" maxValue="19862.599999999999"/>
    </cacheField>
    <cacheField name="benders_cuts" numFmtId="0">
      <sharedItems containsString="0" containsBlank="1" containsNumber="1" containsInteger="1" minValue="0" maxValue="114"/>
    </cacheField>
    <cacheField name="lfcc" numFmtId="0">
      <sharedItems containsString="0" containsBlank="1" containsNumber="1" containsInteger="1" minValue="0" maxValue="67"/>
    </cacheField>
    <cacheField name="ufcc" numFmtId="0">
      <sharedItems containsString="0" containsBlank="1" containsNumber="1" containsInteger="1" minValue="0" maxValue="101"/>
    </cacheField>
    <cacheField name="lsec" numFmtId="0">
      <sharedItems containsString="0" containsBlank="1" containsNumber="1" containsInteger="1" minValue="0" maxValue="30"/>
    </cacheField>
    <cacheField name="usec" numFmtId="0">
      <sharedItems containsString="0" containsBlank="1" containsNumber="1" containsInteger="1" minValue="0" maxValue="0"/>
    </cacheField>
    <cacheField name="l_st_time" numFmtId="0">
      <sharedItems containsString="0" containsBlank="1" containsNumber="1" minValue="6.4912389536372997E-5" maxValue="3.5933653513590502E-4"/>
    </cacheField>
    <cacheField name="u_st_time" numFmtId="0">
      <sharedItems containsString="0" containsBlank="1" containsNumber="1" minValue="6.3292185465494799E-5" maxValue="4.2626364477749498E-4"/>
    </cacheField>
    <cacheField name="l_fcc_time" numFmtId="0">
      <sharedItems containsString="0" containsBlank="1" containsNumber="1" minValue="4.8341000521624497E-3" maxValue="8.0150079727172897E-3"/>
    </cacheField>
    <cacheField name="u_fcc_time" numFmtId="0">
      <sharedItems containsString="0" containsBlank="1" containsNumber="1" minValue="6.2259207380578902E-3" maxValue="2.6960602513066E-2"/>
    </cacheField>
    <cacheField name="l_benders" numFmtId="0">
      <sharedItems containsString="0" containsBlank="1" containsNumber="1" minValue="3.7410990397135399E-2" maxValue="1.252990484237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s v="MVPRP_C15_P9_V3_I1"/>
    <s v="MVPRP"/>
    <s v="C15"/>
    <x v="0"/>
    <x v="0"/>
    <s v="I1"/>
    <x v="0"/>
    <s v="NODE_LIMIT"/>
    <x v="0"/>
    <s v="inf"/>
    <n v="500000"/>
    <n v="56008.768424739697"/>
    <s v="inf"/>
    <n v="0.88798246315052054"/>
    <n v="3.1147530078887899"/>
    <s v="[]"/>
    <n v="132"/>
    <m/>
    <n v="3"/>
    <n v="-1"/>
    <n v="-1"/>
    <n v="-1"/>
    <n v="-1"/>
    <n v="-1"/>
    <n v="-1"/>
    <n v="-1"/>
    <n v="45"/>
    <n v="36"/>
    <n v="0"/>
    <n v="10"/>
    <n v="0"/>
    <n v="9.7826123237609904E-5"/>
    <n v="1.2739631864759699E-4"/>
    <n v="5.2123069763183602E-3"/>
    <n v="1.1450127319053399E-2"/>
    <n v="0.27927494049072299"/>
  </r>
  <r>
    <s v="MVPRP_C20_P3_V2_I1"/>
    <s v="MVPRP"/>
    <s v="C20"/>
    <x v="1"/>
    <x v="1"/>
    <s v="I1"/>
    <x v="0"/>
    <s v="NODE_LIMIT"/>
    <x v="1"/>
    <n v="30246.299996994599"/>
    <n v="30246.299996994599"/>
    <n v="22251.421698136899"/>
    <n v="0.26432582827162399"/>
    <n v="0.26432582827162682"/>
    <n v="2.7804930210113499"/>
    <s v="[]"/>
    <n v="283"/>
    <m/>
    <n v="3"/>
    <n v="3000"/>
    <n v="12030"/>
    <n v="4147"/>
    <n v="6354"/>
    <n v="0"/>
    <n v="0"/>
    <n v="4715.2999969951798"/>
    <n v="51"/>
    <n v="9"/>
    <n v="0"/>
    <n v="20"/>
    <n v="0"/>
    <n v="1.42790769275866E-4"/>
    <n v="1.12189186943902E-4"/>
    <n v="7.5529978193085798E-3"/>
    <n v="9.88791783650716E-3"/>
    <n v="0.14091366529464699"/>
  </r>
  <r>
    <s v="MVPRP_C40_P3_V4_I1"/>
    <s v="MVPRP"/>
    <s v="C40"/>
    <x v="1"/>
    <x v="2"/>
    <s v="I1"/>
    <x v="0"/>
    <s v="NODE_LIMIT"/>
    <x v="0"/>
    <s v="inf"/>
    <n v="500000"/>
    <n v="23280.314952814701"/>
    <s v="inf"/>
    <n v="0.95343937009437052"/>
    <n v="2.3674409389495898"/>
    <s v="[]"/>
    <n v="270"/>
    <m/>
    <n v="3"/>
    <n v="-1"/>
    <n v="-1"/>
    <n v="-1"/>
    <n v="-1"/>
    <n v="-1"/>
    <n v="-1"/>
    <n v="-1"/>
    <n v="15"/>
    <n v="20"/>
    <n v="0"/>
    <n v="21"/>
    <n v="0"/>
    <n v="2.89968081883022E-4"/>
    <n v="2.7426429416822399E-4"/>
    <n v="7.0863167444864903E-3"/>
    <n v="1.57147859915709E-2"/>
    <n v="0.553258657455444"/>
  </r>
  <r>
    <s v="MVPRP_C10_P9_V2_I1"/>
    <s v="MVPRP"/>
    <s v="C10"/>
    <x v="0"/>
    <x v="1"/>
    <s v="I1"/>
    <x v="0"/>
    <s v="NODE_LIMIT"/>
    <x v="0"/>
    <s v="inf"/>
    <n v="500000"/>
    <n v="48064.94"/>
    <s v="inf"/>
    <n v="0.90387012"/>
    <n v="1.4682521820068399"/>
    <s v="[]"/>
    <n v="198"/>
    <m/>
    <n v="3"/>
    <n v="-1"/>
    <n v="-1"/>
    <n v="-1"/>
    <n v="-1"/>
    <n v="-1"/>
    <n v="-1"/>
    <n v="-1"/>
    <n v="105"/>
    <n v="13"/>
    <n v="0"/>
    <n v="5"/>
    <n v="0"/>
    <n v="9.9443807834532195E-5"/>
    <n v="8.8598993089463997E-5"/>
    <n v="6.7272315154204504E-3"/>
    <n v="7.0638618771991998E-3"/>
    <n v="0.14375813802083301"/>
  </r>
  <r>
    <s v="MVPRP_C15_P3_V2_I1"/>
    <s v="MVPRP"/>
    <s v="C15"/>
    <x v="1"/>
    <x v="1"/>
    <s v="I1"/>
    <x v="0"/>
    <s v="NODE_LIMIT"/>
    <x v="1"/>
    <n v="22545.499996999999"/>
    <n v="22545.499996999999"/>
    <n v="19913.8911925129"/>
    <n v="0.11672434875417501"/>
    <n v="0.11672434875417589"/>
    <n v="2.00925517082214"/>
    <s v="[]"/>
    <n v="198"/>
    <m/>
    <n v="3"/>
    <n v="3000"/>
    <n v="9960"/>
    <n v="3623"/>
    <n v="5031"/>
    <n v="0"/>
    <n v="0"/>
    <n v="931.49999800000103"/>
    <n v="52"/>
    <n v="22"/>
    <n v="0"/>
    <n v="17"/>
    <n v="0"/>
    <n v="8.2989533742268903E-5"/>
    <n v="1.1732843187120199E-4"/>
    <n v="6.2227198418150602E-3"/>
    <n v="9.7658054248706706E-3"/>
    <n v="6.8663156949556797E-2"/>
  </r>
  <r>
    <s v="MVPRP_C40_P3_V3_I1"/>
    <s v="MVPRP"/>
    <s v="C40"/>
    <x v="1"/>
    <x v="0"/>
    <s v="I1"/>
    <x v="0"/>
    <s v="NODE_LIMIT"/>
    <x v="0"/>
    <s v="inf"/>
    <n v="500000"/>
    <n v="22770.367322495302"/>
    <s v="inf"/>
    <n v="0.95445926535500936"/>
    <n v="3.2163171768188499"/>
    <s v="[]"/>
    <n v="360"/>
    <m/>
    <n v="3"/>
    <n v="-1"/>
    <n v="-1"/>
    <n v="-1"/>
    <n v="-1"/>
    <n v="-1"/>
    <n v="-1"/>
    <n v="-1"/>
    <n v="15"/>
    <n v="20"/>
    <n v="0"/>
    <n v="16"/>
    <n v="0"/>
    <n v="2.8358186994280099E-4"/>
    <n v="2.4897052395728299E-4"/>
    <n v="6.8469643592834499E-3"/>
    <n v="1.9834879672888599E-2"/>
    <n v="0.59520316123962402"/>
  </r>
  <r>
    <s v="MVPRP_C20_P6_V3_I1"/>
    <s v="MVPRP"/>
    <s v="C20"/>
    <x v="2"/>
    <x v="0"/>
    <s v="I1"/>
    <x v="0"/>
    <s v="NODE_LIMIT"/>
    <x v="0"/>
    <s v="inf"/>
    <n v="500000"/>
    <n v="38779.301575366997"/>
    <s v="inf"/>
    <n v="0.92244139684926607"/>
    <n v="2.0025200843811"/>
    <s v="[]"/>
    <n v="189"/>
    <m/>
    <n v="3"/>
    <n v="-1"/>
    <n v="-1"/>
    <n v="-1"/>
    <n v="-1"/>
    <n v="-1"/>
    <n v="-1"/>
    <n v="-1"/>
    <n v="30"/>
    <n v="26"/>
    <n v="0"/>
    <n v="15"/>
    <n v="0"/>
    <n v="1.64270401000977E-4"/>
    <n v="1.2822736773574601E-4"/>
    <n v="6.7292126742276304E-3"/>
    <n v="1.06316051985088E-2"/>
    <n v="0.35058832168579102"/>
  </r>
  <r>
    <s v="MVPRP_C30_P3_V4_I1"/>
    <s v="MVPRP"/>
    <s v="C30"/>
    <x v="1"/>
    <x v="2"/>
    <s v="I1"/>
    <x v="0"/>
    <s v="NODE_LIMIT"/>
    <x v="0"/>
    <s v="inf"/>
    <n v="500000"/>
    <n v="13979.281677106899"/>
    <s v="inf"/>
    <n v="0.97204143664578613"/>
    <n v="2.6763770580291801"/>
    <s v="[]"/>
    <n v="171"/>
    <m/>
    <n v="3"/>
    <n v="-1"/>
    <n v="-1"/>
    <n v="-1"/>
    <n v="-1"/>
    <n v="-1"/>
    <n v="-1"/>
    <n v="-1"/>
    <n v="15"/>
    <n v="26"/>
    <n v="0"/>
    <n v="14"/>
    <n v="0"/>
    <n v="2.77376174926758E-4"/>
    <n v="2.3355711074102501E-4"/>
    <n v="5.1531791687011701E-3"/>
    <n v="1.7348041901221599E-2"/>
    <n v="0.360942363739014"/>
  </r>
  <r>
    <s v="MVPRP_C10_P3_V3_I1"/>
    <s v="MVPRP"/>
    <s v="C10"/>
    <x v="1"/>
    <x v="0"/>
    <s v="I1"/>
    <x v="0"/>
    <s v="NODE_LIMIT"/>
    <x v="1"/>
    <n v="14684.0999939994"/>
    <n v="14684.0999939994"/>
    <n v="13851.153526103601"/>
    <n v="5.6724379991706098E-2"/>
    <n v="5.6724379991703926E-2"/>
    <n v="1.02349305152893"/>
    <s v="[]"/>
    <n v="132"/>
    <m/>
    <n v="3"/>
    <n v="3000"/>
    <n v="6390"/>
    <n v="2999"/>
    <n v="2182"/>
    <n v="0"/>
    <n v="0"/>
    <n v="113.099993999489"/>
    <n v="66"/>
    <n v="7"/>
    <n v="0"/>
    <n v="8"/>
    <n v="0"/>
    <n v="6.6582361857096405E-5"/>
    <n v="8.5949897766113295E-5"/>
    <n v="5.2403148851896597E-3"/>
    <n v="8.2446023037559095E-3"/>
    <n v="4.6227043325250801E-2"/>
  </r>
  <r>
    <s v="MVPRP_C10_P3_V2_I1"/>
    <s v="MVPRP"/>
    <s v="C10"/>
    <x v="1"/>
    <x v="1"/>
    <s v="I1"/>
    <x v="0"/>
    <s v="OPTIMAL"/>
    <x v="2"/>
    <n v="14480.899998999899"/>
    <n v="14480.899998999899"/>
    <n v="14480.899998999899"/>
    <n v="0"/>
    <n v="0"/>
    <n v="1.4833400249481199"/>
    <s v="[]"/>
    <n v="198"/>
    <m/>
    <n v="3"/>
    <n v="3000"/>
    <n v="6390"/>
    <n v="2999"/>
    <n v="1535"/>
    <n v="0"/>
    <n v="0"/>
    <n v="556.89999899999702"/>
    <n v="60"/>
    <n v="11"/>
    <n v="0"/>
    <n v="10"/>
    <n v="0"/>
    <n v="1.00503888046532E-4"/>
    <n v="1.24598994399562E-4"/>
    <n v="6.4777088165283202E-3"/>
    <n v="1.00087501384594E-2"/>
    <n v="3.7410990397135399E-2"/>
  </r>
  <r>
    <s v="MVPRP_C30_P9_V4_I1"/>
    <s v="MVPRP"/>
    <s v="C30"/>
    <x v="0"/>
    <x v="2"/>
    <s v="I1"/>
    <x v="0"/>
    <s v="NODE_LIMIT"/>
    <x v="0"/>
    <s v="inf"/>
    <n v="500000"/>
    <n v="64475.544471986199"/>
    <s v="inf"/>
    <n v="0.87104891105602766"/>
    <n v="7.8131220340728804"/>
    <s v="[]"/>
    <n v="171"/>
    <m/>
    <n v="3"/>
    <n v="-1"/>
    <n v="-1"/>
    <n v="-1"/>
    <n v="-1"/>
    <n v="-1"/>
    <n v="-1"/>
    <n v="-1"/>
    <n v="45"/>
    <n v="67"/>
    <n v="0"/>
    <n v="23"/>
    <n v="0"/>
    <n v="3.27825546264648E-4"/>
    <n v="2.3192746771706499E-4"/>
    <n v="5.4538726806640601E-3"/>
    <n v="1.55761030813058E-2"/>
    <n v="1.23187327384949"/>
  </r>
  <r>
    <s v="MVPRP_C20_P3_V3_I1"/>
    <s v="MVPRP"/>
    <s v="C20"/>
    <x v="1"/>
    <x v="0"/>
    <s v="I1"/>
    <x v="0"/>
    <s v="NODE_LIMIT"/>
    <x v="0"/>
    <s v="inf"/>
    <n v="500000"/>
    <n v="17803.329249853501"/>
    <s v="inf"/>
    <n v="0.96439334150029299"/>
    <n v="1.5316510200500499"/>
    <s v="[]"/>
    <n v="189"/>
    <m/>
    <n v="3"/>
    <n v="-1"/>
    <n v="-1"/>
    <n v="-1"/>
    <n v="-1"/>
    <n v="-1"/>
    <n v="-1"/>
    <n v="-1"/>
    <n v="15"/>
    <n v="30"/>
    <n v="0"/>
    <n v="15"/>
    <n v="0"/>
    <n v="1.9058585166931201E-4"/>
    <n v="1.77380479412314E-4"/>
    <n v="5.6599974632263201E-3"/>
    <n v="1.32804635971312E-2"/>
    <n v="0.152929067611694"/>
  </r>
  <r>
    <s v="MVPRP_C40_P6_V3_I1"/>
    <s v="MVPRP"/>
    <s v="C40"/>
    <x v="2"/>
    <x v="0"/>
    <s v="I1"/>
    <x v="0"/>
    <s v="NODE_LIMIT"/>
    <x v="0"/>
    <s v="inf"/>
    <n v="500000"/>
    <n v="54211.034628426001"/>
    <s v="inf"/>
    <n v="0.89157793074314795"/>
    <n v="5.6364650726318404"/>
    <s v="[]"/>
    <n v="360"/>
    <m/>
    <n v="3"/>
    <n v="-1"/>
    <n v="-1"/>
    <n v="-1"/>
    <n v="-1"/>
    <n v="-1"/>
    <n v="-1"/>
    <n v="-1"/>
    <n v="30"/>
    <n v="35"/>
    <n v="0"/>
    <n v="26"/>
    <n v="0"/>
    <n v="2.40759416060014E-4"/>
    <n v="3.58802576859792E-4"/>
    <n v="5.8306625911167696E-3"/>
    <n v="1.9195048495976599E-2"/>
    <n v="1.25299048423767"/>
  </r>
  <r>
    <s v="MVPRP_C15_P9_V2_I1"/>
    <s v="MVPRP"/>
    <s v="C15"/>
    <x v="0"/>
    <x v="1"/>
    <s v="I1"/>
    <x v="0"/>
    <s v="NODE_LIMIT"/>
    <x v="0"/>
    <s v="inf"/>
    <n v="500000"/>
    <n v="58673.023113926298"/>
    <s v="inf"/>
    <n v="0.88265395377214739"/>
    <n v="2.0690848827362101"/>
    <s v="[]"/>
    <n v="198"/>
    <m/>
    <n v="3"/>
    <n v="-1"/>
    <n v="-1"/>
    <n v="-1"/>
    <n v="-1"/>
    <n v="-1"/>
    <n v="-1"/>
    <n v="-1"/>
    <n v="36"/>
    <n v="30"/>
    <n v="0"/>
    <n v="12"/>
    <n v="0"/>
    <n v="1.10056665208605E-4"/>
    <n v="8.7752165617766201E-5"/>
    <n v="6.6844395228794597E-3"/>
    <n v="9.2799910183610605E-3"/>
    <n v="0.250194311141968"/>
  </r>
  <r>
    <s v="MVPRP_C35_P6_V4_I1"/>
    <s v="MVPRP"/>
    <s v="C35"/>
    <x v="2"/>
    <x v="2"/>
    <s v="I1"/>
    <x v="0"/>
    <s v="NODE_LIMIT"/>
    <x v="0"/>
    <s v="inf"/>
    <n v="500000"/>
    <n v="38240.2778597953"/>
    <s v="inf"/>
    <n v="0.92351944428040933"/>
    <n v="5.5676438808441198"/>
    <s v="[]"/>
    <n v="207"/>
    <m/>
    <n v="3"/>
    <n v="-1"/>
    <n v="-1"/>
    <n v="-1"/>
    <n v="-1"/>
    <n v="-1"/>
    <n v="-1"/>
    <n v="-1"/>
    <n v="30"/>
    <n v="44"/>
    <n v="0"/>
    <n v="25"/>
    <n v="0"/>
    <n v="3.3530822167029798E-4"/>
    <n v="2.4900938335217901E-4"/>
    <n v="6.2009394168853803E-3"/>
    <n v="1.7024110794067401E-2"/>
    <n v="1.0148961544036901"/>
  </r>
  <r>
    <s v="MVPRP_C45_P3_V3_I1"/>
    <s v="MVPRP"/>
    <s v="C45"/>
    <x v="1"/>
    <x v="0"/>
    <s v="I1"/>
    <x v="0"/>
    <s v="NODE_LIMIT"/>
    <x v="0"/>
    <s v="inf"/>
    <n v="500000"/>
    <n v="25827.968015578801"/>
    <s v="inf"/>
    <n v="0.94834406396884241"/>
    <n v="4.17445588111877"/>
    <s v="[]"/>
    <n v="360"/>
    <m/>
    <n v="3"/>
    <n v="-1"/>
    <n v="-1"/>
    <n v="-1"/>
    <n v="-1"/>
    <n v="-1"/>
    <n v="-1"/>
    <n v="-1"/>
    <n v="15"/>
    <n v="39"/>
    <n v="0"/>
    <n v="14"/>
    <n v="0"/>
    <n v="2.7787685394287099E-4"/>
    <n v="2.7064040855125099E-4"/>
    <n v="5.1841735839843802E-3"/>
    <n v="2.07134269806276E-2"/>
    <n v="0.75304555892944303"/>
  </r>
  <r>
    <s v="MVPRP_C10_P6_V2_I1"/>
    <s v="MVPRP"/>
    <s v="C10"/>
    <x v="2"/>
    <x v="1"/>
    <s v="I1"/>
    <x v="0"/>
    <s v="NODE_LIMIT"/>
    <x v="1"/>
    <n v="31296.699996999901"/>
    <n v="31296.699996999901"/>
    <n v="29511.361748737701"/>
    <n v="5.7045575042523597E-2"/>
    <n v="5.704557504252341E-2"/>
    <n v="2.5276899337768599"/>
    <s v="[]"/>
    <n v="198"/>
    <m/>
    <n v="3"/>
    <n v="6000"/>
    <n v="12690"/>
    <n v="8187"/>
    <n v="3589"/>
    <n v="0"/>
    <n v="0"/>
    <n v="830.69999699999698"/>
    <n v="114"/>
    <n v="20"/>
    <n v="0"/>
    <n v="6"/>
    <n v="0"/>
    <n v="7.1725460013957897E-5"/>
    <n v="7.2561559222993405E-5"/>
    <n v="5.1753730564327001E-3"/>
    <n v="7.1443303426106802E-3"/>
    <n v="7.67076198871319E-2"/>
  </r>
  <r>
    <s v="MVPRP_C45_P3_V4_I1"/>
    <s v="MVPRP"/>
    <s v="C45"/>
    <x v="1"/>
    <x v="2"/>
    <s v="I1"/>
    <x v="0"/>
    <s v="NODE_LIMIT"/>
    <x v="0"/>
    <s v="inf"/>
    <n v="500000"/>
    <n v="26630.023912713201"/>
    <s v="inf"/>
    <n v="0.94673995217457352"/>
    <n v="3.2472341060638401"/>
    <s v="[]"/>
    <n v="270"/>
    <m/>
    <n v="3"/>
    <n v="-1"/>
    <n v="-1"/>
    <n v="-1"/>
    <n v="-1"/>
    <n v="-1"/>
    <n v="-1"/>
    <n v="-1"/>
    <n v="15"/>
    <n v="31"/>
    <n v="0"/>
    <n v="17"/>
    <n v="0"/>
    <n v="3.5933653513590502E-4"/>
    <n v="2.5604710434422399E-4"/>
    <n v="6.1586697896321603E-3"/>
    <n v="1.89509245814109E-2"/>
    <n v="0.81420969963073697"/>
  </r>
  <r>
    <s v="MVPRP_C25_P6_V3_I1"/>
    <s v="MVPRP"/>
    <s v="C25"/>
    <x v="2"/>
    <x v="0"/>
    <s v="I1"/>
    <x v="0"/>
    <s v="NODE_LIMIT"/>
    <x v="1"/>
    <n v="75080.899995"/>
    <n v="75080.899995"/>
    <n v="55651.223463298003"/>
    <n v="0.258783212947579"/>
    <n v="0.25878321294757939"/>
    <n v="5.0780458450317401"/>
    <s v="[]"/>
    <n v="189"/>
    <m/>
    <n v="3"/>
    <n v="12000"/>
    <n v="28380"/>
    <n v="17866"/>
    <n v="16218"/>
    <n v="0"/>
    <n v="0"/>
    <n v="616.89999599998498"/>
    <n v="90"/>
    <n v="24"/>
    <n v="0"/>
    <n v="22"/>
    <n v="0"/>
    <n v="1.40952128990024E-4"/>
    <n v="1.5975489760890199E-4"/>
    <n v="5.9629714850223401E-3"/>
    <n v="1.0084060912436601E-2"/>
    <n v="0.68225073814392101"/>
  </r>
  <r>
    <s v="MVPRP_C15_P6_V2_I1"/>
    <s v="MVPRP"/>
    <s v="C15"/>
    <x v="2"/>
    <x v="1"/>
    <s v="I1"/>
    <x v="0"/>
    <s v="NODE_LIMIT"/>
    <x v="0"/>
    <s v="inf"/>
    <n v="500000"/>
    <n v="29083.764413098601"/>
    <s v="inf"/>
    <n v="0.94183247117380287"/>
    <n v="1.6239199638366699"/>
    <s v="[]"/>
    <n v="198"/>
    <m/>
    <n v="3"/>
    <n v="-1"/>
    <n v="-1"/>
    <n v="-1"/>
    <n v="-1"/>
    <n v="-1"/>
    <n v="-1"/>
    <n v="-1"/>
    <n v="48"/>
    <n v="18"/>
    <n v="0"/>
    <n v="9"/>
    <n v="0"/>
    <n v="1.0505475495991E-4"/>
    <n v="7.4035981122185196E-5"/>
    <n v="6.32579510028546E-3"/>
    <n v="8.0659816139622698E-3"/>
    <n v="0.180533647537231"/>
  </r>
  <r>
    <s v="MVPRP_C35_P6_V3_I1"/>
    <s v="MVPRP"/>
    <s v="C35"/>
    <x v="2"/>
    <x v="0"/>
    <s v="I1"/>
    <x v="0"/>
    <s v="NODE_LIMIT"/>
    <x v="0"/>
    <s v="inf"/>
    <n v="500000"/>
    <n v="37319.972783955898"/>
    <s v="inf"/>
    <n v="0.92536005443208813"/>
    <n v="4.6375200748443604"/>
    <s v="[]"/>
    <n v="276"/>
    <m/>
    <n v="3"/>
    <n v="-1"/>
    <n v="-1"/>
    <n v="-1"/>
    <n v="-1"/>
    <n v="-1"/>
    <n v="-1"/>
    <n v="-1"/>
    <n v="30"/>
    <n v="34"/>
    <n v="0"/>
    <n v="22"/>
    <n v="0"/>
    <n v="1.9758542378743501E-4"/>
    <n v="2.7354814672982803E-4"/>
    <n v="7.4363405054265804E-3"/>
    <n v="1.7966115867698602E-2"/>
    <n v="0.970686435699463"/>
  </r>
  <r>
    <s v="MVPRP_C25_P3_V3_I1"/>
    <s v="MVPRP"/>
    <s v="C25"/>
    <x v="1"/>
    <x v="0"/>
    <s v="I1"/>
    <x v="0"/>
    <s v="NODE_LIMIT"/>
    <x v="0"/>
    <s v="inf"/>
    <n v="500000"/>
    <n v="19858.608486516201"/>
    <s v="inf"/>
    <n v="0.96028278302696757"/>
    <n v="2.3655850887298602"/>
    <s v="[]"/>
    <n v="189"/>
    <m/>
    <n v="3"/>
    <n v="-1"/>
    <n v="-1"/>
    <n v="-1"/>
    <n v="-1"/>
    <n v="-1"/>
    <n v="-1"/>
    <n v="-1"/>
    <n v="15"/>
    <n v="14"/>
    <n v="0"/>
    <n v="20"/>
    <n v="0"/>
    <n v="2.42329932547904E-4"/>
    <n v="1.55934833344959E-4"/>
    <n v="7.2938919067382802E-3"/>
    <n v="1.39000302269345E-2"/>
    <n v="0.22192621231079099"/>
  </r>
  <r>
    <s v="MVPRP_C10_P6_V3_I1"/>
    <s v="MVPRP"/>
    <s v="C10"/>
    <x v="2"/>
    <x v="0"/>
    <s v="I1"/>
    <x v="0"/>
    <s v="NODE_LIMIT"/>
    <x v="1"/>
    <n v="30750.699991999601"/>
    <n v="30750.699991999601"/>
    <n v="28917.7525734433"/>
    <n v="5.9606689247179899E-2"/>
    <n v="5.9606689247177415E-2"/>
    <n v="2.52082395553589"/>
    <s v="[]"/>
    <n v="132"/>
    <m/>
    <n v="3"/>
    <n v="6000"/>
    <n v="12690"/>
    <n v="7709"/>
    <n v="4268"/>
    <n v="0"/>
    <n v="0"/>
    <n v="83.699992999639306"/>
    <n v="103"/>
    <n v="17"/>
    <n v="0"/>
    <n v="14"/>
    <n v="0"/>
    <n v="6.4912389536372997E-5"/>
    <n v="6.3292185465494799E-5"/>
    <n v="4.8341000521624497E-3"/>
    <n v="6.2259207380578902E-3"/>
    <n v="8.8151198167067304E-2"/>
  </r>
  <r>
    <s v="MVPRP_C35_P3_V3_I1"/>
    <s v="MVPRP"/>
    <s v="C35"/>
    <x v="1"/>
    <x v="0"/>
    <s v="I1"/>
    <x v="0"/>
    <s v="NODE_LIMIT"/>
    <x v="0"/>
    <s v="inf"/>
    <n v="500000"/>
    <n v="16334.90172292"/>
    <s v="inf"/>
    <n v="0.96733019655415997"/>
    <n v="3.2676198482513401"/>
    <s v="[]"/>
    <n v="276"/>
    <m/>
    <n v="3"/>
    <n v="-1"/>
    <n v="-1"/>
    <n v="-1"/>
    <n v="-1"/>
    <n v="-1"/>
    <n v="-1"/>
    <n v="-1"/>
    <n v="15"/>
    <n v="21"/>
    <n v="0"/>
    <n v="17"/>
    <n v="0"/>
    <n v="2.8597391568697402E-4"/>
    <n v="2.2883932719859E-4"/>
    <n v="6.29830360412598E-3"/>
    <n v="1.7278577504533099E-2"/>
    <n v="0.49168729782104498"/>
  </r>
  <r>
    <s v="MVPRP_C50_P3_V3_I1"/>
    <s v="MVPRP"/>
    <s v="C50"/>
    <x v="1"/>
    <x v="0"/>
    <s v="I1"/>
    <x v="0"/>
    <s v="NODE_LIMIT"/>
    <x v="0"/>
    <s v="inf"/>
    <n v="500000"/>
    <n v="20820.931214653501"/>
    <s v="inf"/>
    <n v="0.95835813757069299"/>
    <n v="4.6235661506652797"/>
    <s v="[]"/>
    <n v="360"/>
    <m/>
    <n v="3"/>
    <n v="-1"/>
    <n v="-1"/>
    <n v="-1"/>
    <n v="-1"/>
    <n v="-1"/>
    <n v="-1"/>
    <n v="-1"/>
    <n v="15"/>
    <n v="26"/>
    <n v="0"/>
    <n v="18"/>
    <n v="0"/>
    <n v="3.4391880035400401E-4"/>
    <n v="2.9006269243028401E-4"/>
    <n v="5.96483548482259E-3"/>
    <n v="2.5209742532649501E-2"/>
    <n v="0.88376212120056197"/>
  </r>
  <r>
    <s v="MVPRP_C30_P6_V3_I1"/>
    <s v="MVPRP"/>
    <s v="C30"/>
    <x v="2"/>
    <x v="0"/>
    <s v="I1"/>
    <x v="0"/>
    <s v="NODE_LIMIT"/>
    <x v="0"/>
    <s v="inf"/>
    <n v="500000"/>
    <n v="31553.086311166298"/>
    <s v="inf"/>
    <n v="0.93689382737766747"/>
    <n v="3.9370369911193799"/>
    <s v="[]"/>
    <n v="228"/>
    <m/>
    <n v="3"/>
    <n v="-1"/>
    <n v="-1"/>
    <n v="-1"/>
    <n v="-1"/>
    <n v="-1"/>
    <n v="-1"/>
    <n v="-1"/>
    <n v="30"/>
    <n v="43"/>
    <n v="0"/>
    <n v="19"/>
    <n v="0"/>
    <n v="2.1433830261230501E-4"/>
    <n v="2.0362179854820501E-4"/>
    <n v="6.8990985552469901E-3"/>
    <n v="1.4153691048317801E-2"/>
    <n v="0.79526567459106501"/>
  </r>
  <r>
    <s v="MVPRP_C30_P6_V4_I1"/>
    <s v="MVPRP"/>
    <s v="C30"/>
    <x v="2"/>
    <x v="2"/>
    <s v="I1"/>
    <x v="0"/>
    <s v="NODE_LIMIT"/>
    <x v="0"/>
    <s v="inf"/>
    <n v="500000"/>
    <n v="32117.2333872827"/>
    <s v="inf"/>
    <n v="0.93576553322543465"/>
    <n v="4.0320589542388898"/>
    <s v="[]"/>
    <n v="171"/>
    <m/>
    <n v="3"/>
    <n v="-1"/>
    <n v="-1"/>
    <n v="-1"/>
    <n v="-1"/>
    <n v="-1"/>
    <n v="-1"/>
    <n v="-1"/>
    <n v="30"/>
    <n v="37"/>
    <n v="0"/>
    <n v="20"/>
    <n v="0"/>
    <n v="2.19821929931641E-4"/>
    <n v="2.0795067151387501E-4"/>
    <n v="6.2437057495117196E-3"/>
    <n v="1.44233797110763E-2"/>
    <n v="0.780742406845093"/>
  </r>
  <r>
    <s v="MVPRP_C25_P9_V3_I1"/>
    <s v="MVPRP"/>
    <s v="C25"/>
    <x v="0"/>
    <x v="0"/>
    <s v="I1"/>
    <x v="0"/>
    <s v="NODE_LIMIT"/>
    <x v="0"/>
    <s v="inf"/>
    <n v="500000"/>
    <n v="81560.301957831907"/>
    <s v="inf"/>
    <n v="0.83687939608433626"/>
    <n v="5.2098188400268599"/>
    <s v="[]"/>
    <n v="189"/>
    <m/>
    <n v="3"/>
    <n v="-1"/>
    <n v="-1"/>
    <n v="-1"/>
    <n v="-1"/>
    <n v="-1"/>
    <n v="-1"/>
    <n v="-1"/>
    <n v="45"/>
    <n v="43"/>
    <n v="0"/>
    <n v="15"/>
    <n v="0"/>
    <n v="1.6360623495919401E-4"/>
    <n v="1.87679268847937E-4"/>
    <n v="5.22840023040772E-3"/>
    <n v="1.51842982469205E-2"/>
    <n v="0.73594665527343806"/>
  </r>
  <r>
    <s v="MVPRP_C20_P6_V2_I1"/>
    <s v="MVPRP"/>
    <s v="C20"/>
    <x v="2"/>
    <x v="1"/>
    <s v="I1"/>
    <x v="0"/>
    <s v="NODE_LIMIT"/>
    <x v="1"/>
    <n v="72392.999995999999"/>
    <n v="72392.999995999999"/>
    <n v="42688.866379899002"/>
    <n v="0.41031776024950301"/>
    <n v="0.41031776024950295"/>
    <n v="4.46415495872498"/>
    <s v="[]"/>
    <n v="283"/>
    <m/>
    <n v="3"/>
    <n v="9000"/>
    <n v="23820"/>
    <n v="10716"/>
    <n v="19807"/>
    <n v="0"/>
    <n v="0"/>
    <n v="9049.9999979999993"/>
    <n v="59"/>
    <n v="18"/>
    <n v="0"/>
    <n v="13"/>
    <n v="0"/>
    <n v="1.4242833974410099E-4"/>
    <n v="1.51888996947045E-4"/>
    <n v="7.9599698384602898E-3"/>
    <n v="1.02468827191521E-2"/>
    <n v="0.31516909599304199"/>
  </r>
  <r>
    <s v="MVPRP_C15_P6_V3_I1"/>
    <s v="MVPRP"/>
    <s v="C15"/>
    <x v="2"/>
    <x v="0"/>
    <s v="I1"/>
    <x v="0"/>
    <s v="NODE_LIMIT"/>
    <x v="0"/>
    <s v="inf"/>
    <n v="500000"/>
    <n v="30233.725124421901"/>
    <s v="inf"/>
    <n v="0.93953254975115619"/>
    <n v="1.7077329158782999"/>
    <s v="[]"/>
    <n v="132"/>
    <m/>
    <n v="3"/>
    <n v="-1"/>
    <n v="-1"/>
    <n v="-1"/>
    <n v="-1"/>
    <n v="-1"/>
    <n v="-1"/>
    <n v="-1"/>
    <n v="30"/>
    <n v="31"/>
    <n v="0"/>
    <n v="14"/>
    <n v="0"/>
    <n v="1.49952737908614E-4"/>
    <n v="1.13737349416695E-4"/>
    <n v="6.3191327181729403E-3"/>
    <n v="1.02969720250084E-2"/>
    <n v="0.21275711059570299"/>
  </r>
  <r>
    <s v="MVPRP_C15_P3_V3_I1"/>
    <s v="MVPRP"/>
    <s v="C15"/>
    <x v="1"/>
    <x v="0"/>
    <s v="I1"/>
    <x v="0"/>
    <s v="NODE_LIMIT"/>
    <x v="0"/>
    <s v="inf"/>
    <n v="500000"/>
    <n v="11948.9427426621"/>
    <s v="inf"/>
    <n v="0.97610211451467577"/>
    <n v="1.1254091262817401"/>
    <s v="[]"/>
    <n v="132"/>
    <m/>
    <n v="3"/>
    <n v="-1"/>
    <n v="-1"/>
    <n v="-1"/>
    <n v="-1"/>
    <n v="-1"/>
    <n v="-1"/>
    <n v="-1"/>
    <n v="30"/>
    <n v="20"/>
    <n v="0"/>
    <n v="7"/>
    <n v="0"/>
    <n v="1.16183207585261E-4"/>
    <n v="1.2391688776951199E-4"/>
    <n v="6.7916313807169599E-3"/>
    <n v="1.1063748217643599E-2"/>
    <n v="0.11374580860137901"/>
  </r>
  <r>
    <s v="MVPRP_C25_P9_V2_I1"/>
    <s v="MVPRP"/>
    <s v="C25"/>
    <x v="0"/>
    <x v="1"/>
    <s v="I1"/>
    <x v="0"/>
    <s v="NODE_LIMIT"/>
    <x v="0"/>
    <s v="inf"/>
    <n v="500000"/>
    <n v="81417.065439896396"/>
    <s v="inf"/>
    <n v="0.83716586912020718"/>
    <n v="2.94121313095093"/>
    <s v="[]"/>
    <n v="283"/>
    <m/>
    <n v="3"/>
    <n v="-1"/>
    <n v="-1"/>
    <n v="-1"/>
    <n v="-1"/>
    <n v="-1"/>
    <n v="-1"/>
    <n v="-1"/>
    <n v="36"/>
    <n v="30"/>
    <n v="0"/>
    <n v="10"/>
    <n v="0"/>
    <n v="2.12084163318981E-4"/>
    <n v="1.2587617944788101E-4"/>
    <n v="7.4756145477294896E-3"/>
    <n v="9.5789533980349308E-3"/>
    <n v="0.743061304092407"/>
  </r>
  <r>
    <s v="MVPRP_C35_P3_V4_I1"/>
    <s v="MVPRP"/>
    <s v="C35"/>
    <x v="1"/>
    <x v="2"/>
    <s v="I1"/>
    <x v="0"/>
    <s v="NODE_LIMIT"/>
    <x v="0"/>
    <s v="inf"/>
    <n v="500000"/>
    <n v="16900.157764936001"/>
    <s v="inf"/>
    <n v="0.96619968447012805"/>
    <n v="3.6385979652404798"/>
    <s v="[]"/>
    <n v="207"/>
    <m/>
    <n v="3"/>
    <n v="-1"/>
    <n v="-1"/>
    <n v="-1"/>
    <n v="-1"/>
    <n v="-1"/>
    <n v="-1"/>
    <n v="-1"/>
    <n v="15"/>
    <n v="29"/>
    <n v="0"/>
    <n v="27"/>
    <n v="0"/>
    <n v="3.08899318470674E-4"/>
    <n v="2.8892460032406002E-4"/>
    <n v="7.6614293185147397E-3"/>
    <n v="1.87688647089778E-2"/>
    <n v="0.44912672042846702"/>
  </r>
  <r>
    <s v="MVPRP_C25_P3_V2_I1"/>
    <s v="MVPRP"/>
    <s v="C25"/>
    <x v="1"/>
    <x v="1"/>
    <s v="I1"/>
    <x v="0"/>
    <s v="NODE_LIMIT"/>
    <x v="0"/>
    <s v="inf"/>
    <n v="500000"/>
    <n v="26628.8754906902"/>
    <s v="inf"/>
    <n v="0.9467422490186197"/>
    <n v="2.0763988494872998"/>
    <s v="[]"/>
    <n v="283"/>
    <m/>
    <n v="3"/>
    <n v="-1"/>
    <n v="-1"/>
    <n v="-1"/>
    <n v="-1"/>
    <n v="-1"/>
    <n v="-1"/>
    <n v="-1"/>
    <n v="40"/>
    <n v="8"/>
    <n v="0"/>
    <n v="19"/>
    <n v="0"/>
    <n v="1.4505964336973201E-4"/>
    <n v="1.2970964113871299E-4"/>
    <n v="7.4223719145122304E-3"/>
    <n v="1.1823713779449499E-2"/>
    <n v="0.29924523830413802"/>
  </r>
  <r>
    <s v="MVPRP_C20_P9_V3_I1"/>
    <s v="MVPRP"/>
    <s v="C20"/>
    <x v="0"/>
    <x v="0"/>
    <s v="I1"/>
    <x v="0"/>
    <s v="NODE_LIMIT"/>
    <x v="0"/>
    <s v="inf"/>
    <n v="500000"/>
    <n v="68625.239240401395"/>
    <s v="inf"/>
    <n v="0.86274952151919715"/>
    <n v="2.93758201599121"/>
    <s v="[]"/>
    <n v="189"/>
    <m/>
    <n v="3"/>
    <n v="-1"/>
    <n v="-1"/>
    <n v="-1"/>
    <n v="-1"/>
    <n v="-1"/>
    <n v="-1"/>
    <n v="-1"/>
    <n v="45"/>
    <n v="31"/>
    <n v="0"/>
    <n v="14"/>
    <n v="0"/>
    <n v="1.9708801718319201E-4"/>
    <n v="1.3953482198436401E-4"/>
    <n v="6.8702868052891303E-3"/>
    <n v="1.1557992623776801E-2"/>
    <n v="0.578183174133301"/>
  </r>
  <r>
    <s v="MVPRP_C40_P6_V4_I1"/>
    <s v="MVPRP"/>
    <s v="C40"/>
    <x v="2"/>
    <x v="2"/>
    <s v="I1"/>
    <x v="0"/>
    <s v="NODE_LIMIT"/>
    <x v="0"/>
    <s v="inf"/>
    <n v="500000"/>
    <n v="55244.122161310203"/>
    <s v="inf"/>
    <n v="0.8895117556773795"/>
    <n v="5.5021460056304896"/>
    <s v="[]"/>
    <n v="270"/>
    <m/>
    <n v="3"/>
    <n v="-1"/>
    <n v="-1"/>
    <n v="-1"/>
    <n v="-1"/>
    <n v="-1"/>
    <n v="-1"/>
    <n v="-1"/>
    <n v="30"/>
    <n v="39"/>
    <n v="0"/>
    <n v="30"/>
    <n v="0"/>
    <n v="2.6319026947021497E-4"/>
    <n v="4.2626364477749498E-4"/>
    <n v="6.1122689928327298E-3"/>
    <n v="1.9900578922695599E-2"/>
    <n v="1.20938944816589"/>
  </r>
  <r>
    <s v="MVPRP_C30_P9_V3_I1"/>
    <s v="MVPRP"/>
    <s v="C30"/>
    <x v="0"/>
    <x v="0"/>
    <s v="I1"/>
    <x v="0"/>
    <s v="NODE_LIMIT"/>
    <x v="0"/>
    <s v="inf"/>
    <n v="500000"/>
    <n v="63057.712104104401"/>
    <s v="inf"/>
    <n v="0.87388457579179124"/>
    <n v="6.16147804260254"/>
    <s v="[]"/>
    <n v="228"/>
    <m/>
    <n v="3"/>
    <n v="-1"/>
    <n v="-1"/>
    <n v="-1"/>
    <n v="-1"/>
    <n v="-1"/>
    <n v="-1"/>
    <n v="-1"/>
    <n v="45"/>
    <n v="38"/>
    <n v="0"/>
    <n v="24"/>
    <n v="0"/>
    <n v="1.99781523810493E-4"/>
    <n v="2.33891464415051E-4"/>
    <n v="6.5212249755859401E-3"/>
    <n v="1.59429550170898E-2"/>
    <n v="1.2384057044982899"/>
  </r>
  <r>
    <s v="MVPRP_C25_P6_V2_I1"/>
    <s v="MVPRP"/>
    <s v="C25"/>
    <x v="2"/>
    <x v="1"/>
    <s v="I1"/>
    <x v="0"/>
    <s v="NODE_LIMIT"/>
    <x v="0"/>
    <s v="inf"/>
    <n v="500000"/>
    <n v="40373.695271403602"/>
    <s v="inf"/>
    <n v="0.91925260945719278"/>
    <n v="3.2061340808868399"/>
    <s v="[]"/>
    <n v="283"/>
    <m/>
    <n v="3"/>
    <n v="-1"/>
    <n v="-1"/>
    <n v="-1"/>
    <n v="-1"/>
    <n v="-1"/>
    <n v="-1"/>
    <n v="-1"/>
    <n v="48"/>
    <n v="23"/>
    <n v="0"/>
    <n v="14"/>
    <n v="0"/>
    <n v="1.7481500452215E-4"/>
    <n v="1.2893478075663199E-4"/>
    <n v="7.70179430643718E-3"/>
    <n v="1.0504604822181801E-2"/>
    <n v="0.65879189968109098"/>
  </r>
  <r>
    <s v="MVPRP_C10_P9_V3_I1"/>
    <s v="MVPRP"/>
    <s v="C10"/>
    <x v="0"/>
    <x v="0"/>
    <s v="I1"/>
    <x v="0"/>
    <s v="NODE_LIMIT"/>
    <x v="0"/>
    <s v="inf"/>
    <n v="500000"/>
    <n v="41590.216780924398"/>
    <s v="inf"/>
    <n v="0.91681956643815121"/>
    <n v="2.13083815574646"/>
    <s v="[]"/>
    <n v="132"/>
    <m/>
    <n v="3"/>
    <n v="-1"/>
    <n v="-1"/>
    <n v="-1"/>
    <n v="-1"/>
    <n v="-1"/>
    <n v="-1"/>
    <n v="-1"/>
    <n v="45"/>
    <n v="19"/>
    <n v="0"/>
    <n v="10"/>
    <n v="0"/>
    <n v="1.5707314014434801E-4"/>
    <n v="1.22029878939802E-4"/>
    <n v="5.91175556182861E-3"/>
    <n v="1.0319995880126999E-2"/>
    <n v="0.16005754470825201"/>
  </r>
  <r>
    <s v="MVPRP_C20_P9_V2_I1"/>
    <s v="MVPRP"/>
    <s v="C20"/>
    <x v="0"/>
    <x v="1"/>
    <s v="I1"/>
    <x v="0"/>
    <s v="NODE_LIMIT"/>
    <x v="0"/>
    <s v="inf"/>
    <n v="500000"/>
    <n v="70646.512909643105"/>
    <s v="inf"/>
    <n v="0.85870697418071373"/>
    <n v="4.05814909934998"/>
    <s v="[]"/>
    <n v="283"/>
    <m/>
    <n v="3"/>
    <n v="-1"/>
    <n v="-1"/>
    <n v="-1"/>
    <n v="-1"/>
    <n v="-1"/>
    <n v="-1"/>
    <n v="-1"/>
    <n v="88"/>
    <n v="29"/>
    <n v="0"/>
    <n v="12"/>
    <n v="0"/>
    <n v="1.4824382329391199E-4"/>
    <n v="1.2473385743420499E-4"/>
    <n v="8.0150079727172897E-3"/>
    <n v="9.5650213105338E-3"/>
    <n v="0.58896946907043501"/>
  </r>
  <r>
    <s v="MVPRP_C30_P3_V3_I1"/>
    <s v="MVPRP"/>
    <s v="C30"/>
    <x v="1"/>
    <x v="0"/>
    <s v="I1"/>
    <x v="0"/>
    <s v="NODE_LIMIT"/>
    <x v="0"/>
    <s v="inf"/>
    <n v="500000"/>
    <n v="13667.272540416399"/>
    <s v="inf"/>
    <n v="0.97266545491916723"/>
    <n v="1.62851190567017"/>
    <s v="[]"/>
    <n v="228"/>
    <m/>
    <n v="3"/>
    <n v="-1"/>
    <n v="-1"/>
    <n v="-1"/>
    <n v="-1"/>
    <n v="-1"/>
    <n v="-1"/>
    <n v="-1"/>
    <n v="15"/>
    <n v="16"/>
    <n v="0"/>
    <n v="13"/>
    <n v="0"/>
    <n v="2.3705959320068399E-4"/>
    <n v="2.08218892415365E-4"/>
    <n v="5.6651830673217799E-3"/>
    <n v="1.5816665277248499E-2"/>
    <n v="0.32472300529480003"/>
  </r>
  <r>
    <s v="MVPRP_C50_P3_V4_I1"/>
    <s v="MVPRP"/>
    <s v="C50"/>
    <x v="1"/>
    <x v="2"/>
    <s v="I1"/>
    <x v="0"/>
    <s v="NODE_LIMIT"/>
    <x v="0"/>
    <s v="inf"/>
    <n v="500000"/>
    <n v="21429.851380391399"/>
    <s v="inf"/>
    <n v="0.95714029723921723"/>
    <n v="3.39778780937195"/>
    <s v="[]"/>
    <n v="270"/>
    <m/>
    <n v="3"/>
    <n v="-1"/>
    <n v="-1"/>
    <n v="-1"/>
    <n v="-1"/>
    <n v="-1"/>
    <n v="-1"/>
    <n v="-1"/>
    <n v="15"/>
    <n v="16"/>
    <n v="0"/>
    <n v="14"/>
    <n v="0"/>
    <n v="3.4601688385009802E-4"/>
    <n v="3.2461898914281902E-4"/>
    <n v="5.2515665690104204E-3"/>
    <n v="2.6960602513066E-2"/>
    <n v="0.86603283882141102"/>
  </r>
  <r>
    <s v="MVPRP_C15_P9_V3_I1"/>
    <s v="MVPRP"/>
    <s v="C15"/>
    <x v="0"/>
    <x v="0"/>
    <s v="I1"/>
    <x v="1"/>
    <s v="NODE_LIMIT"/>
    <x v="0"/>
    <s v="inf"/>
    <n v="500000"/>
    <n v="72770.427772141105"/>
    <s v="inf"/>
    <n v="0.8544591444557178"/>
    <n v="13.6058950424194"/>
    <s v="[]"/>
    <n v="132"/>
    <m/>
    <n v="3"/>
    <n v="-1"/>
    <n v="-1"/>
    <n v="-1"/>
    <n v="-1"/>
    <n v="-1"/>
    <n v="-1"/>
    <n v="-1"/>
    <n v="74"/>
    <n v="0"/>
    <n v="29"/>
    <n v="0"/>
    <m/>
    <m/>
    <m/>
    <m/>
    <m/>
    <m/>
  </r>
  <r>
    <s v="MVPRP_C20_P3_V2_I1"/>
    <s v="MVPRP"/>
    <s v="C20"/>
    <x v="1"/>
    <x v="1"/>
    <s v="I1"/>
    <x v="1"/>
    <s v="NODE_LIMIT"/>
    <x v="1"/>
    <n v="23628.6"/>
    <n v="23628.6"/>
    <n v="22248.8877681618"/>
    <n v="5.8391619979100598E-2"/>
    <n v="5.8391619979101556E-2"/>
    <n v="6.3270061016082799"/>
    <s v="[]"/>
    <n v="283"/>
    <m/>
    <n v="3"/>
    <n v="3000"/>
    <n v="12030"/>
    <n v="4455"/>
    <n v="2798"/>
    <n v="1625.4"/>
    <n v="279.8"/>
    <n v="1345.6"/>
    <n v="20"/>
    <n v="0"/>
    <n v="47"/>
    <n v="0"/>
    <m/>
    <m/>
    <m/>
    <m/>
    <m/>
    <m/>
  </r>
  <r>
    <s v="MVPRP_C40_P3_V4_I1"/>
    <s v="MVPRP"/>
    <s v="C40"/>
    <x v="1"/>
    <x v="2"/>
    <s v="I1"/>
    <x v="1"/>
    <s v="NODE_LIMIT"/>
    <x v="0"/>
    <s v="inf"/>
    <n v="500000"/>
    <n v="43662.0035578713"/>
    <s v="inf"/>
    <n v="0.91267599288425738"/>
    <n v="26.459008216857899"/>
    <s v="[]"/>
    <n v="270"/>
    <m/>
    <n v="3"/>
    <n v="-1"/>
    <n v="-1"/>
    <n v="-1"/>
    <n v="-1"/>
    <n v="-1"/>
    <n v="-1"/>
    <n v="-1"/>
    <n v="1"/>
    <n v="0"/>
    <n v="72"/>
    <n v="0"/>
    <m/>
    <m/>
    <m/>
    <m/>
    <m/>
    <m/>
  </r>
  <r>
    <s v="MVPRP_C10_P9_V2_I1"/>
    <s v="MVPRP"/>
    <s v="C10"/>
    <x v="0"/>
    <x v="1"/>
    <s v="I1"/>
    <x v="1"/>
    <s v="NODE_LIMIT"/>
    <x v="1"/>
    <n v="53835.7"/>
    <n v="53835.7"/>
    <n v="50966.880905501799"/>
    <n v="5.3288414462858799E-2"/>
    <n v="5.3288414462860111E-2"/>
    <n v="5.4021718502044704"/>
    <s v="[]"/>
    <n v="198"/>
    <m/>
    <n v="3"/>
    <n v="9000"/>
    <n v="26370"/>
    <n v="10438"/>
    <n v="5889"/>
    <n v="2999.4"/>
    <n v="860.7"/>
    <n v="2138.6999999999998"/>
    <n v="28"/>
    <n v="0"/>
    <n v="17"/>
    <n v="0"/>
    <m/>
    <m/>
    <m/>
    <m/>
    <m/>
    <m/>
  </r>
  <r>
    <s v="MVPRP_C15_P3_V2_I1"/>
    <s v="MVPRP"/>
    <s v="C15"/>
    <x v="1"/>
    <x v="1"/>
    <s v="I1"/>
    <x v="1"/>
    <s v="NODE_LIMIT"/>
    <x v="1"/>
    <n v="22484.2"/>
    <n v="22484.2"/>
    <n v="19443.838190436902"/>
    <n v="0.13522214753307199"/>
    <n v="0.13522214753307207"/>
    <n v="2.9565629959106401"/>
    <s v="[]"/>
    <n v="198"/>
    <m/>
    <n v="3"/>
    <n v="3000"/>
    <n v="9960"/>
    <n v="4529"/>
    <n v="4199"/>
    <n v="1316.1"/>
    <n v="519.9"/>
    <n v="796.2"/>
    <n v="19"/>
    <n v="0"/>
    <n v="31"/>
    <n v="0"/>
    <m/>
    <m/>
    <m/>
    <m/>
    <m/>
    <m/>
  </r>
  <r>
    <s v="MVPRP_C40_P3_V3_I1"/>
    <s v="MVPRP"/>
    <s v="C40"/>
    <x v="1"/>
    <x v="0"/>
    <s v="I1"/>
    <x v="1"/>
    <s v="NODE_LIMIT"/>
    <x v="0"/>
    <s v="inf"/>
    <n v="500000"/>
    <n v="43710.2761713086"/>
    <s v="inf"/>
    <n v="0.91257944765738286"/>
    <n v="41.550261974334703"/>
    <s v="[]"/>
    <n v="360"/>
    <m/>
    <n v="3"/>
    <n v="-1"/>
    <n v="-1"/>
    <n v="-1"/>
    <n v="-1"/>
    <n v="-1"/>
    <n v="-1"/>
    <n v="-1"/>
    <n v="1"/>
    <n v="0"/>
    <n v="69"/>
    <n v="0"/>
    <m/>
    <m/>
    <m/>
    <m/>
    <m/>
    <m/>
  </r>
  <r>
    <s v="MVPRP_C20_P6_V3_I1"/>
    <s v="MVPRP"/>
    <s v="C20"/>
    <x v="2"/>
    <x v="0"/>
    <s v="I1"/>
    <x v="1"/>
    <s v="NODE_LIMIT"/>
    <x v="1"/>
    <n v="52432.6"/>
    <n v="52432.6"/>
    <n v="47211.486558942597"/>
    <n v="9.9577618524685593E-2"/>
    <n v="9.9577618524685052E-2"/>
    <n v="15.541676998138399"/>
    <s v="[]"/>
    <n v="189"/>
    <m/>
    <n v="3"/>
    <n v="6000"/>
    <n v="23820"/>
    <n v="12512"/>
    <n v="9943"/>
    <n v="420"/>
    <n v="262.39999999999998"/>
    <n v="157.6"/>
    <n v="38"/>
    <n v="0"/>
    <n v="60"/>
    <n v="0"/>
    <m/>
    <m/>
    <m/>
    <m/>
    <m/>
    <m/>
  </r>
  <r>
    <s v="MVPRP_C30_P3_V4_I1"/>
    <s v="MVPRP"/>
    <s v="C30"/>
    <x v="1"/>
    <x v="2"/>
    <s v="I1"/>
    <x v="1"/>
    <s v="NODE_LIMIT"/>
    <x v="0"/>
    <s v="inf"/>
    <n v="500000"/>
    <n v="28600.9608507136"/>
    <s v="inf"/>
    <n v="0.94279807829857276"/>
    <n v="14.736608982086199"/>
    <s v="[]"/>
    <n v="171"/>
    <m/>
    <n v="3"/>
    <n v="-1"/>
    <n v="-1"/>
    <n v="-1"/>
    <n v="-1"/>
    <n v="-1"/>
    <n v="-1"/>
    <n v="-1"/>
    <n v="22"/>
    <n v="0"/>
    <n v="37"/>
    <n v="0"/>
    <m/>
    <m/>
    <m/>
    <m/>
    <m/>
    <m/>
  </r>
  <r>
    <s v="MVPRP_C10_P3_V3_I1"/>
    <s v="MVPRP"/>
    <s v="C10"/>
    <x v="1"/>
    <x v="0"/>
    <s v="I1"/>
    <x v="1"/>
    <s v="OPTIMAL"/>
    <x v="2"/>
    <n v="14002"/>
    <n v="14002"/>
    <n v="14000.6961553696"/>
    <n v="9.3118456676831495E-5"/>
    <n v="9.3118456677610914E-5"/>
    <n v="1.46906089782715"/>
    <s v="[]"/>
    <n v="132"/>
    <m/>
    <n v="3"/>
    <n v="3000"/>
    <n v="6390"/>
    <n v="2681"/>
    <n v="1931"/>
    <n v="0"/>
    <n v="0"/>
    <n v="0"/>
    <n v="16"/>
    <n v="0"/>
    <n v="9"/>
    <n v="0"/>
    <m/>
    <m/>
    <m/>
    <m/>
    <m/>
    <m/>
  </r>
  <r>
    <s v="MVPRP_C10_P3_V2_I1"/>
    <s v="MVPRP"/>
    <s v="C10"/>
    <x v="1"/>
    <x v="1"/>
    <s v="I1"/>
    <x v="1"/>
    <s v="NODE_LIMIT"/>
    <x v="1"/>
    <n v="14480.9"/>
    <n v="14480.9"/>
    <n v="13970.95"/>
    <n v="3.5215352636921202E-2"/>
    <n v="3.5215352636921667E-2"/>
    <n v="0.97199296951294001"/>
    <s v="[]"/>
    <n v="198"/>
    <m/>
    <n v="3"/>
    <n v="3000"/>
    <n v="6390"/>
    <n v="2999"/>
    <n v="1535"/>
    <n v="710.4"/>
    <n v="153.5"/>
    <n v="556.9"/>
    <n v="10"/>
    <n v="0"/>
    <n v="12"/>
    <n v="0"/>
    <m/>
    <m/>
    <m/>
    <m/>
    <m/>
    <m/>
  </r>
  <r>
    <s v="MVPRP_C30_P9_V4_I1"/>
    <s v="MVPRP"/>
    <s v="C30"/>
    <x v="0"/>
    <x v="2"/>
    <s v="I1"/>
    <x v="1"/>
    <s v="NODE_LIMIT"/>
    <x v="0"/>
    <s v="inf"/>
    <n v="500000"/>
    <n v="106706.39462317999"/>
    <s v="inf"/>
    <n v="0.78658721075364002"/>
    <n v="113.422084093094"/>
    <s v="[]"/>
    <n v="171"/>
    <m/>
    <n v="3"/>
    <n v="-1"/>
    <n v="-1"/>
    <n v="-1"/>
    <n v="-1"/>
    <n v="-1"/>
    <n v="-1"/>
    <n v="-1"/>
    <n v="6"/>
    <n v="0"/>
    <n v="44"/>
    <n v="0"/>
    <m/>
    <m/>
    <m/>
    <m/>
    <m/>
    <m/>
  </r>
  <r>
    <s v="MVPRP_C20_P3_V3_I1"/>
    <s v="MVPRP"/>
    <s v="C20"/>
    <x v="1"/>
    <x v="0"/>
    <s v="I1"/>
    <x v="1"/>
    <s v="NODE_LIMIT"/>
    <x v="1"/>
    <n v="22557.3"/>
    <n v="22557.3"/>
    <n v="22225.0311889574"/>
    <n v="1.4729990337609499E-2"/>
    <n v="1.4729990337611276E-2"/>
    <n v="6.0490469932556197"/>
    <s v="[]"/>
    <n v="189"/>
    <m/>
    <n v="3"/>
    <n v="3000"/>
    <n v="12030"/>
    <n v="4509"/>
    <n v="2955"/>
    <n v="107.4"/>
    <n v="44.1"/>
    <n v="63.299999999999898"/>
    <n v="34"/>
    <n v="0"/>
    <n v="21"/>
    <n v="0"/>
    <m/>
    <m/>
    <m/>
    <m/>
    <m/>
    <m/>
  </r>
  <r>
    <s v="MVPRP_C40_P6_V3_I1"/>
    <s v="MVPRP"/>
    <s v="C40"/>
    <x v="2"/>
    <x v="0"/>
    <s v="I1"/>
    <x v="1"/>
    <s v="NODE_LIMIT"/>
    <x v="0"/>
    <s v="inf"/>
    <n v="500000"/>
    <n v="94154.536504708201"/>
    <s v="inf"/>
    <n v="0.81169092699058354"/>
    <n v="99.139343976974502"/>
    <s v="[]"/>
    <n v="360"/>
    <m/>
    <n v="3"/>
    <n v="-1"/>
    <n v="-1"/>
    <n v="-1"/>
    <n v="-1"/>
    <n v="-1"/>
    <n v="-1"/>
    <n v="-1"/>
    <n v="0"/>
    <n v="0"/>
    <n v="48"/>
    <n v="0"/>
    <m/>
    <m/>
    <m/>
    <m/>
    <m/>
    <m/>
  </r>
  <r>
    <s v="MVPRP_C15_P9_V2_I1"/>
    <s v="MVPRP"/>
    <s v="C15"/>
    <x v="0"/>
    <x v="1"/>
    <s v="I1"/>
    <x v="1"/>
    <s v="NODE_LIMIT"/>
    <x v="1"/>
    <n v="113406.3"/>
    <n v="113406.3"/>
    <n v="72012.250912902702"/>
    <n v="0.36500660974828802"/>
    <n v="0.36500660974828825"/>
    <n v="31.029495000839201"/>
    <s v="[]"/>
    <n v="198"/>
    <m/>
    <n v="3"/>
    <n v="12000"/>
    <n v="40950"/>
    <n v="13434"/>
    <n v="41231"/>
    <n v="9914.3999999999905"/>
    <n v="4123.1000000000004"/>
    <n v="5791.2999999999902"/>
    <n v="46"/>
    <n v="0"/>
    <n v="58"/>
    <n v="0"/>
    <m/>
    <m/>
    <m/>
    <m/>
    <m/>
    <m/>
  </r>
  <r>
    <s v="MVPRP_C35_P6_V4_I1"/>
    <s v="MVPRP"/>
    <s v="C35"/>
    <x v="2"/>
    <x v="2"/>
    <s v="I1"/>
    <x v="1"/>
    <s v="NODE_LIMIT"/>
    <x v="0"/>
    <s v="inf"/>
    <n v="500000"/>
    <n v="73500.733685345505"/>
    <s v="inf"/>
    <n v="0.85299853262930903"/>
    <n v="87.297355175018296"/>
    <s v="[]"/>
    <n v="207"/>
    <m/>
    <n v="3"/>
    <n v="-1"/>
    <n v="-1"/>
    <n v="-1"/>
    <n v="-1"/>
    <n v="-1"/>
    <n v="-1"/>
    <n v="-1"/>
    <n v="4"/>
    <n v="0"/>
    <n v="55"/>
    <n v="0"/>
    <m/>
    <m/>
    <m/>
    <m/>
    <m/>
    <m/>
  </r>
  <r>
    <s v="MVPRP_C45_P3_V3_I1"/>
    <s v="MVPRP"/>
    <s v="C45"/>
    <x v="1"/>
    <x v="0"/>
    <s v="I1"/>
    <x v="1"/>
    <s v="NODE_LIMIT"/>
    <x v="0"/>
    <s v="inf"/>
    <n v="500000"/>
    <n v="49736.598666666803"/>
    <s v="inf"/>
    <n v="0.9005268026666664"/>
    <n v="45.5883340835571"/>
    <s v="[]"/>
    <n v="360"/>
    <m/>
    <n v="3"/>
    <n v="-1"/>
    <n v="-1"/>
    <n v="-1"/>
    <n v="-1"/>
    <n v="-1"/>
    <n v="-1"/>
    <n v="-1"/>
    <n v="1"/>
    <n v="0"/>
    <n v="97"/>
    <n v="0"/>
    <m/>
    <m/>
    <m/>
    <m/>
    <m/>
    <m/>
  </r>
  <r>
    <s v="MVPRP_C10_P6_V2_I1"/>
    <s v="MVPRP"/>
    <s v="C10"/>
    <x v="2"/>
    <x v="1"/>
    <s v="I1"/>
    <x v="1"/>
    <s v="NODE_LIMIT"/>
    <x v="1"/>
    <n v="30742.799999999999"/>
    <n v="30742.799999999999"/>
    <n v="29006.291732140198"/>
    <n v="5.6485039354248298E-2"/>
    <n v="5.6485039354248832E-2"/>
    <n v="6.2330870628356898"/>
    <s v="[]"/>
    <n v="198"/>
    <m/>
    <n v="3"/>
    <n v="6000"/>
    <n v="12690"/>
    <n v="8160"/>
    <n v="3009"/>
    <n v="1184.7"/>
    <n v="300.89999999999998"/>
    <n v="883.79999999999905"/>
    <n v="28"/>
    <n v="0"/>
    <n v="26"/>
    <n v="0"/>
    <m/>
    <m/>
    <m/>
    <m/>
    <m/>
    <m/>
  </r>
  <r>
    <s v="MVPRP_C45_P3_V4_I1"/>
    <s v="MVPRP"/>
    <s v="C45"/>
    <x v="1"/>
    <x v="2"/>
    <s v="I1"/>
    <x v="1"/>
    <s v="NODE_LIMIT"/>
    <x v="0"/>
    <s v="inf"/>
    <n v="500000"/>
    <n v="49854.441240310298"/>
    <s v="inf"/>
    <n v="0.9002911175193794"/>
    <n v="57.602227926254301"/>
    <s v="[]"/>
    <n v="270"/>
    <m/>
    <n v="3"/>
    <n v="-1"/>
    <n v="-1"/>
    <n v="-1"/>
    <n v="-1"/>
    <n v="-1"/>
    <n v="-1"/>
    <n v="-1"/>
    <n v="0"/>
    <n v="0"/>
    <n v="101"/>
    <n v="0"/>
    <m/>
    <m/>
    <m/>
    <m/>
    <m/>
    <m/>
  </r>
  <r>
    <s v="MVPRP_C25_P6_V3_I1"/>
    <s v="MVPRP"/>
    <s v="C25"/>
    <x v="2"/>
    <x v="0"/>
    <s v="I1"/>
    <x v="1"/>
    <s v="NODE_LIMIT"/>
    <x v="1"/>
    <n v="113783.6"/>
    <n v="113783.6"/>
    <n v="56329.027511156797"/>
    <n v="0.50494598948216796"/>
    <n v="0.50494598948216796"/>
    <n v="27.3382520675659"/>
    <s v="[]"/>
    <n v="189"/>
    <m/>
    <n v="3"/>
    <n v="18000"/>
    <n v="36180"/>
    <n v="22812"/>
    <n v="16929"/>
    <n v="36734.699999999997"/>
    <n v="16872.099999999999"/>
    <n v="19862.599999999999"/>
    <n v="5"/>
    <n v="0"/>
    <n v="39"/>
    <n v="0"/>
    <m/>
    <m/>
    <m/>
    <m/>
    <m/>
    <m/>
  </r>
  <r>
    <s v="MVPRP_C15_P6_V2_I1"/>
    <s v="MVPRP"/>
    <s v="C15"/>
    <x v="2"/>
    <x v="1"/>
    <s v="I1"/>
    <x v="1"/>
    <s v="NODE_LIMIT"/>
    <x v="1"/>
    <n v="45620.7"/>
    <n v="45620.7"/>
    <n v="40992.5012083088"/>
    <n v="0.101449534787744"/>
    <n v="0.10144953478774321"/>
    <n v="8.9298892021179199"/>
    <s v="[]"/>
    <n v="198"/>
    <m/>
    <n v="3"/>
    <n v="6000"/>
    <n v="19800"/>
    <n v="10735"/>
    <n v="7139"/>
    <n v="2688.6"/>
    <n v="741.9"/>
    <n v="1946.7"/>
    <n v="37"/>
    <n v="0"/>
    <n v="46"/>
    <n v="0"/>
    <m/>
    <m/>
    <m/>
    <m/>
    <m/>
    <m/>
  </r>
  <r>
    <s v="MVPRP_C35_P6_V3_I1"/>
    <s v="MVPRP"/>
    <s v="C35"/>
    <x v="2"/>
    <x v="0"/>
    <s v="I1"/>
    <x v="1"/>
    <s v="NODE_LIMIT"/>
    <x v="0"/>
    <s v="inf"/>
    <n v="500000"/>
    <n v="73318.045390942396"/>
    <s v="inf"/>
    <n v="0.85336390921811522"/>
    <n v="62.2991588115692"/>
    <s v="[]"/>
    <n v="276"/>
    <m/>
    <n v="3"/>
    <n v="-1"/>
    <n v="-1"/>
    <n v="-1"/>
    <n v="-1"/>
    <n v="-1"/>
    <n v="-1"/>
    <n v="-1"/>
    <n v="0"/>
    <n v="0"/>
    <n v="46"/>
    <n v="0"/>
    <m/>
    <m/>
    <m/>
    <m/>
    <m/>
    <m/>
  </r>
  <r>
    <s v="MVPRP_C25_P3_V3_I1"/>
    <s v="MVPRP"/>
    <s v="C25"/>
    <x v="1"/>
    <x v="0"/>
    <s v="I1"/>
    <x v="1"/>
    <s v="NODE_LIMIT"/>
    <x v="1"/>
    <n v="26459"/>
    <n v="26459"/>
    <n v="26120.355341587499"/>
    <n v="1.2798845701368199E-2"/>
    <n v="1.2798845701368177E-2"/>
    <n v="13.0781910419464"/>
    <s v="[]"/>
    <n v="189"/>
    <m/>
    <n v="3"/>
    <n v="3000"/>
    <n v="14340"/>
    <n v="5359"/>
    <n v="3684"/>
    <n v="117.9"/>
    <n v="41.9"/>
    <n v="76"/>
    <n v="36"/>
    <n v="0"/>
    <n v="54"/>
    <n v="0"/>
    <m/>
    <m/>
    <m/>
    <m/>
    <m/>
    <m/>
  </r>
  <r>
    <s v="MVPRP_C10_P6_V3_I1"/>
    <s v="MVPRP"/>
    <s v="C10"/>
    <x v="2"/>
    <x v="0"/>
    <s v="I1"/>
    <x v="1"/>
    <s v="NODE_LIMIT"/>
    <x v="1"/>
    <n v="30241.200000000001"/>
    <n v="30241.200000000001"/>
    <n v="29042.444503294399"/>
    <n v="3.9639812464636603E-2"/>
    <n v="3.9639812464637714E-2"/>
    <n v="3.5541651248931898"/>
    <s v="[]"/>
    <n v="132"/>
    <m/>
    <n v="3"/>
    <n v="6000"/>
    <n v="12690"/>
    <n v="8130"/>
    <n v="3361"/>
    <n v="108.3"/>
    <n v="48.1"/>
    <n v="60.200000000000102"/>
    <n v="31"/>
    <n v="0"/>
    <n v="13"/>
    <n v="0"/>
    <m/>
    <m/>
    <m/>
    <m/>
    <m/>
    <m/>
  </r>
  <r>
    <s v="MVPRP_C35_P3_V3_I1"/>
    <s v="MVPRP"/>
    <s v="C35"/>
    <x v="1"/>
    <x v="0"/>
    <s v="I1"/>
    <x v="1"/>
    <s v="NODE_LIMIT"/>
    <x v="0"/>
    <s v="inf"/>
    <n v="500000"/>
    <n v="34898.4633249408"/>
    <s v="inf"/>
    <n v="0.93020307335011831"/>
    <n v="30.623231887817401"/>
    <s v="[]"/>
    <n v="276"/>
    <m/>
    <n v="3"/>
    <n v="-1"/>
    <n v="-1"/>
    <n v="-1"/>
    <n v="-1"/>
    <n v="-1"/>
    <n v="-1"/>
    <n v="-1"/>
    <n v="0"/>
    <n v="0"/>
    <n v="50"/>
    <n v="0"/>
    <m/>
    <m/>
    <m/>
    <m/>
    <m/>
    <m/>
  </r>
  <r>
    <s v="MVPRP_C50_P3_V3_I1"/>
    <s v="MVPRP"/>
    <s v="C50"/>
    <x v="1"/>
    <x v="0"/>
    <s v="I1"/>
    <x v="1"/>
    <s v="NODE_LIMIT"/>
    <x v="0"/>
    <s v="inf"/>
    <n v="500000"/>
    <n v="46075.428794733001"/>
    <s v="inf"/>
    <n v="0.90784914241053394"/>
    <n v="107.25060701370199"/>
    <s v="[]"/>
    <n v="360"/>
    <m/>
    <n v="3"/>
    <n v="-1"/>
    <n v="-1"/>
    <n v="-1"/>
    <n v="-1"/>
    <n v="-1"/>
    <n v="-1"/>
    <n v="-1"/>
    <n v="0"/>
    <n v="0"/>
    <n v="79"/>
    <n v="0"/>
    <m/>
    <m/>
    <m/>
    <m/>
    <m/>
    <m/>
  </r>
  <r>
    <s v="MVPRP_C30_P6_V3_I1"/>
    <s v="MVPRP"/>
    <s v="C30"/>
    <x v="2"/>
    <x v="0"/>
    <s v="I1"/>
    <x v="1"/>
    <s v="NODE_LIMIT"/>
    <x v="0"/>
    <s v="inf"/>
    <n v="500000"/>
    <n v="60154.775581241302"/>
    <s v="inf"/>
    <n v="0.87969044883751746"/>
    <n v="41.4554989337921"/>
    <s v="[]"/>
    <n v="228"/>
    <m/>
    <n v="3"/>
    <n v="-1"/>
    <n v="-1"/>
    <n v="-1"/>
    <n v="-1"/>
    <n v="-1"/>
    <n v="-1"/>
    <n v="-1"/>
    <n v="3"/>
    <n v="0"/>
    <n v="38"/>
    <n v="0"/>
    <m/>
    <m/>
    <m/>
    <m/>
    <m/>
    <m/>
  </r>
  <r>
    <s v="MVPRP_C30_P6_V4_I1"/>
    <s v="MVPRP"/>
    <s v="C30"/>
    <x v="2"/>
    <x v="2"/>
    <s v="I1"/>
    <x v="1"/>
    <s v="NODE_LIMIT"/>
    <x v="0"/>
    <s v="inf"/>
    <n v="500000"/>
    <n v="60296.295833315802"/>
    <s v="inf"/>
    <n v="0.87940740833336839"/>
    <n v="42.254835128784201"/>
    <s v="[]"/>
    <n v="171"/>
    <m/>
    <n v="3"/>
    <n v="-1"/>
    <n v="-1"/>
    <n v="-1"/>
    <n v="-1"/>
    <n v="-1"/>
    <n v="-1"/>
    <n v="-1"/>
    <n v="4"/>
    <n v="0"/>
    <n v="54"/>
    <n v="0"/>
    <m/>
    <m/>
    <m/>
    <m/>
    <m/>
    <m/>
  </r>
  <r>
    <s v="MVPRP_C25_P9_V3_I1"/>
    <s v="MVPRP"/>
    <s v="C25"/>
    <x v="0"/>
    <x v="0"/>
    <s v="I1"/>
    <x v="1"/>
    <s v="NODE_LIMIT"/>
    <x v="0"/>
    <s v="inf"/>
    <n v="500000"/>
    <n v="98714.271536236207"/>
    <s v="inf"/>
    <n v="0.80257145692752752"/>
    <n v="36.050760030746503"/>
    <s v="[]"/>
    <n v="189"/>
    <m/>
    <n v="3"/>
    <n v="-1"/>
    <n v="-1"/>
    <n v="-1"/>
    <n v="-1"/>
    <n v="-1"/>
    <n v="-1"/>
    <n v="-1"/>
    <n v="8"/>
    <n v="0"/>
    <n v="27"/>
    <n v="0"/>
    <m/>
    <m/>
    <m/>
    <m/>
    <m/>
    <m/>
  </r>
  <r>
    <s v="MVPRP_C20_P6_V2_I1"/>
    <s v="MVPRP"/>
    <s v="C20"/>
    <x v="2"/>
    <x v="1"/>
    <s v="I1"/>
    <x v="1"/>
    <s v="NODE_LIMIT"/>
    <x v="1"/>
    <n v="70063.7"/>
    <n v="70063.7"/>
    <n v="46954.656817884999"/>
    <n v="0.32982904388599199"/>
    <n v="0.32982904388599232"/>
    <n v="16.465188026428201"/>
    <s v="[]"/>
    <n v="283"/>
    <m/>
    <n v="3"/>
    <n v="6000"/>
    <n v="23820"/>
    <n v="11518"/>
    <n v="24825"/>
    <n v="6601.2"/>
    <n v="2700.5"/>
    <n v="3900.6999999999898"/>
    <n v="14"/>
    <n v="0"/>
    <n v="81"/>
    <n v="0"/>
    <m/>
    <m/>
    <m/>
    <m/>
    <m/>
    <m/>
  </r>
  <r>
    <s v="MVPRP_C15_P6_V3_I1"/>
    <s v="MVPRP"/>
    <s v="C15"/>
    <x v="2"/>
    <x v="0"/>
    <s v="I1"/>
    <x v="1"/>
    <s v="NODE_LIMIT"/>
    <x v="1"/>
    <n v="47708.1"/>
    <n v="47708.1"/>
    <n v="41361.673993598299"/>
    <n v="0.13302617388665"/>
    <n v="0.13302617388665028"/>
    <n v="9.9416899681091309"/>
    <s v="[]"/>
    <n v="132"/>
    <m/>
    <n v="3"/>
    <n v="6000"/>
    <n v="19800"/>
    <n v="12259"/>
    <n v="8675"/>
    <n v="2483.4"/>
    <n v="1509.3"/>
    <n v="974.10000000000105"/>
    <n v="73"/>
    <n v="0"/>
    <n v="36"/>
    <n v="0"/>
    <m/>
    <m/>
    <m/>
    <m/>
    <m/>
    <m/>
  </r>
  <r>
    <s v="MVPRP_C15_P3_V3_I1"/>
    <s v="MVPRP"/>
    <s v="C15"/>
    <x v="1"/>
    <x v="0"/>
    <s v="I1"/>
    <x v="1"/>
    <s v="NODE_LIMIT"/>
    <x v="1"/>
    <n v="20493.7"/>
    <n v="20493.7"/>
    <n v="19428.380589334"/>
    <n v="5.1982775714781798E-2"/>
    <n v="5.1982775714780695E-2"/>
    <n v="2.7343270778656001"/>
    <s v="[]"/>
    <n v="132"/>
    <m/>
    <n v="3"/>
    <n v="3000"/>
    <n v="9960"/>
    <n v="4142"/>
    <n v="3198"/>
    <n v="278.39999999999998"/>
    <n v="84.7"/>
    <n v="193.7"/>
    <n v="15"/>
    <n v="0"/>
    <n v="22"/>
    <n v="0"/>
    <m/>
    <m/>
    <m/>
    <m/>
    <m/>
    <m/>
  </r>
  <r>
    <s v="MVPRP_C25_P9_V2_I1"/>
    <s v="MVPRP"/>
    <s v="C25"/>
    <x v="0"/>
    <x v="1"/>
    <s v="I1"/>
    <x v="1"/>
    <s v="NODE_LIMIT"/>
    <x v="1"/>
    <n v="163315.79999999999"/>
    <n v="163315.79999999999"/>
    <n v="98464.560625241196"/>
    <n v="0.397091030841834"/>
    <n v="0.397091030841834"/>
    <n v="55.870497941970797"/>
    <s v="[]"/>
    <n v="283"/>
    <m/>
    <n v="3"/>
    <n v="12000"/>
    <n v="59880"/>
    <n v="21765"/>
    <n v="62127"/>
    <n v="13756.5"/>
    <n v="6212.6999999999898"/>
    <n v="7543.7999999999902"/>
    <n v="13"/>
    <n v="0"/>
    <n v="54"/>
    <n v="0"/>
    <m/>
    <m/>
    <m/>
    <m/>
    <m/>
    <m/>
  </r>
  <r>
    <s v="MVPRP_C35_P3_V4_I1"/>
    <s v="MVPRP"/>
    <s v="C35"/>
    <x v="1"/>
    <x v="2"/>
    <s v="I1"/>
    <x v="1"/>
    <s v="NODE_LIMIT"/>
    <x v="0"/>
    <s v="inf"/>
    <n v="500000"/>
    <n v="34920.495581265503"/>
    <s v="inf"/>
    <n v="0.93015900883746905"/>
    <n v="22.780473947525"/>
    <s v="[]"/>
    <n v="207"/>
    <m/>
    <n v="3"/>
    <n v="-1"/>
    <n v="-1"/>
    <n v="-1"/>
    <n v="-1"/>
    <n v="-1"/>
    <n v="-1"/>
    <n v="-1"/>
    <n v="3"/>
    <n v="0"/>
    <n v="52"/>
    <n v="0"/>
    <m/>
    <m/>
    <m/>
    <m/>
    <m/>
    <m/>
  </r>
  <r>
    <s v="MVPRP_C25_P3_V2_I1"/>
    <s v="MVPRP"/>
    <s v="C25"/>
    <x v="1"/>
    <x v="1"/>
    <s v="I1"/>
    <x v="1"/>
    <s v="NODE_LIMIT"/>
    <x v="1"/>
    <n v="28020.9"/>
    <n v="28020.9"/>
    <n v="26084.2022736"/>
    <n v="6.9116185647140393E-2"/>
    <n v="6.9116185647142003E-2"/>
    <n v="12.581871032714799"/>
    <s v="[]"/>
    <n v="283"/>
    <m/>
    <n v="3"/>
    <n v="3000"/>
    <n v="14340"/>
    <n v="5589"/>
    <n v="3391"/>
    <n v="2040"/>
    <n v="339.1"/>
    <n v="1700.9"/>
    <n v="24"/>
    <n v="0"/>
    <n v="68"/>
    <n v="0"/>
    <m/>
    <m/>
    <m/>
    <m/>
    <m/>
    <m/>
  </r>
  <r>
    <s v="MVPRP_C20_P9_V3_I1"/>
    <s v="MVPRP"/>
    <s v="C20"/>
    <x v="0"/>
    <x v="0"/>
    <s v="I1"/>
    <x v="1"/>
    <s v="NODE_LIMIT"/>
    <x v="1"/>
    <n v="140568"/>
    <n v="140568"/>
    <n v="81381.780844632201"/>
    <n v="0.42105044644135098"/>
    <n v="0.42105044644135081"/>
    <n v="25.4665350914001"/>
    <s v="[]"/>
    <n v="189"/>
    <m/>
    <n v="3"/>
    <n v="21000"/>
    <n v="48120"/>
    <n v="20416"/>
    <n v="51032"/>
    <n v="0"/>
    <n v="0"/>
    <n v="0"/>
    <n v="15"/>
    <n v="0"/>
    <n v="49"/>
    <n v="0"/>
    <m/>
    <m/>
    <m/>
    <m/>
    <m/>
    <m/>
  </r>
  <r>
    <s v="MVPRP_C40_P6_V4_I1"/>
    <s v="MVPRP"/>
    <s v="C40"/>
    <x v="2"/>
    <x v="2"/>
    <s v="I1"/>
    <x v="1"/>
    <s v="NODE_LIMIT"/>
    <x v="0"/>
    <s v="inf"/>
    <n v="500000"/>
    <n v="94379.471213176701"/>
    <s v="inf"/>
    <n v="0.81124105757364651"/>
    <n v="104.619059085846"/>
    <s v="[]"/>
    <n v="270"/>
    <m/>
    <n v="3"/>
    <n v="-1"/>
    <n v="-1"/>
    <n v="-1"/>
    <n v="-1"/>
    <n v="-1"/>
    <n v="-1"/>
    <n v="-1"/>
    <n v="1"/>
    <n v="0"/>
    <n v="49"/>
    <n v="0"/>
    <m/>
    <m/>
    <m/>
    <m/>
    <m/>
    <m/>
  </r>
  <r>
    <s v="MVPRP_C30_P9_V3_I1"/>
    <s v="MVPRP"/>
    <s v="C30"/>
    <x v="0"/>
    <x v="0"/>
    <s v="I1"/>
    <x v="1"/>
    <s v="NODE_LIMIT"/>
    <x v="0"/>
    <s v="inf"/>
    <n v="500000"/>
    <n v="106383.190100273"/>
    <s v="inf"/>
    <n v="0.78723361979945394"/>
    <n v="123.60047602653501"/>
    <s v="[]"/>
    <n v="228"/>
    <m/>
    <n v="0"/>
    <n v="-1"/>
    <n v="-1"/>
    <n v="-1"/>
    <n v="-1"/>
    <n v="-1"/>
    <n v="-1"/>
    <n v="-1"/>
    <n v="1"/>
    <n v="0"/>
    <n v="40"/>
    <n v="0"/>
    <m/>
    <m/>
    <m/>
    <m/>
    <m/>
    <m/>
  </r>
  <r>
    <s v="MVPRP_C25_P6_V2_I1"/>
    <s v="MVPRP"/>
    <s v="C25"/>
    <x v="2"/>
    <x v="1"/>
    <s v="I1"/>
    <x v="1"/>
    <s v="NODE_LIMIT"/>
    <x v="1"/>
    <n v="82714"/>
    <n v="82714"/>
    <n v="56081.609104456496"/>
    <n v="0.321981658431989"/>
    <n v="0.32198165843198856"/>
    <n v="25.531783819198601"/>
    <s v="[]"/>
    <n v="283"/>
    <m/>
    <n v="0"/>
    <n v="6000"/>
    <n v="28380"/>
    <n v="15891"/>
    <n v="28128"/>
    <n v="7664.4"/>
    <n v="3349.4"/>
    <n v="4314.99999999999"/>
    <n v="6"/>
    <n v="0"/>
    <n v="58"/>
    <n v="0"/>
    <m/>
    <m/>
    <m/>
    <m/>
    <m/>
    <m/>
  </r>
  <r>
    <s v="MVPRP_C10_P9_V3_I1"/>
    <s v="MVPRP"/>
    <s v="C10"/>
    <x v="0"/>
    <x v="0"/>
    <s v="I1"/>
    <x v="1"/>
    <s v="NODE_LIMIT"/>
    <x v="1"/>
    <n v="54737.1"/>
    <n v="54737.1"/>
    <n v="51068.067922660099"/>
    <n v="6.7030077905842297E-2"/>
    <n v="6.7030077905842658E-2"/>
    <n v="7.5502479076385498"/>
    <s v="[]"/>
    <n v="132"/>
    <m/>
    <n v="0"/>
    <n v="9000"/>
    <n v="26370"/>
    <n v="10650"/>
    <n v="8225"/>
    <n v="774.3"/>
    <n v="282.2"/>
    <n v="492.1"/>
    <n v="44"/>
    <n v="0"/>
    <n v="23"/>
    <n v="0"/>
    <m/>
    <m/>
    <m/>
    <m/>
    <m/>
    <m/>
  </r>
  <r>
    <s v="MVPRP_C20_P9_V2_I1"/>
    <s v="MVPRP"/>
    <s v="C20"/>
    <x v="0"/>
    <x v="1"/>
    <s v="I1"/>
    <x v="1"/>
    <s v="NODE_LIMIT"/>
    <x v="1"/>
    <n v="112437.1"/>
    <n v="112437.1"/>
    <n v="81014.499787755107"/>
    <n v="0.27946825569358302"/>
    <n v="0.27946825569358241"/>
    <n v="30.563349008560198"/>
    <s v="[]"/>
    <n v="283"/>
    <m/>
    <n v="0"/>
    <n v="9000"/>
    <n v="48120"/>
    <n v="14455"/>
    <n v="35437"/>
    <n v="9183.6000000000095"/>
    <n v="3758.5"/>
    <n v="5425.1"/>
    <n v="2"/>
    <n v="0"/>
    <n v="65"/>
    <n v="0"/>
    <m/>
    <m/>
    <m/>
    <m/>
    <m/>
    <m/>
  </r>
  <r>
    <s v="MVPRP_C30_P3_V3_I1"/>
    <s v="MVPRP"/>
    <s v="C30"/>
    <x v="1"/>
    <x v="0"/>
    <s v="I1"/>
    <x v="1"/>
    <s v="NODE_LIMIT"/>
    <x v="1"/>
    <n v="29130"/>
    <n v="29130"/>
    <n v="28653.983972617199"/>
    <n v="1.6341092598104699E-2"/>
    <n v="1.6341092598105064E-2"/>
    <n v="17.009268045425401"/>
    <s v="[]"/>
    <n v="228"/>
    <m/>
    <n v="0"/>
    <n v="3000"/>
    <n v="16680"/>
    <n v="5737"/>
    <n v="3713"/>
    <n v="0"/>
    <n v="0"/>
    <n v="0"/>
    <n v="33"/>
    <n v="0"/>
    <n v="61"/>
    <n v="0"/>
    <m/>
    <m/>
    <m/>
    <m/>
    <m/>
    <m/>
  </r>
  <r>
    <s v="MVPRP_C50_P3_V4_I1"/>
    <s v="MVPRP"/>
    <s v="C50"/>
    <x v="1"/>
    <x v="2"/>
    <s v="I1"/>
    <x v="1"/>
    <s v="NODE_LIMIT"/>
    <x v="0"/>
    <s v="inf"/>
    <n v="500000"/>
    <n v="46183.773996009098"/>
    <s v="inf"/>
    <n v="0.90763245200798182"/>
    <n v="106.349673032761"/>
    <s v="[]"/>
    <n v="270"/>
    <m/>
    <n v="0"/>
    <n v="-1"/>
    <n v="-1"/>
    <n v="-1"/>
    <n v="-1"/>
    <n v="-1"/>
    <n v="-1"/>
    <n v="-1"/>
    <n v="0"/>
    <n v="0"/>
    <n v="66"/>
    <n v="0"/>
    <m/>
    <m/>
    <m/>
    <m/>
    <m/>
    <m/>
  </r>
  <r>
    <s v="MVPRP_C15_P9_V3_I1"/>
    <s v="MVPRP"/>
    <s v="C15"/>
    <x v="0"/>
    <x v="0"/>
    <s v="I1"/>
    <x v="2"/>
    <s v="NODE_LIMIT"/>
    <x v="0"/>
    <s v="inf"/>
    <n v="500000"/>
    <n v="73075.635037472806"/>
    <s v="inf"/>
    <n v="0.85384872992505434"/>
    <n v="9.6509249210357702"/>
    <s v="[]"/>
    <n v="132"/>
    <m/>
    <n v="3"/>
    <n v="-1"/>
    <n v="-1"/>
    <n v="-1"/>
    <n v="-1"/>
    <n v="-1"/>
    <n v="-1"/>
    <n v="-1"/>
    <m/>
    <m/>
    <m/>
    <m/>
    <m/>
    <m/>
    <m/>
    <m/>
    <m/>
    <m/>
  </r>
  <r>
    <s v="MVPRP_C20_P3_V2_I1"/>
    <s v="MVPRP"/>
    <s v="C20"/>
    <x v="1"/>
    <x v="1"/>
    <s v="I1"/>
    <x v="2"/>
    <s v="OPTIMAL"/>
    <x v="2"/>
    <n v="23484.9"/>
    <n v="23484.9"/>
    <n v="23484.9"/>
    <n v="0"/>
    <n v="0"/>
    <n v="1.4713008403778101"/>
    <s v="[(1, 1, 251.0), (3, 1, 150.0)]"/>
    <n v="283"/>
    <m/>
    <n v="3"/>
    <n v="3000"/>
    <n v="12030"/>
    <n v="4509"/>
    <n v="3945.9"/>
    <n v="-1"/>
    <n v="-1"/>
    <n v="-1"/>
    <m/>
    <m/>
    <m/>
    <m/>
    <m/>
    <m/>
    <m/>
    <m/>
    <m/>
    <m/>
  </r>
  <r>
    <s v="MVPRP_C40_P3_V4_I1"/>
    <s v="MVPRP"/>
    <s v="C40"/>
    <x v="1"/>
    <x v="2"/>
    <s v="I1"/>
    <x v="2"/>
    <s v="NODE_LIMIT"/>
    <x v="1"/>
    <n v="44489"/>
    <n v="44489"/>
    <n v="44197.408530914603"/>
    <n v="6.5542374313969504E-3"/>
    <n v="6.5542374313964568E-3"/>
    <n v="98.870800018310604"/>
    <s v="[(1, 2, 208.0), (2, 2, 178.0), (3, 2, 536.0)]"/>
    <n v="270"/>
    <m/>
    <n v="3"/>
    <n v="6000"/>
    <n v="27660"/>
    <n v="5013"/>
    <n v="5816"/>
    <n v="-1"/>
    <n v="-1"/>
    <n v="-1"/>
    <m/>
    <m/>
    <m/>
    <m/>
    <m/>
    <m/>
    <m/>
    <m/>
    <m/>
    <m/>
  </r>
  <r>
    <s v="MVPRP_C10_P9_V2_I1"/>
    <s v="MVPRP"/>
    <s v="C10"/>
    <x v="0"/>
    <x v="1"/>
    <s v="I1"/>
    <x v="2"/>
    <s v="NODE_LIMIT"/>
    <x v="0"/>
    <s v="inf"/>
    <n v="500000"/>
    <n v="52708.731228505902"/>
    <s v="inf"/>
    <n v="0.89458253754298822"/>
    <n v="2.7241120338439901"/>
    <s v="[]"/>
    <n v="198"/>
    <m/>
    <n v="3"/>
    <n v="-1"/>
    <n v="-1"/>
    <n v="-1"/>
    <n v="-1"/>
    <n v="-1"/>
    <n v="-1"/>
    <n v="-1"/>
    <m/>
    <m/>
    <m/>
    <m/>
    <m/>
    <m/>
    <m/>
    <m/>
    <m/>
    <m/>
  </r>
  <r>
    <s v="MVPRP_C15_P3_V2_I1"/>
    <s v="MVPRP"/>
    <s v="C15"/>
    <x v="1"/>
    <x v="1"/>
    <s v="I1"/>
    <x v="2"/>
    <s v="NODE_LIMIT"/>
    <x v="1"/>
    <n v="20575.7"/>
    <n v="20575.7"/>
    <n v="20426.282057893801"/>
    <n v="7.2618643402741203E-3"/>
    <n v="7.261864340275175E-3"/>
    <n v="4.2704877853393599"/>
    <s v="[(1, 1, 97.0), (2, 1, 163.0), (3, 1, 72.0)]"/>
    <n v="198"/>
    <m/>
    <n v="3"/>
    <n v="3000"/>
    <n v="9960"/>
    <n v="3851"/>
    <n v="3764.7"/>
    <n v="-1"/>
    <n v="-1"/>
    <n v="-1"/>
    <m/>
    <m/>
    <m/>
    <m/>
    <m/>
    <m/>
    <m/>
    <m/>
    <m/>
    <m/>
  </r>
  <r>
    <s v="MVPRP_C40_P3_V3_I1"/>
    <s v="MVPRP"/>
    <s v="C40"/>
    <x v="1"/>
    <x v="0"/>
    <s v="I1"/>
    <x v="2"/>
    <s v="NODE_LIMIT"/>
    <x v="0"/>
    <s v="inf"/>
    <n v="500000"/>
    <n v="44107.0461146577"/>
    <s v="inf"/>
    <n v="0.91178590777068458"/>
    <n v="35.571062088012702"/>
    <s v="[]"/>
    <n v="360"/>
    <m/>
    <n v="3"/>
    <n v="-1"/>
    <n v="-1"/>
    <n v="-1"/>
    <n v="-1"/>
    <n v="-1"/>
    <n v="-1"/>
    <n v="-1"/>
    <m/>
    <m/>
    <m/>
    <m/>
    <m/>
    <m/>
    <m/>
    <m/>
    <m/>
    <m/>
  </r>
  <r>
    <s v="MVPRP_C20_P6_V3_I1"/>
    <s v="MVPRP"/>
    <s v="C20"/>
    <x v="2"/>
    <x v="0"/>
    <s v="I1"/>
    <x v="2"/>
    <s v="NODE_LIMIT"/>
    <x v="0"/>
    <s v="inf"/>
    <n v="500000"/>
    <n v="46983.2088274872"/>
    <s v="inf"/>
    <n v="0.90603358234502562"/>
    <n v="9.2368330955505407"/>
    <s v="[]"/>
    <n v="189"/>
    <m/>
    <n v="3"/>
    <n v="-1"/>
    <n v="-1"/>
    <n v="-1"/>
    <n v="-1"/>
    <n v="-1"/>
    <n v="-1"/>
    <n v="-1"/>
    <m/>
    <m/>
    <m/>
    <m/>
    <m/>
    <m/>
    <m/>
    <m/>
    <m/>
    <m/>
  </r>
  <r>
    <s v="MVPRP_C30_P3_V4_I1"/>
    <s v="MVPRP"/>
    <s v="C30"/>
    <x v="1"/>
    <x v="2"/>
    <s v="I1"/>
    <x v="2"/>
    <s v="NODE_LIMIT"/>
    <x v="1"/>
    <n v="29168.3"/>
    <n v="29168.3"/>
    <n v="28675.251806217399"/>
    <n v="1.6903562901595299E-2"/>
    <n v="1.690356290159525E-2"/>
    <n v="47.5305819511414"/>
    <s v="[(1, 2, 171.0), (1, 3, 1.0), (2, 2, 124.0), (3, 2, 260.0)]"/>
    <n v="171"/>
    <m/>
    <n v="3"/>
    <n v="3000"/>
    <n v="16680"/>
    <n v="5464"/>
    <n v="4024.3"/>
    <n v="-1"/>
    <n v="-1"/>
    <n v="-1"/>
    <m/>
    <m/>
    <m/>
    <m/>
    <m/>
    <m/>
    <m/>
    <m/>
    <m/>
    <m/>
  </r>
  <r>
    <s v="MVPRP_C10_P3_V3_I1"/>
    <s v="MVPRP"/>
    <s v="C10"/>
    <x v="1"/>
    <x v="0"/>
    <s v="I1"/>
    <x v="2"/>
    <s v="OPTIMAL"/>
    <x v="2"/>
    <n v="14002"/>
    <n v="14002"/>
    <n v="14001.999975775299"/>
    <n v="1.7300917201589901E-9"/>
    <n v="1.730088602336848E-9"/>
    <n v="1.97940397262573"/>
    <s v="[(1, 1, 89.0), (2, 1, 76.0), (3, 1, 48.0)]"/>
    <n v="132"/>
    <m/>
    <n v="3"/>
    <n v="3000"/>
    <n v="6390"/>
    <n v="2681"/>
    <n v="1931"/>
    <n v="-1"/>
    <n v="-1"/>
    <n v="-1"/>
    <m/>
    <m/>
    <m/>
    <m/>
    <m/>
    <m/>
    <m/>
    <m/>
    <m/>
    <m/>
  </r>
  <r>
    <s v="MVPRP_C10_P3_V2_I1"/>
    <s v="MVPRP"/>
    <s v="C10"/>
    <x v="1"/>
    <x v="1"/>
    <s v="I1"/>
    <x v="2"/>
    <s v="OPTIMAL"/>
    <x v="2"/>
    <n v="14480.9"/>
    <n v="14480.9"/>
    <n v="14480.9"/>
    <n v="0"/>
    <n v="0"/>
    <n v="0.26492285728454601"/>
    <s v="[(1, 1, 165.0), (3, 1, 48.0)]"/>
    <n v="198"/>
    <m/>
    <n v="3"/>
    <n v="3000"/>
    <n v="6390"/>
    <n v="2999"/>
    <n v="2091.9"/>
    <n v="-1"/>
    <n v="-1"/>
    <n v="-1"/>
    <m/>
    <m/>
    <m/>
    <m/>
    <m/>
    <m/>
    <m/>
    <m/>
    <m/>
    <m/>
  </r>
  <r>
    <s v="MVPRP_C30_P9_V4_I1"/>
    <s v="MVPRP"/>
    <s v="C30"/>
    <x v="0"/>
    <x v="2"/>
    <s v="I1"/>
    <x v="2"/>
    <s v="NODE_LIMIT"/>
    <x v="0"/>
    <s v="inf"/>
    <n v="500000"/>
    <n v="108501.852771921"/>
    <s v="inf"/>
    <n v="0.78299629445615804"/>
    <n v="217.68327999114999"/>
    <s v="[]"/>
    <n v="171"/>
    <m/>
    <n v="3"/>
    <n v="-1"/>
    <n v="-1"/>
    <n v="-1"/>
    <n v="-1"/>
    <n v="-1"/>
    <n v="-1"/>
    <n v="-1"/>
    <m/>
    <m/>
    <m/>
    <m/>
    <m/>
    <m/>
    <m/>
    <m/>
    <m/>
    <m/>
  </r>
  <r>
    <s v="MVPRP_C20_P3_V3_I1"/>
    <s v="MVPRP"/>
    <s v="C20"/>
    <x v="1"/>
    <x v="0"/>
    <s v="I1"/>
    <x v="2"/>
    <s v="NODE_LIMIT"/>
    <x v="0"/>
    <s v="inf"/>
    <n v="500000"/>
    <n v="22180.605870528401"/>
    <s v="inf"/>
    <n v="0.95563878825894322"/>
    <n v="1.6866369247436499"/>
    <s v="[]"/>
    <n v="189"/>
    <m/>
    <n v="3"/>
    <n v="-1"/>
    <n v="-1"/>
    <n v="-1"/>
    <n v="-1"/>
    <n v="-1"/>
    <n v="-1"/>
    <n v="-1"/>
    <m/>
    <m/>
    <m/>
    <m/>
    <m/>
    <m/>
    <m/>
    <m/>
    <m/>
    <m/>
  </r>
  <r>
    <s v="MVPRP_C40_P6_V3_I1"/>
    <s v="MVPRP"/>
    <s v="C40"/>
    <x v="2"/>
    <x v="0"/>
    <s v="I1"/>
    <x v="2"/>
    <s v="NODE_LIMIT"/>
    <x v="0"/>
    <s v="inf"/>
    <n v="500000"/>
    <n v="95787.825075717104"/>
    <s v="inf"/>
    <n v="0.80842434984856582"/>
    <n v="55.812713146209703"/>
    <s v="[]"/>
    <n v="360"/>
    <m/>
    <n v="3"/>
    <n v="-1"/>
    <n v="-1"/>
    <n v="-1"/>
    <n v="-1"/>
    <n v="-1"/>
    <n v="-1"/>
    <n v="-1"/>
    <m/>
    <m/>
    <m/>
    <m/>
    <m/>
    <m/>
    <m/>
    <m/>
    <m/>
    <m/>
  </r>
  <r>
    <s v="MVPRP_C15_P9_V2_I1"/>
    <s v="MVPRP"/>
    <s v="C15"/>
    <x v="0"/>
    <x v="1"/>
    <s v="I1"/>
    <x v="2"/>
    <s v="NODE_LIMIT"/>
    <x v="0"/>
    <s v="inf"/>
    <n v="500000"/>
    <n v="75880.393117196407"/>
    <s v="inf"/>
    <n v="0.84823921376560718"/>
    <n v="8.5734570026397705"/>
    <s v="[]"/>
    <n v="198"/>
    <m/>
    <n v="3"/>
    <n v="-1"/>
    <n v="-1"/>
    <n v="-1"/>
    <n v="-1"/>
    <n v="-1"/>
    <n v="-1"/>
    <n v="-1"/>
    <m/>
    <m/>
    <m/>
    <m/>
    <m/>
    <m/>
    <m/>
    <m/>
    <m/>
    <m/>
  </r>
  <r>
    <s v="MVPRP_C35_P6_V4_I1"/>
    <s v="MVPRP"/>
    <s v="C35"/>
    <x v="2"/>
    <x v="2"/>
    <s v="I1"/>
    <x v="2"/>
    <s v="NODE_LIMIT"/>
    <x v="0"/>
    <s v="inf"/>
    <n v="500000"/>
    <n v="74442.483231520804"/>
    <s v="inf"/>
    <n v="0.85111503353695839"/>
    <n v="75.548066139221206"/>
    <s v="[]"/>
    <n v="207"/>
    <m/>
    <n v="3"/>
    <n v="-1"/>
    <n v="-1"/>
    <n v="-1"/>
    <n v="-1"/>
    <n v="-1"/>
    <n v="-1"/>
    <n v="-1"/>
    <m/>
    <m/>
    <m/>
    <m/>
    <m/>
    <m/>
    <m/>
    <m/>
    <m/>
    <m/>
  </r>
  <r>
    <s v="MVPRP_C45_P3_V3_I1"/>
    <s v="MVPRP"/>
    <s v="C45"/>
    <x v="1"/>
    <x v="0"/>
    <s v="I1"/>
    <x v="2"/>
    <s v="NODE_LIMIT"/>
    <x v="0"/>
    <s v="inf"/>
    <n v="500000"/>
    <n v="50587.6882684675"/>
    <s v="inf"/>
    <n v="0.89882462346306502"/>
    <n v="33.732815980911298"/>
    <s v="[]"/>
    <n v="360"/>
    <m/>
    <n v="3"/>
    <n v="-1"/>
    <n v="-1"/>
    <n v="-1"/>
    <n v="-1"/>
    <n v="-1"/>
    <n v="-1"/>
    <n v="-1"/>
    <m/>
    <m/>
    <m/>
    <m/>
    <m/>
    <m/>
    <m/>
    <m/>
    <m/>
    <m/>
  </r>
  <r>
    <s v="MVPRP_C10_P6_V2_I1"/>
    <s v="MVPRP"/>
    <s v="C10"/>
    <x v="2"/>
    <x v="1"/>
    <s v="I1"/>
    <x v="2"/>
    <s v="NODE_LIMIT"/>
    <x v="1"/>
    <n v="30459.9"/>
    <n v="30459.9"/>
    <n v="30114.7793822815"/>
    <n v="1.1330326682572301E-2"/>
    <n v="1.1330326682572868E-2"/>
    <n v="4.1320641040802002"/>
    <s v="[(2, 1, 176.0), (5, 1, 188.0), (6, 1, 59.0)]"/>
    <n v="198"/>
    <m/>
    <n v="3"/>
    <n v="6000"/>
    <n v="12690"/>
    <n v="8163"/>
    <n v="3606.9"/>
    <n v="-1"/>
    <n v="-1"/>
    <n v="-1"/>
    <m/>
    <m/>
    <m/>
    <m/>
    <m/>
    <m/>
    <m/>
    <m/>
    <m/>
    <m/>
  </r>
  <r>
    <s v="MVPRP_C45_P3_V4_I1"/>
    <s v="MVPRP"/>
    <s v="C45"/>
    <x v="1"/>
    <x v="2"/>
    <s v="I1"/>
    <x v="2"/>
    <s v="NODE_LIMIT"/>
    <x v="1"/>
    <n v="51507.6"/>
    <n v="51507.6"/>
    <n v="50379.529536411901"/>
    <n v="2.1901048846928499E-2"/>
    <n v="2.1901048846929339E-2"/>
    <n v="114.23002600669901"/>
    <s v="[(1, 2, 264.0), (2, 2, 270.0), (3, 2, 540.0), (3, 3, 28.0)]"/>
    <n v="270"/>
    <m/>
    <n v="3"/>
    <n v="6000"/>
    <n v="33060"/>
    <n v="6182"/>
    <n v="6265.6"/>
    <n v="-1"/>
    <n v="-1"/>
    <n v="-1"/>
    <m/>
    <m/>
    <m/>
    <m/>
    <m/>
    <m/>
    <m/>
    <m/>
    <m/>
    <m/>
  </r>
  <r>
    <s v="MVPRP_C25_P6_V3_I1"/>
    <s v="MVPRP"/>
    <s v="C25"/>
    <x v="2"/>
    <x v="0"/>
    <s v="I1"/>
    <x v="2"/>
    <s v="NODE_LIMIT"/>
    <x v="0"/>
    <s v="inf"/>
    <n v="500000"/>
    <n v="56815.821039842202"/>
    <s v="inf"/>
    <n v="0.88636835792031554"/>
    <n v="14.184149026870699"/>
    <s v="[]"/>
    <n v="189"/>
    <m/>
    <n v="3"/>
    <n v="-1"/>
    <n v="-1"/>
    <n v="-1"/>
    <n v="-1"/>
    <n v="-1"/>
    <n v="-1"/>
    <n v="-1"/>
    <m/>
    <m/>
    <m/>
    <m/>
    <m/>
    <m/>
    <m/>
    <m/>
    <m/>
    <m/>
  </r>
  <r>
    <s v="MVPRP_C15_P6_V2_I1"/>
    <s v="MVPRP"/>
    <s v="C15"/>
    <x v="2"/>
    <x v="1"/>
    <s v="I1"/>
    <x v="2"/>
    <s v="NODE_LIMIT"/>
    <x v="1"/>
    <n v="43316.9"/>
    <n v="43316.9"/>
    <n v="42880.089579416999"/>
    <n v="1.0084064662591799E-2"/>
    <n v="1.0084064662591328E-2"/>
    <n v="14.413919210434001"/>
    <s v="[(2, 1, 100.0), (3, 1, 176.0), (5, 1, 197.0), (5, 2, 38.0), (6, 1, 149.0)]"/>
    <n v="198"/>
    <m/>
    <n v="3"/>
    <n v="6000"/>
    <n v="19800"/>
    <n v="11217"/>
    <n v="6299.9"/>
    <n v="-1"/>
    <n v="-1"/>
    <n v="-1"/>
    <m/>
    <m/>
    <m/>
    <m/>
    <m/>
    <m/>
    <m/>
    <m/>
    <m/>
    <m/>
  </r>
  <r>
    <s v="MVPRP_C35_P6_V3_I1"/>
    <s v="MVPRP"/>
    <s v="C35"/>
    <x v="2"/>
    <x v="0"/>
    <s v="I1"/>
    <x v="2"/>
    <s v="NODE_LIMIT"/>
    <x v="0"/>
    <s v="inf"/>
    <n v="500000"/>
    <n v="74606.907714423898"/>
    <s v="inf"/>
    <n v="0.85078618457115218"/>
    <n v="49.376044988632202"/>
    <s v="[]"/>
    <n v="276"/>
    <m/>
    <n v="3"/>
    <n v="-1"/>
    <n v="-1"/>
    <n v="-1"/>
    <n v="-1"/>
    <n v="-1"/>
    <n v="-1"/>
    <n v="-1"/>
    <m/>
    <m/>
    <m/>
    <m/>
    <m/>
    <m/>
    <m/>
    <m/>
    <m/>
    <m/>
  </r>
  <r>
    <s v="MVPRP_C25_P3_V3_I1"/>
    <s v="MVPRP"/>
    <s v="C25"/>
    <x v="1"/>
    <x v="0"/>
    <s v="I1"/>
    <x v="2"/>
    <s v="NODE_LIMIT"/>
    <x v="1"/>
    <n v="26376.999999999902"/>
    <n v="26376.999999999902"/>
    <n v="26170.730747545502"/>
    <n v="7.8200421751708094E-3"/>
    <n v="7.8200421751677875E-3"/>
    <n v="19.474472045898398"/>
    <s v="[(1, 1, 189.0), (2, 1, 126.0), (3, 1, 163.0)]"/>
    <n v="189"/>
    <m/>
    <n v="3"/>
    <n v="3000"/>
    <n v="14340"/>
    <n v="5613"/>
    <n v="3424"/>
    <n v="-1"/>
    <n v="-1"/>
    <n v="-1"/>
    <m/>
    <m/>
    <m/>
    <m/>
    <m/>
    <m/>
    <m/>
    <m/>
    <m/>
    <m/>
  </r>
  <r>
    <s v="MVPRP_C10_P6_V3_I1"/>
    <s v="MVPRP"/>
    <s v="C10"/>
    <x v="2"/>
    <x v="0"/>
    <s v="I1"/>
    <x v="2"/>
    <s v="NODE_LIMIT"/>
    <x v="1"/>
    <n v="30205"/>
    <n v="30205"/>
    <n v="29007.044857801899"/>
    <n v="3.9660822453172401E-2"/>
    <n v="3.9660822453173358E-2"/>
    <n v="2.1910879611968999"/>
    <s v="[(2, 1, 100.0), (3, 1, 76.0), (5, 1, 121.0), (6, 1, 126.0)]"/>
    <n v="132"/>
    <m/>
    <n v="3"/>
    <n v="6000"/>
    <n v="12690"/>
    <n v="7528"/>
    <n v="3987"/>
    <n v="-1"/>
    <n v="-1"/>
    <n v="-1"/>
    <m/>
    <m/>
    <m/>
    <m/>
    <m/>
    <m/>
    <m/>
    <m/>
    <m/>
    <m/>
  </r>
  <r>
    <s v="MVPRP_C35_P3_V3_I1"/>
    <s v="MVPRP"/>
    <s v="C35"/>
    <x v="1"/>
    <x v="0"/>
    <s v="I1"/>
    <x v="2"/>
    <s v="NODE_LIMIT"/>
    <x v="0"/>
    <s v="inf"/>
    <n v="500000"/>
    <n v="35171.026392687898"/>
    <s v="inf"/>
    <n v="0.92965794721462414"/>
    <n v="14.5167479515076"/>
    <s v="[]"/>
    <n v="276"/>
    <m/>
    <n v="3"/>
    <n v="-1"/>
    <n v="-1"/>
    <n v="-1"/>
    <n v="-1"/>
    <n v="-1"/>
    <n v="-1"/>
    <n v="-1"/>
    <m/>
    <m/>
    <m/>
    <m/>
    <m/>
    <m/>
    <m/>
    <m/>
    <m/>
    <m/>
  </r>
  <r>
    <s v="MVPRP_C50_P3_V3_I1"/>
    <s v="MVPRP"/>
    <s v="C50"/>
    <x v="1"/>
    <x v="0"/>
    <s v="I1"/>
    <x v="2"/>
    <s v="NODE_LIMIT"/>
    <x v="0"/>
    <s v="inf"/>
    <n v="500000"/>
    <n v="46623.993224897"/>
    <s v="inf"/>
    <n v="0.90675201355020596"/>
    <n v="33.110257148742697"/>
    <s v="[]"/>
    <n v="360"/>
    <m/>
    <n v="3"/>
    <n v="-1"/>
    <n v="-1"/>
    <n v="-1"/>
    <n v="-1"/>
    <n v="-1"/>
    <n v="-1"/>
    <n v="-1"/>
    <m/>
    <m/>
    <m/>
    <m/>
    <m/>
    <m/>
    <m/>
    <m/>
    <m/>
    <m/>
  </r>
  <r>
    <s v="MVPRP_C30_P6_V3_I1"/>
    <s v="MVPRP"/>
    <s v="C30"/>
    <x v="2"/>
    <x v="0"/>
    <s v="I1"/>
    <x v="2"/>
    <s v="NODE_LIMIT"/>
    <x v="0"/>
    <s v="inf"/>
    <n v="500000"/>
    <n v="60951.916503877401"/>
    <s v="inf"/>
    <n v="0.87809616699224524"/>
    <n v="16.959041118621801"/>
    <s v="[]"/>
    <n v="228"/>
    <m/>
    <n v="3"/>
    <n v="-1"/>
    <n v="-1"/>
    <n v="-1"/>
    <n v="-1"/>
    <n v="-1"/>
    <n v="-1"/>
    <n v="-1"/>
    <m/>
    <m/>
    <m/>
    <m/>
    <m/>
    <m/>
    <m/>
    <m/>
    <m/>
    <m/>
  </r>
  <r>
    <s v="MVPRP_C30_P6_V4_I1"/>
    <s v="MVPRP"/>
    <s v="C30"/>
    <x v="2"/>
    <x v="2"/>
    <s v="I1"/>
    <x v="2"/>
    <s v="NODE_LIMIT"/>
    <x v="1"/>
    <n v="62364"/>
    <n v="62364"/>
    <n v="61161.558507935297"/>
    <n v="1.92810193711873E-2"/>
    <n v="1.9281019371186953E-2"/>
    <n v="57.422312974929802"/>
    <s v="[(2, 2, 112.0), (3, 2, 317.0), (5, 2, 339.0), (6, 2, 337.0)]"/>
    <n v="171"/>
    <m/>
    <n v="3"/>
    <n v="6000"/>
    <n v="33150"/>
    <n v="15531"/>
    <n v="7683"/>
    <n v="-1"/>
    <n v="-1"/>
    <n v="-1"/>
    <m/>
    <m/>
    <m/>
    <m/>
    <m/>
    <m/>
    <m/>
    <m/>
    <m/>
    <m/>
  </r>
  <r>
    <s v="MVPRP_C25_P9_V3_I1"/>
    <s v="MVPRP"/>
    <s v="C25"/>
    <x v="0"/>
    <x v="0"/>
    <s v="I1"/>
    <x v="2"/>
    <s v="NODE_LIMIT"/>
    <x v="0"/>
    <s v="inf"/>
    <n v="500000"/>
    <n v="100415.148124343"/>
    <s v="inf"/>
    <n v="0.79916970375131402"/>
    <n v="31.9018008708954"/>
    <s v="[]"/>
    <n v="189"/>
    <m/>
    <n v="3"/>
    <n v="-1"/>
    <n v="-1"/>
    <n v="-1"/>
    <n v="-1"/>
    <n v="-1"/>
    <n v="-1"/>
    <n v="-1"/>
    <m/>
    <m/>
    <m/>
    <m/>
    <m/>
    <m/>
    <m/>
    <m/>
    <m/>
    <m/>
  </r>
  <r>
    <s v="MVPRP_C20_P6_V2_I1"/>
    <s v="MVPRP"/>
    <s v="C20"/>
    <x v="2"/>
    <x v="1"/>
    <s v="I1"/>
    <x v="2"/>
    <s v="NODE_LIMIT"/>
    <x v="1"/>
    <n v="49849"/>
    <n v="49849"/>
    <n v="48737.808304218699"/>
    <n v="2.2291153198284699E-2"/>
    <n v="2.2291153198284838E-2"/>
    <n v="11.512531995773299"/>
    <s v="[(2, 1, 278.0), (3, 1, 84.0), (5, 1, 273.0), (6, 1, 159.0)]"/>
    <n v="283"/>
    <m/>
    <n v="3"/>
    <n v="6000"/>
    <n v="23820"/>
    <n v="13024"/>
    <n v="7005"/>
    <n v="-1"/>
    <n v="-1"/>
    <n v="-1"/>
    <m/>
    <m/>
    <m/>
    <m/>
    <m/>
    <m/>
    <m/>
    <m/>
    <m/>
    <m/>
  </r>
  <r>
    <s v="MVPRP_C15_P6_V3_I1"/>
    <s v="MVPRP"/>
    <s v="C15"/>
    <x v="2"/>
    <x v="0"/>
    <s v="I1"/>
    <x v="2"/>
    <s v="NODE_LIMIT"/>
    <x v="0"/>
    <s v="inf"/>
    <n v="500000"/>
    <n v="41190.0755913709"/>
    <s v="inf"/>
    <n v="0.91761984881725811"/>
    <n v="3.4742062091827401"/>
    <s v="[]"/>
    <n v="132"/>
    <m/>
    <n v="3"/>
    <n v="-1"/>
    <n v="-1"/>
    <n v="-1"/>
    <n v="-1"/>
    <n v="-1"/>
    <n v="-1"/>
    <n v="-1"/>
    <m/>
    <m/>
    <m/>
    <m/>
    <m/>
    <m/>
    <m/>
    <m/>
    <m/>
    <m/>
  </r>
  <r>
    <s v="MVPRP_C15_P3_V3_I1"/>
    <s v="MVPRP"/>
    <s v="C15"/>
    <x v="1"/>
    <x v="0"/>
    <s v="I1"/>
    <x v="2"/>
    <s v="NODE_LIMIT"/>
    <x v="1"/>
    <n v="22194.299999999901"/>
    <n v="22194.299999999901"/>
    <n v="19340.8087018027"/>
    <n v="0.12856865493379799"/>
    <n v="0.12856865493379893"/>
    <n v="2.2189478874206499"/>
    <s v="[(1, 1, 58.0), (1, 2, 42.0), (2, 1, 122.0), (2, 2, 0), (2, 3, 0), (2, 4, 10.0), (3, 1, 100.0)]"/>
    <n v="132"/>
    <m/>
    <n v="3"/>
    <n v="3000"/>
    <n v="9960"/>
    <n v="3820"/>
    <n v="5414.3"/>
    <n v="-1"/>
    <n v="-1"/>
    <n v="-1"/>
    <m/>
    <m/>
    <m/>
    <m/>
    <m/>
    <m/>
    <m/>
    <m/>
    <m/>
    <m/>
  </r>
  <r>
    <s v="MVPRP_C25_P9_V2_I1"/>
    <s v="MVPRP"/>
    <s v="C25"/>
    <x v="0"/>
    <x v="1"/>
    <s v="I1"/>
    <x v="2"/>
    <s v="NODE_LIMIT"/>
    <x v="0"/>
    <s v="inf"/>
    <n v="500000"/>
    <n v="104956.262693686"/>
    <s v="inf"/>
    <n v="0.79008747461262796"/>
    <n v="23.198307037353501"/>
    <s v="[]"/>
    <n v="283"/>
    <m/>
    <n v="3"/>
    <n v="-1"/>
    <n v="-1"/>
    <n v="-1"/>
    <n v="-1"/>
    <n v="-1"/>
    <n v="-1"/>
    <n v="-1"/>
    <m/>
    <m/>
    <m/>
    <m/>
    <m/>
    <m/>
    <m/>
    <m/>
    <m/>
    <m/>
  </r>
  <r>
    <s v="MVPRP_C35_P3_V4_I1"/>
    <s v="MVPRP"/>
    <s v="C35"/>
    <x v="1"/>
    <x v="2"/>
    <s v="I1"/>
    <x v="2"/>
    <s v="NODE_LIMIT"/>
    <x v="1"/>
    <n v="35896"/>
    <n v="35896"/>
    <n v="35274.410497894401"/>
    <n v="1.7316400214665999E-2"/>
    <n v="1.7316400214664546E-2"/>
    <n v="54.766975879669197"/>
    <s v="[(1, 2, 246.0), (2, 2, 112.0), (3, 2, 362.0)]"/>
    <n v="207"/>
    <m/>
    <n v="3"/>
    <n v="3000"/>
    <n v="21600"/>
    <n v="6543"/>
    <n v="4753"/>
    <n v="-1"/>
    <n v="-1"/>
    <n v="-1"/>
    <m/>
    <m/>
    <m/>
    <m/>
    <m/>
    <m/>
    <m/>
    <m/>
    <m/>
    <m/>
  </r>
  <r>
    <s v="MVPRP_C25_P3_V2_I1"/>
    <s v="MVPRP"/>
    <s v="C25"/>
    <x v="1"/>
    <x v="1"/>
    <s v="I1"/>
    <x v="2"/>
    <s v="NODE_LIMIT"/>
    <x v="0"/>
    <s v="inf"/>
    <n v="500000"/>
    <n v="27521.174999999999"/>
    <s v="inf"/>
    <n v="0.94495764999999998"/>
    <n v="1.8292889595031701"/>
    <s v="[]"/>
    <n v="283"/>
    <m/>
    <n v="3"/>
    <n v="-1"/>
    <n v="-1"/>
    <n v="-1"/>
    <n v="-1"/>
    <n v="-1"/>
    <n v="-1"/>
    <n v="-1"/>
    <m/>
    <m/>
    <m/>
    <m/>
    <m/>
    <m/>
    <m/>
    <m/>
    <m/>
    <m/>
  </r>
  <r>
    <s v="MVPRP_C20_P9_V3_I1"/>
    <s v="MVPRP"/>
    <s v="C20"/>
    <x v="0"/>
    <x v="0"/>
    <s v="I1"/>
    <x v="2"/>
    <s v="NODE_LIMIT"/>
    <x v="0"/>
    <s v="inf"/>
    <n v="500000"/>
    <n v="82142.652773001799"/>
    <s v="inf"/>
    <n v="0.83571469445399638"/>
    <n v="15.8631920814514"/>
    <s v="[]"/>
    <n v="189"/>
    <m/>
    <n v="3"/>
    <n v="-1"/>
    <n v="-1"/>
    <n v="-1"/>
    <n v="-1"/>
    <n v="-1"/>
    <n v="-1"/>
    <n v="-1"/>
    <m/>
    <m/>
    <m/>
    <m/>
    <m/>
    <m/>
    <m/>
    <m/>
    <m/>
    <m/>
  </r>
  <r>
    <s v="MVPRP_C40_P6_V4_I1"/>
    <s v="MVPRP"/>
    <s v="C40"/>
    <x v="2"/>
    <x v="2"/>
    <s v="I1"/>
    <x v="2"/>
    <s v="NODE_LIMIT"/>
    <x v="1"/>
    <n v="96950.6"/>
    <n v="96950.6"/>
    <n v="95929.192018910893"/>
    <n v="1.053534460941E-2"/>
    <n v="1.0535344609410489E-2"/>
    <n v="96.842208862304702"/>
    <s v="[(2, 2, 263.0), (3, 2, 259.0), (4, 2, 248.0), (5, 2, 536.0), (5, 3, 14.0), (6, 2, 519.0)]"/>
    <n v="270"/>
    <m/>
    <n v="3"/>
    <n v="6000"/>
    <n v="55170"/>
    <n v="25858"/>
    <n v="9922.6"/>
    <n v="-1"/>
    <n v="-1"/>
    <n v="-1"/>
    <m/>
    <m/>
    <m/>
    <m/>
    <m/>
    <m/>
    <m/>
    <m/>
    <m/>
    <m/>
  </r>
  <r>
    <s v="MVPRP_C30_P9_V3_I1"/>
    <s v="MVPRP"/>
    <s v="C30"/>
    <x v="0"/>
    <x v="0"/>
    <s v="I1"/>
    <x v="2"/>
    <s v="NODE_LIMIT"/>
    <x v="0"/>
    <s v="inf"/>
    <n v="500000"/>
    <n v="108620.693250878"/>
    <s v="inf"/>
    <n v="0.78275861349824394"/>
    <n v="68.532445907592802"/>
    <s v="[]"/>
    <n v="228"/>
    <m/>
    <n v="3"/>
    <n v="-1"/>
    <n v="-1"/>
    <n v="-1"/>
    <n v="-1"/>
    <n v="-1"/>
    <n v="-1"/>
    <n v="-1"/>
    <m/>
    <m/>
    <m/>
    <m/>
    <m/>
    <m/>
    <m/>
    <m/>
    <m/>
    <m/>
  </r>
  <r>
    <s v="MVPRP_C25_P6_V2_I1"/>
    <s v="MVPRP"/>
    <s v="C25"/>
    <x v="2"/>
    <x v="1"/>
    <s v="I1"/>
    <x v="2"/>
    <s v="NODE_LIMIT"/>
    <x v="0"/>
    <s v="inf"/>
    <n v="500000"/>
    <n v="58430.950652498002"/>
    <s v="inf"/>
    <n v="0.88313809869500404"/>
    <n v="10.74991106987"/>
    <s v="[]"/>
    <n v="283"/>
    <m/>
    <n v="3"/>
    <n v="-1"/>
    <n v="-1"/>
    <n v="-1"/>
    <n v="-1"/>
    <n v="-1"/>
    <n v="-1"/>
    <n v="-1"/>
    <m/>
    <m/>
    <m/>
    <m/>
    <m/>
    <m/>
    <m/>
    <m/>
    <m/>
    <m/>
  </r>
  <r>
    <s v="MVPRP_C10_P9_V3_I1"/>
    <s v="MVPRP"/>
    <s v="C10"/>
    <x v="0"/>
    <x v="0"/>
    <s v="I1"/>
    <x v="2"/>
    <s v="NODE_LIMIT"/>
    <x v="0"/>
    <s v="inf"/>
    <n v="500000"/>
    <n v="51243.0209239865"/>
    <s v="inf"/>
    <n v="0.89751395815202695"/>
    <n v="3.7158751487731898"/>
    <s v="[]"/>
    <n v="132"/>
    <m/>
    <n v="3"/>
    <n v="-1"/>
    <n v="-1"/>
    <n v="-1"/>
    <n v="-1"/>
    <n v="-1"/>
    <n v="-1"/>
    <n v="-1"/>
    <m/>
    <m/>
    <m/>
    <m/>
    <m/>
    <m/>
    <m/>
    <m/>
    <m/>
    <m/>
  </r>
  <r>
    <s v="MVPRP_C20_P9_V2_I1"/>
    <s v="MVPRP"/>
    <s v="C20"/>
    <x v="0"/>
    <x v="1"/>
    <s v="I1"/>
    <x v="2"/>
    <s v="NODE_LIMIT"/>
    <x v="0"/>
    <s v="inf"/>
    <n v="500000"/>
    <n v="85884.495900861293"/>
    <s v="inf"/>
    <n v="0.82823100819827744"/>
    <n v="14.148878812789899"/>
    <s v="[]"/>
    <n v="283"/>
    <m/>
    <n v="3"/>
    <n v="-1"/>
    <n v="-1"/>
    <n v="-1"/>
    <n v="-1"/>
    <n v="-1"/>
    <n v="-1"/>
    <n v="-1"/>
    <m/>
    <m/>
    <m/>
    <m/>
    <m/>
    <m/>
    <m/>
    <m/>
    <m/>
    <m/>
  </r>
  <r>
    <s v="MVPRP_C30_P3_V3_I1"/>
    <s v="MVPRP"/>
    <s v="C30"/>
    <x v="1"/>
    <x v="0"/>
    <s v="I1"/>
    <x v="2"/>
    <s v="NODE_LIMIT"/>
    <x v="0"/>
    <s v="inf"/>
    <n v="500000"/>
    <n v="28532.996757765999"/>
    <s v="inf"/>
    <n v="0.94293400648446801"/>
    <n v="7.5364928245544398"/>
    <s v="[]"/>
    <n v="228"/>
    <m/>
    <n v="3"/>
    <n v="-1"/>
    <n v="-1"/>
    <n v="-1"/>
    <n v="-1"/>
    <n v="-1"/>
    <n v="-1"/>
    <n v="-1"/>
    <m/>
    <m/>
    <m/>
    <m/>
    <m/>
    <m/>
    <m/>
    <m/>
    <m/>
    <m/>
  </r>
  <r>
    <s v="MVPRP_C50_P3_V4_I1"/>
    <s v="MVPRP"/>
    <s v="C50"/>
    <x v="1"/>
    <x v="2"/>
    <s v="I1"/>
    <x v="2"/>
    <s v="NODE_LIMIT"/>
    <x v="1"/>
    <n v="47465"/>
    <n v="47465"/>
    <n v="46694.230595632398"/>
    <n v="1.6238689652746701E-2"/>
    <n v="1.6238689652746274E-2"/>
    <n v="285.88621282577498"/>
    <s v="[(1, 2, 176.0), (2, 2, 270.0), (3, 2, 540.0)]"/>
    <n v="270"/>
    <m/>
    <n v="3"/>
    <n v="6000"/>
    <n v="29580"/>
    <n v="5621"/>
    <n v="6264"/>
    <n v="-1"/>
    <n v="-1"/>
    <n v="-1"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x v="3"/>
    <x v="3"/>
    <m/>
    <x v="3"/>
    <m/>
    <x v="3"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A137B-D4E0-4B43-992B-0F584280AEC8}" name="PivotTable2" cacheId="17" applyNumberFormats="0" applyBorderFormats="0" applyFontFormats="0" applyPatternFormats="0" applyAlignmentFormats="0" applyWidthHeightFormats="1" dataCaption="Werte" updatedVersion="8" minRefreshableVersion="3" useAutoFormatting="1" colGrandTotals="0" itemPrintTitles="1" createdVersion="8" indent="0" outline="1" outlineData="1" multipleFieldFilters="0" chartFormat="1">
  <location ref="A1:M16" firstHeaderRow="1" firstDataRow="3" firstDataCol="1"/>
  <pivotFields count="36">
    <pivotField showAll="0"/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5">
        <item x="1"/>
        <item x="0"/>
        <item x="2"/>
        <item h="1" x="3"/>
        <item t="default"/>
      </items>
    </pivotField>
    <pivotField showAll="0"/>
    <pivotField axis="axisCol" showAll="0">
      <items count="8">
        <item x="0"/>
        <item m="1" x="4"/>
        <item x="1"/>
        <item x="2"/>
        <item m="1" x="5"/>
        <item m="1" x="6"/>
        <item x="3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6"/>
    <field x="-2"/>
  </colFields>
  <colItems count="12">
    <i>
      <x/>
      <x/>
    </i>
    <i r="1" i="1">
      <x v="1"/>
    </i>
    <i r="1" i="2">
      <x v="2"/>
    </i>
    <i r="1" i="3">
      <x v="3"/>
    </i>
    <i>
      <x v="2"/>
      <x/>
    </i>
    <i r="1" i="1">
      <x v="1"/>
    </i>
    <i r="1" i="2">
      <x v="2"/>
    </i>
    <i r="1" i="3">
      <x v="3"/>
    </i>
    <i>
      <x v="3"/>
      <x/>
    </i>
    <i r="1" i="1">
      <x v="1"/>
    </i>
    <i r="1" i="2">
      <x v="2"/>
    </i>
    <i r="1" i="3">
      <x v="3"/>
    </i>
  </colItems>
  <dataFields count="4">
    <dataField name="Mittelwert von AdjUB" fld="10" subtotal="average" baseField="4" baseItem="0"/>
    <dataField name="Mittelwert von ObjBound" fld="11" subtotal="average" baseField="4" baseItem="0"/>
    <dataField name="Mittelwert von AdjGap" fld="13" subtotal="average" baseField="4" baseItem="0"/>
    <dataField name="Mittelwert von runtime" fld="14" subtotal="average" baseField="4" baseItem="0"/>
  </dataFields>
  <formats count="4">
    <format dxfId="7">
      <pivotArea outline="0" collapsedLevelsAreSubtotals="1" fieldPosition="0"/>
    </format>
    <format dxfId="6">
      <pivotArea outline="0" collapsedLevelsAreSubtotals="1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format>
    <format dxfId="5">
      <pivotArea outline="0" collapsedLevelsAreSubtotals="1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format>
    <format dxfId="4">
      <pivotArea outline="0" collapsedLevelsAreSubtotals="1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format>
  </formats>
  <chartFormats count="20">
    <chartFormat chart="0" format="3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6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CEF32-539B-4765-8BA3-05D99C2310F6}" name="PivotTable4" cacheId="17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">
  <location ref="A1:P18" firstHeaderRow="1" firstDataRow="3" firstDataCol="1"/>
  <pivotFields count="36">
    <pivotField showAll="0"/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showAll="0"/>
    <pivotField axis="axisCol" showAll="0">
      <items count="8">
        <item x="0"/>
        <item m="1" x="4"/>
        <item x="1"/>
        <item x="2"/>
        <item m="1" x="5"/>
        <item m="1" x="6"/>
        <item x="3"/>
        <item t="default"/>
      </items>
    </pivotField>
    <pivotField showAll="0"/>
    <pivotField axis="axisCol" dataField="1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15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 v="3"/>
    </i>
    <i t="grand">
      <x/>
    </i>
  </rowItems>
  <colFields count="2">
    <field x="6"/>
    <field x="8"/>
  </colFields>
  <colItems count="15">
    <i>
      <x/>
      <x v="1"/>
    </i>
    <i r="1">
      <x v="2"/>
    </i>
    <i r="1">
      <x v="3"/>
    </i>
    <i t="default">
      <x/>
    </i>
    <i>
      <x v="2"/>
      <x v="1"/>
    </i>
    <i r="1">
      <x v="2"/>
    </i>
    <i r="1">
      <x v="3"/>
    </i>
    <i t="default">
      <x v="2"/>
    </i>
    <i>
      <x v="3"/>
      <x v="1"/>
    </i>
    <i r="1">
      <x v="2"/>
    </i>
    <i r="1">
      <x v="3"/>
    </i>
    <i t="default">
      <x v="3"/>
    </i>
    <i>
      <x v="6"/>
      <x/>
    </i>
    <i t="default">
      <x v="6"/>
    </i>
    <i t="grand">
      <x/>
    </i>
  </colItems>
  <dataFields count="1">
    <dataField name="Anzahl von Status Adj" fld="8" subtotal="count" baseField="0" baseItem="0"/>
  </dataFields>
  <chartFormats count="1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8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8" count="1" selected="0">
            <x v="2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8" count="1" selected="0">
            <x v="3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8" count="1" selected="0">
            <x v="0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8" count="1" selected="0">
            <x v="1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8" count="1" selected="0">
            <x v="2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8" count="1" selected="0">
            <x v="3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0C63-20DA-46B6-8870-BFC6E9190458}">
  <dimension ref="A1:M16"/>
  <sheetViews>
    <sheetView tabSelected="1" topLeftCell="F1" workbookViewId="0">
      <selection activeCell="K25" sqref="K25"/>
    </sheetView>
  </sheetViews>
  <sheetFormatPr baseColWidth="10" defaultRowHeight="13.2" x14ac:dyDescent="0.25"/>
  <cols>
    <col min="1" max="1" width="21.44140625" bestFit="1" customWidth="1"/>
    <col min="2" max="2" width="23" bestFit="1" customWidth="1"/>
    <col min="3" max="3" width="22.88671875" bestFit="1" customWidth="1"/>
    <col min="4" max="4" width="20.33203125" bestFit="1" customWidth="1"/>
    <col min="5" max="5" width="20.6640625" bestFit="1" customWidth="1"/>
    <col min="6" max="6" width="19.44140625" bestFit="1" customWidth="1"/>
    <col min="7" max="7" width="22.88671875" bestFit="1" customWidth="1"/>
    <col min="8" max="8" width="20.33203125" bestFit="1" customWidth="1"/>
    <col min="9" max="9" width="20.6640625" bestFit="1" customWidth="1"/>
    <col min="10" max="10" width="19.44140625" bestFit="1" customWidth="1"/>
    <col min="11" max="11" width="22.88671875" bestFit="1" customWidth="1"/>
    <col min="12" max="12" width="20.33203125" bestFit="1" customWidth="1"/>
    <col min="13" max="13" width="20.6640625" bestFit="1" customWidth="1"/>
    <col min="14" max="14" width="27.5546875" bestFit="1" customWidth="1"/>
    <col min="15" max="15" width="30.88671875" bestFit="1" customWidth="1"/>
    <col min="16" max="16" width="28.44140625" bestFit="1" customWidth="1"/>
    <col min="17" max="17" width="28.77734375" bestFit="1" customWidth="1"/>
    <col min="18" max="18" width="27.5546875" bestFit="1" customWidth="1"/>
    <col min="19" max="19" width="30.88671875" bestFit="1" customWidth="1"/>
    <col min="20" max="20" width="28.44140625" bestFit="1" customWidth="1"/>
    <col min="21" max="21" width="28.77734375" bestFit="1" customWidth="1"/>
  </cols>
  <sheetData>
    <row r="1" spans="1:13" x14ac:dyDescent="0.25">
      <c r="B1" s="1" t="s">
        <v>83</v>
      </c>
    </row>
    <row r="2" spans="1:13" x14ac:dyDescent="0.25">
      <c r="B2" t="s">
        <v>99</v>
      </c>
      <c r="F2" t="s">
        <v>100</v>
      </c>
      <c r="J2" t="s">
        <v>101</v>
      </c>
    </row>
    <row r="3" spans="1:13" x14ac:dyDescent="0.25">
      <c r="A3" s="1" t="s">
        <v>80</v>
      </c>
      <c r="B3" t="s">
        <v>95</v>
      </c>
      <c r="C3" t="s">
        <v>96</v>
      </c>
      <c r="D3" t="s">
        <v>97</v>
      </c>
      <c r="E3" t="s">
        <v>98</v>
      </c>
      <c r="F3" t="s">
        <v>95</v>
      </c>
      <c r="G3" t="s">
        <v>96</v>
      </c>
      <c r="H3" t="s">
        <v>97</v>
      </c>
      <c r="I3" t="s">
        <v>98</v>
      </c>
      <c r="J3" t="s">
        <v>95</v>
      </c>
      <c r="K3" t="s">
        <v>96</v>
      </c>
      <c r="L3" t="s">
        <v>97</v>
      </c>
      <c r="M3" t="s">
        <v>98</v>
      </c>
    </row>
    <row r="4" spans="1:13" x14ac:dyDescent="0.25">
      <c r="A4" s="2" t="s">
        <v>92</v>
      </c>
      <c r="B4" s="4">
        <v>305913.5333321662</v>
      </c>
      <c r="C4" s="4">
        <v>40311.193138078721</v>
      </c>
      <c r="D4" s="5">
        <v>0.59488647992004273</v>
      </c>
      <c r="E4" s="4">
        <v>2.5590071082115182</v>
      </c>
      <c r="F4" s="4">
        <v>63395.891666666663</v>
      </c>
      <c r="G4" s="4">
        <v>46436.760777199168</v>
      </c>
      <c r="H4" s="5">
        <v>0.18354540775023123</v>
      </c>
      <c r="I4" s="4">
        <v>16.905241250991814</v>
      </c>
      <c r="J4" s="4">
        <v>265180.60833333334</v>
      </c>
      <c r="K4" s="4">
        <v>48792.230659713219</v>
      </c>
      <c r="L4" s="5">
        <v>0.43668361597485239</v>
      </c>
      <c r="M4" s="4">
        <v>8.107431809107462</v>
      </c>
    </row>
    <row r="5" spans="1:13" x14ac:dyDescent="0.25">
      <c r="A5" s="3" t="s">
        <v>89</v>
      </c>
      <c r="B5" s="4">
        <v>141818.17499824864</v>
      </c>
      <c r="C5" s="4">
        <v>20818.772095084976</v>
      </c>
      <c r="D5" s="5">
        <v>0.33194810651110562</v>
      </c>
      <c r="E5" s="4">
        <v>2.0873717665672276</v>
      </c>
      <c r="F5" s="4">
        <v>22153.65</v>
      </c>
      <c r="G5" s="4">
        <v>20436.969558049677</v>
      </c>
      <c r="H5" s="5">
        <v>7.4486326449059323E-2</v>
      </c>
      <c r="I5" s="4">
        <v>5.7093582749366654</v>
      </c>
      <c r="J5" s="4">
        <v>139635.375</v>
      </c>
      <c r="K5" s="4">
        <v>21478.314264473451</v>
      </c>
      <c r="L5" s="5">
        <v>0.2380548785850688</v>
      </c>
      <c r="M5" s="4">
        <v>1.9590001106262216</v>
      </c>
    </row>
    <row r="6" spans="1:13" x14ac:dyDescent="0.25">
      <c r="A6" s="3" t="s">
        <v>90</v>
      </c>
      <c r="B6" s="4">
        <v>275922.42499824998</v>
      </c>
      <c r="C6" s="4">
        <v>35414.421953284727</v>
      </c>
      <c r="D6" s="5">
        <v>0.58211210398075552</v>
      </c>
      <c r="E6" s="4">
        <v>2.9554747343063372</v>
      </c>
      <c r="F6" s="4">
        <v>57285.3</v>
      </c>
      <c r="G6" s="4">
        <v>43258.764715697624</v>
      </c>
      <c r="H6" s="5">
        <v>0.20243631911499324</v>
      </c>
      <c r="I6" s="4">
        <v>14.289987027645104</v>
      </c>
      <c r="J6" s="4">
        <v>155906.45000000001</v>
      </c>
      <c r="K6" s="4">
        <v>45040.906979603795</v>
      </c>
      <c r="L6" s="5">
        <v>0.23171091080961326</v>
      </c>
      <c r="M6" s="4">
        <v>10.202106595039377</v>
      </c>
    </row>
    <row r="7" spans="1:13" x14ac:dyDescent="0.25">
      <c r="A7" s="3" t="s">
        <v>91</v>
      </c>
      <c r="B7" s="4">
        <v>500000</v>
      </c>
      <c r="C7" s="4">
        <v>64700.385365866445</v>
      </c>
      <c r="D7" s="5">
        <v>0.87059922926826705</v>
      </c>
      <c r="E7" s="4">
        <v>2.6341748237609899</v>
      </c>
      <c r="F7" s="4">
        <v>110748.72500000001</v>
      </c>
      <c r="G7" s="4">
        <v>75614.548057850203</v>
      </c>
      <c r="H7" s="5">
        <v>0.27371357768664117</v>
      </c>
      <c r="I7" s="4">
        <v>30.716378450393666</v>
      </c>
      <c r="J7" s="4">
        <v>500000</v>
      </c>
      <c r="K7" s="4">
        <v>79857.470735062394</v>
      </c>
      <c r="L7" s="5">
        <v>0.84028505852987523</v>
      </c>
      <c r="M7" s="4">
        <v>12.161188721656792</v>
      </c>
    </row>
    <row r="8" spans="1:13" x14ac:dyDescent="0.25">
      <c r="A8" s="2" t="s">
        <v>93</v>
      </c>
      <c r="B8" s="4">
        <v>434310.27142766659</v>
      </c>
      <c r="C8" s="4">
        <v>35732.943323299027</v>
      </c>
      <c r="D8" s="5">
        <v>0.81291290103493286</v>
      </c>
      <c r="E8" s="4">
        <v>3.2395821071806408</v>
      </c>
      <c r="F8" s="4">
        <v>264386.3142857143</v>
      </c>
      <c r="G8" s="4">
        <v>52225.663925016263</v>
      </c>
      <c r="H8" s="5">
        <v>0.47625637684892819</v>
      </c>
      <c r="I8" s="4">
        <v>34.804572809310166</v>
      </c>
      <c r="J8" s="4">
        <v>409179.9190476191</v>
      </c>
      <c r="K8" s="4">
        <v>52740.802179730032</v>
      </c>
      <c r="L8" s="5">
        <v>0.72085604753854382</v>
      </c>
      <c r="M8" s="4">
        <v>20.510721490496682</v>
      </c>
    </row>
    <row r="9" spans="1:13" x14ac:dyDescent="0.25">
      <c r="A9" s="3" t="s">
        <v>89</v>
      </c>
      <c r="B9" s="4">
        <v>446076.01111044432</v>
      </c>
      <c r="C9" s="4">
        <v>18098.163869022152</v>
      </c>
      <c r="D9" s="5">
        <v>0.8620733041557237</v>
      </c>
      <c r="E9" s="4">
        <v>2.5507343610127764</v>
      </c>
      <c r="F9" s="4">
        <v>234738</v>
      </c>
      <c r="G9" s="4">
        <v>31649.912689501652</v>
      </c>
      <c r="H9" s="5">
        <v>0.41634492098813825</v>
      </c>
      <c r="I9" s="4">
        <v>29.483592112859039</v>
      </c>
      <c r="J9" s="4">
        <v>340285.9222222222</v>
      </c>
      <c r="K9" s="4">
        <v>31857.432894903104</v>
      </c>
      <c r="L9" s="5">
        <v>0.63133133173122746</v>
      </c>
      <c r="M9" s="4">
        <v>16.647426313824131</v>
      </c>
    </row>
    <row r="10" spans="1:13" x14ac:dyDescent="0.25">
      <c r="A10" s="3" t="s">
        <v>90</v>
      </c>
      <c r="B10" s="4">
        <v>372261.65714099997</v>
      </c>
      <c r="C10" s="4">
        <v>39523.728065725481</v>
      </c>
      <c r="D10" s="5">
        <v>0.7048850944782975</v>
      </c>
      <c r="E10" s="4">
        <v>3.6457349913460875</v>
      </c>
      <c r="F10" s="4">
        <v>249166.5</v>
      </c>
      <c r="G10" s="4">
        <v>57367.427149126292</v>
      </c>
      <c r="H10" s="5">
        <v>0.47456212562919386</v>
      </c>
      <c r="I10" s="4">
        <v>37.038540840148919</v>
      </c>
      <c r="J10" s="4">
        <v>432886.42857142858</v>
      </c>
      <c r="K10" s="4">
        <v>57906.114230074374</v>
      </c>
      <c r="L10" s="5">
        <v>0.75528418756396232</v>
      </c>
      <c r="M10" s="4">
        <v>21.604867935180653</v>
      </c>
    </row>
    <row r="11" spans="1:13" x14ac:dyDescent="0.25">
      <c r="A11" s="3" t="s">
        <v>91</v>
      </c>
      <c r="B11" s="4">
        <v>500000</v>
      </c>
      <c r="C11" s="4">
        <v>62168.447701600366</v>
      </c>
      <c r="D11" s="5">
        <v>0.8756631045967993</v>
      </c>
      <c r="E11" s="4">
        <v>3.910894012451172</v>
      </c>
      <c r="F11" s="4">
        <v>339061.02</v>
      </c>
      <c r="G11" s="4">
        <v>82063.54763518853</v>
      </c>
      <c r="H11" s="5">
        <v>0.58646894910597847</v>
      </c>
      <c r="I11" s="4">
        <v>41.254782819747916</v>
      </c>
      <c r="J11" s="4">
        <v>500000</v>
      </c>
      <c r="K11" s="4">
        <v>83099.430021936423</v>
      </c>
      <c r="L11" s="5">
        <v>0.83380113995612715</v>
      </c>
      <c r="M11" s="4">
        <v>25.932847785949711</v>
      </c>
    </row>
    <row r="12" spans="1:13" x14ac:dyDescent="0.25">
      <c r="A12" s="2" t="s">
        <v>94</v>
      </c>
      <c r="B12" s="4">
        <v>500000</v>
      </c>
      <c r="C12" s="4">
        <v>32477.423063148512</v>
      </c>
      <c r="D12" s="5">
        <v>0.93504515387370291</v>
      </c>
      <c r="E12" s="4">
        <v>4.2491565280490464</v>
      </c>
      <c r="F12" s="4">
        <v>500000</v>
      </c>
      <c r="G12" s="4">
        <v>59789.39673124309</v>
      </c>
      <c r="H12" s="5">
        <v>0.88042120653751388</v>
      </c>
      <c r="I12" s="4">
        <v>63.946813954247432</v>
      </c>
      <c r="J12" s="4">
        <v>151982.27777777778</v>
      </c>
      <c r="K12" s="4">
        <v>60583.990833039861</v>
      </c>
      <c r="L12" s="5">
        <v>0.19364907011344956</v>
      </c>
      <c r="M12" s="4">
        <v>116.53116273880011</v>
      </c>
    </row>
    <row r="13" spans="1:13" x14ac:dyDescent="0.25">
      <c r="A13" s="3" t="s">
        <v>89</v>
      </c>
      <c r="B13" s="4">
        <v>500000</v>
      </c>
      <c r="C13" s="4">
        <v>20443.925937592438</v>
      </c>
      <c r="D13" s="5">
        <v>0.95911214812481516</v>
      </c>
      <c r="E13" s="4">
        <v>3.0654875755310078</v>
      </c>
      <c r="F13" s="4">
        <v>500000</v>
      </c>
      <c r="G13" s="4">
        <v>40644.335045233966</v>
      </c>
      <c r="H13" s="5">
        <v>0.91871132990953208</v>
      </c>
      <c r="I13" s="4">
        <v>45.585598421096883</v>
      </c>
      <c r="J13" s="4">
        <v>41705.18</v>
      </c>
      <c r="K13" s="4">
        <v>41044.166193414138</v>
      </c>
      <c r="L13" s="5">
        <v>1.5782787809466372E-2</v>
      </c>
      <c r="M13" s="4">
        <v>120.25691933631904</v>
      </c>
    </row>
    <row r="14" spans="1:13" x14ac:dyDescent="0.25">
      <c r="A14" s="3" t="s">
        <v>90</v>
      </c>
      <c r="B14" s="4">
        <v>500000</v>
      </c>
      <c r="C14" s="4">
        <v>41867.211136129401</v>
      </c>
      <c r="D14" s="5">
        <v>0.9162655777277412</v>
      </c>
      <c r="E14" s="4">
        <v>5.0339496135711661</v>
      </c>
      <c r="F14" s="4">
        <v>500000</v>
      </c>
      <c r="G14" s="4">
        <v>76058.833577279336</v>
      </c>
      <c r="H14" s="5">
        <v>0.84788233284544134</v>
      </c>
      <c r="I14" s="4">
        <v>78.057083129882827</v>
      </c>
      <c r="J14" s="4">
        <v>219771.53333333333</v>
      </c>
      <c r="K14" s="4">
        <v>77177.744586122324</v>
      </c>
      <c r="L14" s="5">
        <v>0.29364379917251865</v>
      </c>
      <c r="M14" s="4">
        <v>76.604195992151901</v>
      </c>
    </row>
    <row r="15" spans="1:13" x14ac:dyDescent="0.25">
      <c r="A15" s="3" t="s">
        <v>91</v>
      </c>
      <c r="B15" s="4">
        <v>500000</v>
      </c>
      <c r="C15" s="4">
        <v>64475.544471986199</v>
      </c>
      <c r="D15" s="5">
        <v>0.87104891105602766</v>
      </c>
      <c r="E15" s="4">
        <v>7.8131220340728804</v>
      </c>
      <c r="F15" s="4">
        <v>500000</v>
      </c>
      <c r="G15" s="4">
        <v>106706.39462317999</v>
      </c>
      <c r="H15" s="5">
        <v>0.78658721075364002</v>
      </c>
      <c r="I15" s="4">
        <v>113.422084093094</v>
      </c>
      <c r="J15" s="4">
        <v>500000</v>
      </c>
      <c r="K15" s="4">
        <v>108501.852771921</v>
      </c>
      <c r="L15" s="5">
        <v>0.78299629445615804</v>
      </c>
      <c r="M15" s="4">
        <v>217.68327999114999</v>
      </c>
    </row>
    <row r="16" spans="1:13" x14ac:dyDescent="0.25">
      <c r="A16" s="2" t="s">
        <v>82</v>
      </c>
      <c r="B16" s="4">
        <v>411701.8595230236</v>
      </c>
      <c r="C16" s="4">
        <v>36343.40321463241</v>
      </c>
      <c r="D16" s="5">
        <v>0.77679083489612921</v>
      </c>
      <c r="E16" s="4">
        <v>3.2614694833755493</v>
      </c>
      <c r="F16" s="4">
        <v>257449.12619047621</v>
      </c>
      <c r="G16" s="4">
        <v>52192.491484117119</v>
      </c>
      <c r="H16" s="5">
        <v>0.47923142061114021</v>
      </c>
      <c r="I16" s="4">
        <v>35.935244037991481</v>
      </c>
      <c r="J16" s="4">
        <v>312923.47857142857</v>
      </c>
      <c r="K16" s="4">
        <v>53293.322171148764</v>
      </c>
      <c r="L16" s="5">
        <v>0.52669100050068318</v>
      </c>
      <c r="M16" s="4">
        <v>37.542733277593349</v>
      </c>
    </row>
  </sheetData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57D4D-E556-4935-A11F-757D83BE0BD6}">
  <dimension ref="A1:P18"/>
  <sheetViews>
    <sheetView workbookViewId="0">
      <selection activeCell="C4" sqref="C4:D10"/>
    </sheetView>
  </sheetViews>
  <sheetFormatPr baseColWidth="10" defaultRowHeight="13.2" x14ac:dyDescent="0.25"/>
  <cols>
    <col min="1" max="1" width="21.44140625" bestFit="1" customWidth="1"/>
    <col min="2" max="2" width="23" bestFit="1" customWidth="1"/>
    <col min="3" max="3" width="11.88671875" bestFit="1" customWidth="1"/>
    <col min="4" max="4" width="9" bestFit="1" customWidth="1"/>
    <col min="5" max="5" width="16.77734375" bestFit="1" customWidth="1"/>
    <col min="6" max="6" width="5.21875" bestFit="1" customWidth="1"/>
    <col min="7" max="7" width="11.88671875" bestFit="1" customWidth="1"/>
    <col min="8" max="8" width="9" bestFit="1" customWidth="1"/>
    <col min="9" max="9" width="11.6640625" bestFit="1" customWidth="1"/>
    <col min="10" max="10" width="9.6640625" bestFit="1" customWidth="1"/>
    <col min="11" max="11" width="11.88671875" bestFit="1" customWidth="1"/>
    <col min="12" max="12" width="9" bestFit="1" customWidth="1"/>
    <col min="13" max="13" width="16.21875" bestFit="1" customWidth="1"/>
    <col min="14" max="14" width="8.109375" bestFit="1" customWidth="1"/>
    <col min="15" max="15" width="14.5546875" bestFit="1" customWidth="1"/>
    <col min="16" max="16" width="15.21875" bestFit="1" customWidth="1"/>
  </cols>
  <sheetData>
    <row r="1" spans="1:16" x14ac:dyDescent="0.25">
      <c r="A1" s="1" t="s">
        <v>103</v>
      </c>
      <c r="B1" s="1" t="s">
        <v>83</v>
      </c>
    </row>
    <row r="2" spans="1:16" x14ac:dyDescent="0.25">
      <c r="B2" t="s">
        <v>99</v>
      </c>
      <c r="E2" t="s">
        <v>104</v>
      </c>
      <c r="F2" t="s">
        <v>100</v>
      </c>
      <c r="I2" t="s">
        <v>105</v>
      </c>
      <c r="J2" t="s">
        <v>101</v>
      </c>
      <c r="M2" t="s">
        <v>106</v>
      </c>
      <c r="N2" t="s">
        <v>81</v>
      </c>
      <c r="O2" t="s">
        <v>107</v>
      </c>
      <c r="P2" t="s">
        <v>82</v>
      </c>
    </row>
    <row r="3" spans="1:16" x14ac:dyDescent="0.25">
      <c r="A3" s="1" t="s">
        <v>80</v>
      </c>
      <c r="B3" t="s">
        <v>29</v>
      </c>
      <c r="C3" t="s">
        <v>28</v>
      </c>
      <c r="D3" t="s">
        <v>31</v>
      </c>
      <c r="F3" t="s">
        <v>29</v>
      </c>
      <c r="G3" t="s">
        <v>28</v>
      </c>
      <c r="H3" t="s">
        <v>31</v>
      </c>
      <c r="J3" t="s">
        <v>29</v>
      </c>
      <c r="K3" t="s">
        <v>28</v>
      </c>
      <c r="L3" t="s">
        <v>31</v>
      </c>
      <c r="N3">
        <v>0</v>
      </c>
    </row>
    <row r="4" spans="1:16" x14ac:dyDescent="0.25">
      <c r="A4" s="2" t="s">
        <v>92</v>
      </c>
      <c r="B4" s="6">
        <v>7</v>
      </c>
      <c r="C4" s="6">
        <v>4</v>
      </c>
      <c r="D4" s="6">
        <v>1</v>
      </c>
      <c r="E4" s="6">
        <v>12</v>
      </c>
      <c r="F4" s="6"/>
      <c r="G4" s="6">
        <v>12</v>
      </c>
      <c r="H4" s="6"/>
      <c r="I4" s="6">
        <v>12</v>
      </c>
      <c r="J4" s="6">
        <v>6</v>
      </c>
      <c r="K4" s="6">
        <v>4</v>
      </c>
      <c r="L4" s="6">
        <v>2</v>
      </c>
      <c r="M4" s="6">
        <v>12</v>
      </c>
      <c r="N4" s="6"/>
      <c r="O4" s="6"/>
      <c r="P4" s="6">
        <v>36</v>
      </c>
    </row>
    <row r="5" spans="1:16" x14ac:dyDescent="0.25">
      <c r="A5" s="3" t="s">
        <v>89</v>
      </c>
      <c r="B5" s="6">
        <v>1</v>
      </c>
      <c r="C5" s="6">
        <v>2</v>
      </c>
      <c r="D5" s="6">
        <v>1</v>
      </c>
      <c r="E5" s="6">
        <v>4</v>
      </c>
      <c r="F5" s="6"/>
      <c r="G5" s="6">
        <v>4</v>
      </c>
      <c r="H5" s="6"/>
      <c r="I5" s="6">
        <v>4</v>
      </c>
      <c r="J5" s="6">
        <v>1</v>
      </c>
      <c r="K5" s="6">
        <v>1</v>
      </c>
      <c r="L5" s="6">
        <v>2</v>
      </c>
      <c r="M5" s="6">
        <v>4</v>
      </c>
      <c r="N5" s="6"/>
      <c r="O5" s="6"/>
      <c r="P5" s="6">
        <v>12</v>
      </c>
    </row>
    <row r="6" spans="1:16" x14ac:dyDescent="0.25">
      <c r="A6" s="3" t="s">
        <v>90</v>
      </c>
      <c r="B6" s="6">
        <v>2</v>
      </c>
      <c r="C6" s="6">
        <v>2</v>
      </c>
      <c r="D6" s="6"/>
      <c r="E6" s="6">
        <v>4</v>
      </c>
      <c r="F6" s="6"/>
      <c r="G6" s="6">
        <v>4</v>
      </c>
      <c r="H6" s="6"/>
      <c r="I6" s="6">
        <v>4</v>
      </c>
      <c r="J6" s="6">
        <v>1</v>
      </c>
      <c r="K6" s="6">
        <v>3</v>
      </c>
      <c r="L6" s="6"/>
      <c r="M6" s="6">
        <v>4</v>
      </c>
      <c r="N6" s="6"/>
      <c r="O6" s="6"/>
      <c r="P6" s="6">
        <v>12</v>
      </c>
    </row>
    <row r="7" spans="1:16" x14ac:dyDescent="0.25">
      <c r="A7" s="3" t="s">
        <v>91</v>
      </c>
      <c r="B7" s="6">
        <v>4</v>
      </c>
      <c r="C7" s="6"/>
      <c r="D7" s="6"/>
      <c r="E7" s="6">
        <v>4</v>
      </c>
      <c r="F7" s="6"/>
      <c r="G7" s="6">
        <v>4</v>
      </c>
      <c r="H7" s="6"/>
      <c r="I7" s="6">
        <v>4</v>
      </c>
      <c r="J7" s="6">
        <v>4</v>
      </c>
      <c r="K7" s="6"/>
      <c r="L7" s="6"/>
      <c r="M7" s="6">
        <v>4</v>
      </c>
      <c r="N7" s="6"/>
      <c r="O7" s="6"/>
      <c r="P7" s="6">
        <v>12</v>
      </c>
    </row>
    <row r="8" spans="1:16" x14ac:dyDescent="0.25">
      <c r="A8" s="2" t="s">
        <v>93</v>
      </c>
      <c r="B8" s="6">
        <v>18</v>
      </c>
      <c r="C8" s="6">
        <v>3</v>
      </c>
      <c r="D8" s="6"/>
      <c r="E8" s="6">
        <v>21</v>
      </c>
      <c r="F8" s="6">
        <v>10</v>
      </c>
      <c r="G8" s="6">
        <v>10</v>
      </c>
      <c r="H8" s="6">
        <v>1</v>
      </c>
      <c r="I8" s="6">
        <v>21</v>
      </c>
      <c r="J8" s="6">
        <v>17</v>
      </c>
      <c r="K8" s="6">
        <v>3</v>
      </c>
      <c r="L8" s="6">
        <v>1</v>
      </c>
      <c r="M8" s="6">
        <v>21</v>
      </c>
      <c r="N8" s="6"/>
      <c r="O8" s="6"/>
      <c r="P8" s="6">
        <v>63</v>
      </c>
    </row>
    <row r="9" spans="1:16" x14ac:dyDescent="0.25">
      <c r="A9" s="3" t="s">
        <v>89</v>
      </c>
      <c r="B9" s="6">
        <v>8</v>
      </c>
      <c r="C9" s="6">
        <v>1</v>
      </c>
      <c r="D9" s="6"/>
      <c r="E9" s="6">
        <v>9</v>
      </c>
      <c r="F9" s="6">
        <v>4</v>
      </c>
      <c r="G9" s="6">
        <v>4</v>
      </c>
      <c r="H9" s="6">
        <v>1</v>
      </c>
      <c r="I9" s="6">
        <v>9</v>
      </c>
      <c r="J9" s="6">
        <v>6</v>
      </c>
      <c r="K9" s="6">
        <v>2</v>
      </c>
      <c r="L9" s="6">
        <v>1</v>
      </c>
      <c r="M9" s="6">
        <v>9</v>
      </c>
      <c r="N9" s="6"/>
      <c r="O9" s="6"/>
      <c r="P9" s="6">
        <v>27</v>
      </c>
    </row>
    <row r="10" spans="1:16" x14ac:dyDescent="0.25">
      <c r="A10" s="3" t="s">
        <v>90</v>
      </c>
      <c r="B10" s="6">
        <v>5</v>
      </c>
      <c r="C10" s="6">
        <v>2</v>
      </c>
      <c r="D10" s="6"/>
      <c r="E10" s="6">
        <v>7</v>
      </c>
      <c r="F10" s="6">
        <v>3</v>
      </c>
      <c r="G10" s="6">
        <v>4</v>
      </c>
      <c r="H10" s="6"/>
      <c r="I10" s="6">
        <v>7</v>
      </c>
      <c r="J10" s="6">
        <v>6</v>
      </c>
      <c r="K10" s="6">
        <v>1</v>
      </c>
      <c r="L10" s="6"/>
      <c r="M10" s="6">
        <v>7</v>
      </c>
      <c r="N10" s="6"/>
      <c r="O10" s="6"/>
      <c r="P10" s="6">
        <v>21</v>
      </c>
    </row>
    <row r="11" spans="1:16" x14ac:dyDescent="0.25">
      <c r="A11" s="3" t="s">
        <v>91</v>
      </c>
      <c r="B11" s="6">
        <v>5</v>
      </c>
      <c r="C11" s="6"/>
      <c r="D11" s="6"/>
      <c r="E11" s="6">
        <v>5</v>
      </c>
      <c r="F11" s="6">
        <v>3</v>
      </c>
      <c r="G11" s="6">
        <v>2</v>
      </c>
      <c r="H11" s="6"/>
      <c r="I11" s="6">
        <v>5</v>
      </c>
      <c r="J11" s="6">
        <v>5</v>
      </c>
      <c r="K11" s="6"/>
      <c r="L11" s="6"/>
      <c r="M11" s="6">
        <v>5</v>
      </c>
      <c r="N11" s="6"/>
      <c r="O11" s="6"/>
      <c r="P11" s="6">
        <v>15</v>
      </c>
    </row>
    <row r="12" spans="1:16" x14ac:dyDescent="0.25">
      <c r="A12" s="2" t="s">
        <v>94</v>
      </c>
      <c r="B12" s="6">
        <v>9</v>
      </c>
      <c r="C12" s="6"/>
      <c r="D12" s="6"/>
      <c r="E12" s="6">
        <v>9</v>
      </c>
      <c r="F12" s="6">
        <v>9</v>
      </c>
      <c r="G12" s="6"/>
      <c r="H12" s="6"/>
      <c r="I12" s="6">
        <v>9</v>
      </c>
      <c r="J12" s="6">
        <v>2</v>
      </c>
      <c r="K12" s="6">
        <v>7</v>
      </c>
      <c r="L12" s="6"/>
      <c r="M12" s="6">
        <v>9</v>
      </c>
      <c r="N12" s="6"/>
      <c r="O12" s="6"/>
      <c r="P12" s="6">
        <v>27</v>
      </c>
    </row>
    <row r="13" spans="1:16" x14ac:dyDescent="0.25">
      <c r="A13" s="3" t="s">
        <v>89</v>
      </c>
      <c r="B13" s="6">
        <v>5</v>
      </c>
      <c r="C13" s="6"/>
      <c r="D13" s="6"/>
      <c r="E13" s="6">
        <v>5</v>
      </c>
      <c r="F13" s="6">
        <v>5</v>
      </c>
      <c r="G13" s="6"/>
      <c r="H13" s="6"/>
      <c r="I13" s="6">
        <v>5</v>
      </c>
      <c r="J13" s="6"/>
      <c r="K13" s="6">
        <v>5</v>
      </c>
      <c r="L13" s="6"/>
      <c r="M13" s="6">
        <v>5</v>
      </c>
      <c r="N13" s="6"/>
      <c r="O13" s="6"/>
      <c r="P13" s="6">
        <v>15</v>
      </c>
    </row>
    <row r="14" spans="1:16" x14ac:dyDescent="0.25">
      <c r="A14" s="3" t="s">
        <v>90</v>
      </c>
      <c r="B14" s="6">
        <v>3</v>
      </c>
      <c r="C14" s="6"/>
      <c r="D14" s="6"/>
      <c r="E14" s="6">
        <v>3</v>
      </c>
      <c r="F14" s="6">
        <v>3</v>
      </c>
      <c r="G14" s="6"/>
      <c r="H14" s="6"/>
      <c r="I14" s="6">
        <v>3</v>
      </c>
      <c r="J14" s="6">
        <v>1</v>
      </c>
      <c r="K14" s="6">
        <v>2</v>
      </c>
      <c r="L14" s="6"/>
      <c r="M14" s="6">
        <v>3</v>
      </c>
      <c r="N14" s="6"/>
      <c r="O14" s="6"/>
      <c r="P14" s="6">
        <v>9</v>
      </c>
    </row>
    <row r="15" spans="1:16" x14ac:dyDescent="0.25">
      <c r="A15" s="3" t="s">
        <v>91</v>
      </c>
      <c r="B15" s="6">
        <v>1</v>
      </c>
      <c r="C15" s="6"/>
      <c r="D15" s="6"/>
      <c r="E15" s="6">
        <v>1</v>
      </c>
      <c r="F15" s="6">
        <v>1</v>
      </c>
      <c r="G15" s="6"/>
      <c r="H15" s="6"/>
      <c r="I15" s="6">
        <v>1</v>
      </c>
      <c r="J15" s="6">
        <v>1</v>
      </c>
      <c r="K15" s="6"/>
      <c r="L15" s="6"/>
      <c r="M15" s="6">
        <v>1</v>
      </c>
      <c r="N15" s="6"/>
      <c r="O15" s="6"/>
      <c r="P15" s="6">
        <v>3</v>
      </c>
    </row>
    <row r="16" spans="1:16" x14ac:dyDescent="0.25">
      <c r="A16" s="2" t="s">
        <v>81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>
        <v>88</v>
      </c>
      <c r="O16" s="6">
        <v>88</v>
      </c>
      <c r="P16" s="6">
        <v>88</v>
      </c>
    </row>
    <row r="17" spans="1:16" x14ac:dyDescent="0.25">
      <c r="A17" s="3" t="s">
        <v>81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>
        <v>88</v>
      </c>
      <c r="O17" s="6">
        <v>88</v>
      </c>
      <c r="P17" s="6">
        <v>88</v>
      </c>
    </row>
    <row r="18" spans="1:16" x14ac:dyDescent="0.25">
      <c r="A18" s="2" t="s">
        <v>82</v>
      </c>
      <c r="B18" s="6">
        <v>34</v>
      </c>
      <c r="C18" s="6">
        <v>7</v>
      </c>
      <c r="D18" s="6">
        <v>1</v>
      </c>
      <c r="E18" s="6">
        <v>42</v>
      </c>
      <c r="F18" s="6">
        <v>19</v>
      </c>
      <c r="G18" s="6">
        <v>22</v>
      </c>
      <c r="H18" s="6">
        <v>1</v>
      </c>
      <c r="I18" s="6">
        <v>42</v>
      </c>
      <c r="J18" s="6">
        <v>25</v>
      </c>
      <c r="K18" s="6">
        <v>14</v>
      </c>
      <c r="L18" s="6">
        <v>3</v>
      </c>
      <c r="M18" s="6">
        <v>42</v>
      </c>
      <c r="N18" s="6">
        <v>88</v>
      </c>
      <c r="O18" s="6">
        <v>88</v>
      </c>
      <c r="P18" s="6">
        <v>214</v>
      </c>
    </row>
  </sheetData>
  <pageMargins left="0.7" right="0.7" top="0.78740157499999996" bottom="0.78740157499999996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215"/>
  <sheetViews>
    <sheetView topLeftCell="A108" zoomScaleNormal="100" workbookViewId="0">
      <selection activeCell="G86" sqref="G86:G127"/>
    </sheetView>
  </sheetViews>
  <sheetFormatPr baseColWidth="10" defaultColWidth="11.5546875" defaultRowHeight="13.2" x14ac:dyDescent="0.25"/>
  <cols>
    <col min="1" max="6" width="24.21875" customWidth="1"/>
    <col min="7" max="7" width="51.109375" customWidth="1"/>
    <col min="8" max="9" width="12.5546875" customWidth="1"/>
    <col min="10" max="12" width="16.77734375" customWidth="1"/>
    <col min="13" max="14" width="18.6640625" customWidth="1"/>
    <col min="15" max="15" width="16.77734375" customWidth="1"/>
    <col min="16" max="16" width="13.109375" customWidth="1"/>
    <col min="17" max="17" width="4.44140625" customWidth="1"/>
    <col min="18" max="18" width="5.21875" customWidth="1"/>
    <col min="19" max="19" width="14.33203125" customWidth="1"/>
    <col min="20" max="20" width="16.77734375" customWidth="1"/>
    <col min="21" max="21" width="12.6640625" customWidth="1"/>
    <col min="22" max="22" width="11.44140625" customWidth="1"/>
    <col min="23" max="23" width="13" customWidth="1"/>
    <col min="24" max="24" width="18.21875" customWidth="1"/>
    <col min="25" max="25" width="16.88671875" customWidth="1"/>
    <col min="26" max="26" width="12.44140625" customWidth="1"/>
    <col min="27" max="27" width="4.44140625" customWidth="1"/>
    <col min="28" max="28" width="5" customWidth="1"/>
    <col min="29" max="29" width="4.88671875" customWidth="1"/>
    <col min="30" max="30" width="5.44140625" customWidth="1"/>
    <col min="31" max="31" width="20.44140625" customWidth="1"/>
    <col min="32" max="32" width="20.6640625" customWidth="1"/>
    <col min="33" max="34" width="19.6640625" customWidth="1"/>
    <col min="35" max="35" width="18.6640625" customWidth="1"/>
  </cols>
  <sheetData>
    <row r="1" spans="1:36" x14ac:dyDescent="0.25">
      <c r="A1" t="s">
        <v>0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1</v>
      </c>
      <c r="H1" t="s">
        <v>2</v>
      </c>
      <c r="I1" t="s">
        <v>102</v>
      </c>
      <c r="J1" t="s">
        <v>3</v>
      </c>
      <c r="K1" t="s">
        <v>78</v>
      </c>
      <c r="L1" t="s">
        <v>4</v>
      </c>
      <c r="M1" t="s">
        <v>5</v>
      </c>
      <c r="N1" t="s">
        <v>79</v>
      </c>
      <c r="O1" t="s">
        <v>6</v>
      </c>
      <c r="P1" t="s">
        <v>7</v>
      </c>
      <c r="Q1" t="s">
        <v>8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17</v>
      </c>
      <c r="AA1" t="s">
        <v>18</v>
      </c>
      <c r="AB1" t="s">
        <v>19</v>
      </c>
      <c r="AC1" t="s">
        <v>20</v>
      </c>
      <c r="AD1" t="s">
        <v>21</v>
      </c>
      <c r="AE1" t="s">
        <v>22</v>
      </c>
      <c r="AF1" t="s">
        <v>23</v>
      </c>
      <c r="AG1" t="s">
        <v>24</v>
      </c>
      <c r="AH1" t="s">
        <v>25</v>
      </c>
      <c r="AI1" t="s">
        <v>26</v>
      </c>
      <c r="AJ1" t="s">
        <v>27</v>
      </c>
    </row>
    <row r="2" spans="1:36" x14ac:dyDescent="0.25">
      <c r="A2" t="s">
        <v>32</v>
      </c>
      <c r="B2" t="str" cm="1">
        <f t="array" ref="B2:F2">_xlfn.TEXTSPLIT(A2,"_")</f>
        <v>MVPRP</v>
      </c>
      <c r="C2" t="str">
        <v>C15</v>
      </c>
      <c r="D2" t="str">
        <v>P9</v>
      </c>
      <c r="E2" t="str">
        <v>V3</v>
      </c>
      <c r="F2" t="str">
        <v>I1</v>
      </c>
      <c r="G2" t="s">
        <v>99</v>
      </c>
      <c r="H2" t="s">
        <v>28</v>
      </c>
      <c r="I2" t="str">
        <f>IF(J2="inf","inf",H2)</f>
        <v>inf</v>
      </c>
      <c r="J2" t="s">
        <v>29</v>
      </c>
      <c r="K2" s="4">
        <f>IF(J2="inf",500000,J2)</f>
        <v>500000</v>
      </c>
      <c r="L2" s="4">
        <v>56008.768424739697</v>
      </c>
      <c r="M2" t="s">
        <v>29</v>
      </c>
      <c r="N2" s="5">
        <f>ABS(L2-K2)/ABS(K2)</f>
        <v>0.88798246315052054</v>
      </c>
      <c r="O2" s="4">
        <v>3.1147530078887899</v>
      </c>
      <c r="P2" t="s">
        <v>30</v>
      </c>
      <c r="Q2">
        <v>132</v>
      </c>
      <c r="S2">
        <v>3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45</v>
      </c>
      <c r="AB2">
        <v>36</v>
      </c>
      <c r="AC2">
        <v>0</v>
      </c>
      <c r="AD2">
        <v>10</v>
      </c>
      <c r="AE2">
        <v>0</v>
      </c>
      <c r="AF2">
        <v>9.7826123237609904E-5</v>
      </c>
      <c r="AG2">
        <v>1.2739631864759699E-4</v>
      </c>
      <c r="AH2">
        <v>5.2123069763183602E-3</v>
      </c>
      <c r="AI2">
        <v>1.1450127319053399E-2</v>
      </c>
      <c r="AJ2">
        <v>0.27927494049072299</v>
      </c>
    </row>
    <row r="3" spans="1:36" x14ac:dyDescent="0.25">
      <c r="A3" t="s">
        <v>33</v>
      </c>
      <c r="B3" t="str" cm="1">
        <f t="array" ref="B3:F3">_xlfn.TEXTSPLIT(A3,"_")</f>
        <v>MVPRP</v>
      </c>
      <c r="C3" t="str">
        <v>C20</v>
      </c>
      <c r="D3" t="str">
        <v>P3</v>
      </c>
      <c r="E3" t="str">
        <v>V2</v>
      </c>
      <c r="F3" t="str">
        <v>I1</v>
      </c>
      <c r="G3" t="s">
        <v>99</v>
      </c>
      <c r="H3" t="s">
        <v>28</v>
      </c>
      <c r="I3" t="str">
        <f t="shared" ref="I3:I66" si="0">IF(J3="inf","inf",H3)</f>
        <v>NODE_LIMIT</v>
      </c>
      <c r="J3">
        <v>30246.299996994599</v>
      </c>
      <c r="K3" s="4">
        <f t="shared" ref="K3:K66" si="1">IF(J3="inf",500000,J3)</f>
        <v>30246.299996994599</v>
      </c>
      <c r="L3" s="4">
        <v>22251.421698136899</v>
      </c>
      <c r="M3">
        <v>0.26432582827162399</v>
      </c>
      <c r="N3" s="5">
        <f t="shared" ref="N3:N66" si="2">ABS(L3-K3)/ABS(K3)</f>
        <v>0.26432582827162682</v>
      </c>
      <c r="O3" s="4">
        <v>2.7804930210113499</v>
      </c>
      <c r="P3" t="s">
        <v>30</v>
      </c>
      <c r="Q3">
        <v>283</v>
      </c>
      <c r="S3">
        <v>3</v>
      </c>
      <c r="T3">
        <v>3000</v>
      </c>
      <c r="U3">
        <v>12030</v>
      </c>
      <c r="V3">
        <v>4147</v>
      </c>
      <c r="W3">
        <v>6354</v>
      </c>
      <c r="X3">
        <v>0</v>
      </c>
      <c r="Y3">
        <v>0</v>
      </c>
      <c r="Z3">
        <v>4715.2999969951798</v>
      </c>
      <c r="AA3">
        <v>51</v>
      </c>
      <c r="AB3">
        <v>9</v>
      </c>
      <c r="AC3">
        <v>0</v>
      </c>
      <c r="AD3">
        <v>20</v>
      </c>
      <c r="AE3">
        <v>0</v>
      </c>
      <c r="AF3">
        <v>1.42790769275866E-4</v>
      </c>
      <c r="AG3">
        <v>1.12189186943902E-4</v>
      </c>
      <c r="AH3">
        <v>7.5529978193085798E-3</v>
      </c>
      <c r="AI3">
        <v>9.88791783650716E-3</v>
      </c>
      <c r="AJ3">
        <v>0.14091366529464699</v>
      </c>
    </row>
    <row r="4" spans="1:36" x14ac:dyDescent="0.25">
      <c r="A4" t="s">
        <v>34</v>
      </c>
      <c r="B4" t="str" cm="1">
        <f t="array" ref="B4:F4">_xlfn.TEXTSPLIT(A4,"_")</f>
        <v>MVPRP</v>
      </c>
      <c r="C4" t="str">
        <v>C40</v>
      </c>
      <c r="D4" t="str">
        <v>P3</v>
      </c>
      <c r="E4" t="str">
        <v>V4</v>
      </c>
      <c r="F4" t="str">
        <v>I1</v>
      </c>
      <c r="G4" t="s">
        <v>99</v>
      </c>
      <c r="H4" t="s">
        <v>28</v>
      </c>
      <c r="I4" t="str">
        <f t="shared" si="0"/>
        <v>inf</v>
      </c>
      <c r="J4" t="s">
        <v>29</v>
      </c>
      <c r="K4" s="4">
        <f t="shared" si="1"/>
        <v>500000</v>
      </c>
      <c r="L4" s="4">
        <v>23280.314952814701</v>
      </c>
      <c r="M4" t="s">
        <v>29</v>
      </c>
      <c r="N4" s="5">
        <f t="shared" si="2"/>
        <v>0.95343937009437052</v>
      </c>
      <c r="O4" s="4">
        <v>2.3674409389495898</v>
      </c>
      <c r="P4" t="s">
        <v>30</v>
      </c>
      <c r="Q4">
        <v>270</v>
      </c>
      <c r="S4">
        <v>3</v>
      </c>
      <c r="T4">
        <v>-1</v>
      </c>
      <c r="U4">
        <v>-1</v>
      </c>
      <c r="V4">
        <v>-1</v>
      </c>
      <c r="W4">
        <v>-1</v>
      </c>
      <c r="X4">
        <v>-1</v>
      </c>
      <c r="Y4">
        <v>-1</v>
      </c>
      <c r="Z4">
        <v>-1</v>
      </c>
      <c r="AA4">
        <v>15</v>
      </c>
      <c r="AB4">
        <v>20</v>
      </c>
      <c r="AC4">
        <v>0</v>
      </c>
      <c r="AD4">
        <v>21</v>
      </c>
      <c r="AE4">
        <v>0</v>
      </c>
      <c r="AF4">
        <v>2.89968081883022E-4</v>
      </c>
      <c r="AG4">
        <v>2.7426429416822399E-4</v>
      </c>
      <c r="AH4">
        <v>7.0863167444864903E-3</v>
      </c>
      <c r="AI4">
        <v>1.57147859915709E-2</v>
      </c>
      <c r="AJ4">
        <v>0.553258657455444</v>
      </c>
    </row>
    <row r="5" spans="1:36" x14ac:dyDescent="0.25">
      <c r="A5" t="s">
        <v>35</v>
      </c>
      <c r="B5" t="str" cm="1">
        <f t="array" ref="B5:F5">_xlfn.TEXTSPLIT(A5,"_")</f>
        <v>MVPRP</v>
      </c>
      <c r="C5" t="str">
        <v>C10</v>
      </c>
      <c r="D5" t="str">
        <v>P9</v>
      </c>
      <c r="E5" t="str">
        <v>V2</v>
      </c>
      <c r="F5" t="str">
        <v>I1</v>
      </c>
      <c r="G5" t="s">
        <v>99</v>
      </c>
      <c r="H5" t="s">
        <v>28</v>
      </c>
      <c r="I5" t="str">
        <f t="shared" si="0"/>
        <v>inf</v>
      </c>
      <c r="J5" t="s">
        <v>29</v>
      </c>
      <c r="K5" s="4">
        <f t="shared" si="1"/>
        <v>500000</v>
      </c>
      <c r="L5" s="4">
        <v>48064.94</v>
      </c>
      <c r="M5" t="s">
        <v>29</v>
      </c>
      <c r="N5" s="5">
        <f t="shared" si="2"/>
        <v>0.90387012</v>
      </c>
      <c r="O5" s="4">
        <v>1.4682521820068399</v>
      </c>
      <c r="P5" t="s">
        <v>30</v>
      </c>
      <c r="Q5">
        <v>198</v>
      </c>
      <c r="S5">
        <v>3</v>
      </c>
      <c r="T5">
        <v>-1</v>
      </c>
      <c r="U5">
        <v>-1</v>
      </c>
      <c r="V5">
        <v>-1</v>
      </c>
      <c r="W5">
        <v>-1</v>
      </c>
      <c r="X5">
        <v>-1</v>
      </c>
      <c r="Y5">
        <v>-1</v>
      </c>
      <c r="Z5">
        <v>-1</v>
      </c>
      <c r="AA5">
        <v>105</v>
      </c>
      <c r="AB5">
        <v>13</v>
      </c>
      <c r="AC5">
        <v>0</v>
      </c>
      <c r="AD5">
        <v>5</v>
      </c>
      <c r="AE5">
        <v>0</v>
      </c>
      <c r="AF5">
        <v>9.9443807834532195E-5</v>
      </c>
      <c r="AG5">
        <v>8.8598993089463997E-5</v>
      </c>
      <c r="AH5">
        <v>6.7272315154204504E-3</v>
      </c>
      <c r="AI5">
        <v>7.0638618771991998E-3</v>
      </c>
      <c r="AJ5">
        <v>0.14375813802083301</v>
      </c>
    </row>
    <row r="6" spans="1:36" x14ac:dyDescent="0.25">
      <c r="A6" t="s">
        <v>36</v>
      </c>
      <c r="B6" t="str" cm="1">
        <f t="array" ref="B6:F6">_xlfn.TEXTSPLIT(A6,"_")</f>
        <v>MVPRP</v>
      </c>
      <c r="C6" t="str">
        <v>C15</v>
      </c>
      <c r="D6" t="str">
        <v>P3</v>
      </c>
      <c r="E6" t="str">
        <v>V2</v>
      </c>
      <c r="F6" t="str">
        <v>I1</v>
      </c>
      <c r="G6" t="s">
        <v>99</v>
      </c>
      <c r="H6" t="s">
        <v>28</v>
      </c>
      <c r="I6" t="str">
        <f t="shared" si="0"/>
        <v>NODE_LIMIT</v>
      </c>
      <c r="J6">
        <v>22545.499996999999</v>
      </c>
      <c r="K6" s="4">
        <f t="shared" si="1"/>
        <v>22545.499996999999</v>
      </c>
      <c r="L6" s="4">
        <v>19913.8911925129</v>
      </c>
      <c r="M6">
        <v>0.11672434875417501</v>
      </c>
      <c r="N6" s="5">
        <f t="shared" si="2"/>
        <v>0.11672434875417589</v>
      </c>
      <c r="O6" s="4">
        <v>2.00925517082214</v>
      </c>
      <c r="P6" t="s">
        <v>30</v>
      </c>
      <c r="Q6">
        <v>198</v>
      </c>
      <c r="S6">
        <v>3</v>
      </c>
      <c r="T6">
        <v>3000</v>
      </c>
      <c r="U6">
        <v>9960</v>
      </c>
      <c r="V6">
        <v>3623</v>
      </c>
      <c r="W6">
        <v>5031</v>
      </c>
      <c r="X6">
        <v>0</v>
      </c>
      <c r="Y6">
        <v>0</v>
      </c>
      <c r="Z6">
        <v>931.49999800000103</v>
      </c>
      <c r="AA6">
        <v>52</v>
      </c>
      <c r="AB6">
        <v>22</v>
      </c>
      <c r="AC6">
        <v>0</v>
      </c>
      <c r="AD6">
        <v>17</v>
      </c>
      <c r="AE6">
        <v>0</v>
      </c>
      <c r="AF6">
        <v>8.2989533742268903E-5</v>
      </c>
      <c r="AG6">
        <v>1.1732843187120199E-4</v>
      </c>
      <c r="AH6">
        <v>6.2227198418150602E-3</v>
      </c>
      <c r="AI6">
        <v>9.7658054248706706E-3</v>
      </c>
      <c r="AJ6">
        <v>6.8663156949556797E-2</v>
      </c>
    </row>
    <row r="7" spans="1:36" x14ac:dyDescent="0.25">
      <c r="A7" t="s">
        <v>37</v>
      </c>
      <c r="B7" t="str" cm="1">
        <f t="array" ref="B7:F7">_xlfn.TEXTSPLIT(A7,"_")</f>
        <v>MVPRP</v>
      </c>
      <c r="C7" t="str">
        <v>C40</v>
      </c>
      <c r="D7" t="str">
        <v>P3</v>
      </c>
      <c r="E7" t="str">
        <v>V3</v>
      </c>
      <c r="F7" t="str">
        <v>I1</v>
      </c>
      <c r="G7" t="s">
        <v>99</v>
      </c>
      <c r="H7" t="s">
        <v>28</v>
      </c>
      <c r="I7" t="str">
        <f t="shared" si="0"/>
        <v>inf</v>
      </c>
      <c r="J7" t="s">
        <v>29</v>
      </c>
      <c r="K7" s="4">
        <f t="shared" si="1"/>
        <v>500000</v>
      </c>
      <c r="L7" s="4">
        <v>22770.367322495302</v>
      </c>
      <c r="M7" t="s">
        <v>29</v>
      </c>
      <c r="N7" s="5">
        <f t="shared" si="2"/>
        <v>0.95445926535500936</v>
      </c>
      <c r="O7" s="4">
        <v>3.2163171768188499</v>
      </c>
      <c r="P7" t="s">
        <v>30</v>
      </c>
      <c r="Q7">
        <v>360</v>
      </c>
      <c r="S7">
        <v>3</v>
      </c>
      <c r="T7">
        <v>-1</v>
      </c>
      <c r="U7">
        <v>-1</v>
      </c>
      <c r="V7">
        <v>-1</v>
      </c>
      <c r="W7">
        <v>-1</v>
      </c>
      <c r="X7">
        <v>-1</v>
      </c>
      <c r="Y7">
        <v>-1</v>
      </c>
      <c r="Z7">
        <v>-1</v>
      </c>
      <c r="AA7">
        <v>15</v>
      </c>
      <c r="AB7">
        <v>20</v>
      </c>
      <c r="AC7">
        <v>0</v>
      </c>
      <c r="AD7">
        <v>16</v>
      </c>
      <c r="AE7">
        <v>0</v>
      </c>
      <c r="AF7">
        <v>2.8358186994280099E-4</v>
      </c>
      <c r="AG7">
        <v>2.4897052395728299E-4</v>
      </c>
      <c r="AH7">
        <v>6.8469643592834499E-3</v>
      </c>
      <c r="AI7">
        <v>1.9834879672888599E-2</v>
      </c>
      <c r="AJ7">
        <v>0.59520316123962402</v>
      </c>
    </row>
    <row r="8" spans="1:36" x14ac:dyDescent="0.25">
      <c r="A8" t="s">
        <v>38</v>
      </c>
      <c r="B8" t="str" cm="1">
        <f t="array" ref="B8:F8">_xlfn.TEXTSPLIT(A8,"_")</f>
        <v>MVPRP</v>
      </c>
      <c r="C8" t="str">
        <v>C20</v>
      </c>
      <c r="D8" t="str">
        <v>P6</v>
      </c>
      <c r="E8" t="str">
        <v>V3</v>
      </c>
      <c r="F8" t="str">
        <v>I1</v>
      </c>
      <c r="G8" t="s">
        <v>99</v>
      </c>
      <c r="H8" t="s">
        <v>28</v>
      </c>
      <c r="I8" t="str">
        <f t="shared" si="0"/>
        <v>inf</v>
      </c>
      <c r="J8" t="s">
        <v>29</v>
      </c>
      <c r="K8" s="4">
        <f t="shared" si="1"/>
        <v>500000</v>
      </c>
      <c r="L8" s="4">
        <v>38779.301575366997</v>
      </c>
      <c r="M8" t="s">
        <v>29</v>
      </c>
      <c r="N8" s="5">
        <f t="shared" si="2"/>
        <v>0.92244139684926607</v>
      </c>
      <c r="O8" s="4">
        <v>2.0025200843811</v>
      </c>
      <c r="P8" t="s">
        <v>30</v>
      </c>
      <c r="Q8">
        <v>189</v>
      </c>
      <c r="S8">
        <v>3</v>
      </c>
      <c r="T8">
        <v>-1</v>
      </c>
      <c r="U8">
        <v>-1</v>
      </c>
      <c r="V8">
        <v>-1</v>
      </c>
      <c r="W8">
        <v>-1</v>
      </c>
      <c r="X8">
        <v>-1</v>
      </c>
      <c r="Y8">
        <v>-1</v>
      </c>
      <c r="Z8">
        <v>-1</v>
      </c>
      <c r="AA8">
        <v>30</v>
      </c>
      <c r="AB8">
        <v>26</v>
      </c>
      <c r="AC8">
        <v>0</v>
      </c>
      <c r="AD8">
        <v>15</v>
      </c>
      <c r="AE8">
        <v>0</v>
      </c>
      <c r="AF8">
        <v>1.64270401000977E-4</v>
      </c>
      <c r="AG8">
        <v>1.2822736773574601E-4</v>
      </c>
      <c r="AH8">
        <v>6.7292126742276304E-3</v>
      </c>
      <c r="AI8">
        <v>1.06316051985088E-2</v>
      </c>
      <c r="AJ8">
        <v>0.35058832168579102</v>
      </c>
    </row>
    <row r="9" spans="1:36" x14ac:dyDescent="0.25">
      <c r="A9" t="s">
        <v>39</v>
      </c>
      <c r="B9" t="str" cm="1">
        <f t="array" ref="B9:F9">_xlfn.TEXTSPLIT(A9,"_")</f>
        <v>MVPRP</v>
      </c>
      <c r="C9" t="str">
        <v>C30</v>
      </c>
      <c r="D9" t="str">
        <v>P3</v>
      </c>
      <c r="E9" t="str">
        <v>V4</v>
      </c>
      <c r="F9" t="str">
        <v>I1</v>
      </c>
      <c r="G9" t="s">
        <v>99</v>
      </c>
      <c r="H9" t="s">
        <v>28</v>
      </c>
      <c r="I9" t="str">
        <f t="shared" si="0"/>
        <v>inf</v>
      </c>
      <c r="J9" t="s">
        <v>29</v>
      </c>
      <c r="K9" s="4">
        <f t="shared" si="1"/>
        <v>500000</v>
      </c>
      <c r="L9" s="4">
        <v>13979.281677106899</v>
      </c>
      <c r="M9" t="s">
        <v>29</v>
      </c>
      <c r="N9" s="5">
        <f t="shared" si="2"/>
        <v>0.97204143664578613</v>
      </c>
      <c r="O9" s="4">
        <v>2.6763770580291801</v>
      </c>
      <c r="P9" t="s">
        <v>30</v>
      </c>
      <c r="Q9">
        <v>171</v>
      </c>
      <c r="S9">
        <v>3</v>
      </c>
      <c r="T9">
        <v>-1</v>
      </c>
      <c r="U9">
        <v>-1</v>
      </c>
      <c r="V9">
        <v>-1</v>
      </c>
      <c r="W9">
        <v>-1</v>
      </c>
      <c r="X9">
        <v>-1</v>
      </c>
      <c r="Y9">
        <v>-1</v>
      </c>
      <c r="Z9">
        <v>-1</v>
      </c>
      <c r="AA9">
        <v>15</v>
      </c>
      <c r="AB9">
        <v>26</v>
      </c>
      <c r="AC9">
        <v>0</v>
      </c>
      <c r="AD9">
        <v>14</v>
      </c>
      <c r="AE9">
        <v>0</v>
      </c>
      <c r="AF9">
        <v>2.77376174926758E-4</v>
      </c>
      <c r="AG9">
        <v>2.3355711074102501E-4</v>
      </c>
      <c r="AH9">
        <v>5.1531791687011701E-3</v>
      </c>
      <c r="AI9">
        <v>1.7348041901221599E-2</v>
      </c>
      <c r="AJ9">
        <v>0.360942363739014</v>
      </c>
    </row>
    <row r="10" spans="1:36" x14ac:dyDescent="0.25">
      <c r="A10" t="s">
        <v>40</v>
      </c>
      <c r="B10" t="str" cm="1">
        <f t="array" ref="B10:F10">_xlfn.TEXTSPLIT(A10,"_")</f>
        <v>MVPRP</v>
      </c>
      <c r="C10" t="str">
        <v>C10</v>
      </c>
      <c r="D10" t="str">
        <v>P3</v>
      </c>
      <c r="E10" t="str">
        <v>V3</v>
      </c>
      <c r="F10" t="str">
        <v>I1</v>
      </c>
      <c r="G10" t="s">
        <v>99</v>
      </c>
      <c r="H10" t="s">
        <v>28</v>
      </c>
      <c r="I10" t="str">
        <f t="shared" si="0"/>
        <v>NODE_LIMIT</v>
      </c>
      <c r="J10">
        <v>14684.0999939994</v>
      </c>
      <c r="K10" s="4">
        <f t="shared" si="1"/>
        <v>14684.0999939994</v>
      </c>
      <c r="L10" s="4">
        <v>13851.153526103601</v>
      </c>
      <c r="M10">
        <v>5.6724379991706098E-2</v>
      </c>
      <c r="N10" s="5">
        <f t="shared" si="2"/>
        <v>5.6724379991703926E-2</v>
      </c>
      <c r="O10" s="4">
        <v>1.02349305152893</v>
      </c>
      <c r="P10" t="s">
        <v>30</v>
      </c>
      <c r="Q10">
        <v>132</v>
      </c>
      <c r="S10">
        <v>3</v>
      </c>
      <c r="T10">
        <v>3000</v>
      </c>
      <c r="U10">
        <v>6390</v>
      </c>
      <c r="V10">
        <v>2999</v>
      </c>
      <c r="W10">
        <v>2182</v>
      </c>
      <c r="X10">
        <v>0</v>
      </c>
      <c r="Y10">
        <v>0</v>
      </c>
      <c r="Z10">
        <v>113.099993999489</v>
      </c>
      <c r="AA10">
        <v>66</v>
      </c>
      <c r="AB10">
        <v>7</v>
      </c>
      <c r="AC10">
        <v>0</v>
      </c>
      <c r="AD10">
        <v>8</v>
      </c>
      <c r="AE10">
        <v>0</v>
      </c>
      <c r="AF10">
        <v>6.6582361857096405E-5</v>
      </c>
      <c r="AG10">
        <v>8.5949897766113295E-5</v>
      </c>
      <c r="AH10">
        <v>5.2403148851896597E-3</v>
      </c>
      <c r="AI10">
        <v>8.2446023037559095E-3</v>
      </c>
      <c r="AJ10">
        <v>4.6227043325250801E-2</v>
      </c>
    </row>
    <row r="11" spans="1:36" x14ac:dyDescent="0.25">
      <c r="A11" t="s">
        <v>41</v>
      </c>
      <c r="B11" t="str" cm="1">
        <f t="array" ref="B11:F11">_xlfn.TEXTSPLIT(A11,"_")</f>
        <v>MVPRP</v>
      </c>
      <c r="C11" t="str">
        <v>C10</v>
      </c>
      <c r="D11" t="str">
        <v>P3</v>
      </c>
      <c r="E11" t="str">
        <v>V2</v>
      </c>
      <c r="F11" t="str">
        <v>I1</v>
      </c>
      <c r="G11" t="s">
        <v>99</v>
      </c>
      <c r="H11" t="s">
        <v>31</v>
      </c>
      <c r="I11" t="str">
        <f t="shared" si="0"/>
        <v>OPTIMAL</v>
      </c>
      <c r="J11">
        <v>14480.899998999899</v>
      </c>
      <c r="K11" s="4">
        <f t="shared" si="1"/>
        <v>14480.899998999899</v>
      </c>
      <c r="L11" s="4">
        <v>14480.899998999899</v>
      </c>
      <c r="M11">
        <v>0</v>
      </c>
      <c r="N11" s="5">
        <f t="shared" si="2"/>
        <v>0</v>
      </c>
      <c r="O11" s="4">
        <v>1.4833400249481199</v>
      </c>
      <c r="P11" t="s">
        <v>30</v>
      </c>
      <c r="Q11">
        <v>198</v>
      </c>
      <c r="S11">
        <v>3</v>
      </c>
      <c r="T11">
        <v>3000</v>
      </c>
      <c r="U11">
        <v>6390</v>
      </c>
      <c r="V11">
        <v>2999</v>
      </c>
      <c r="W11">
        <v>1535</v>
      </c>
      <c r="X11">
        <v>0</v>
      </c>
      <c r="Y11">
        <v>0</v>
      </c>
      <c r="Z11">
        <v>556.89999899999702</v>
      </c>
      <c r="AA11">
        <v>60</v>
      </c>
      <c r="AB11">
        <v>11</v>
      </c>
      <c r="AC11">
        <v>0</v>
      </c>
      <c r="AD11">
        <v>10</v>
      </c>
      <c r="AE11">
        <v>0</v>
      </c>
      <c r="AF11">
        <v>1.00503888046532E-4</v>
      </c>
      <c r="AG11">
        <v>1.24598994399562E-4</v>
      </c>
      <c r="AH11">
        <v>6.4777088165283202E-3</v>
      </c>
      <c r="AI11">
        <v>1.00087501384594E-2</v>
      </c>
      <c r="AJ11">
        <v>3.7410990397135399E-2</v>
      </c>
    </row>
    <row r="12" spans="1:36" x14ac:dyDescent="0.25">
      <c r="A12" t="s">
        <v>42</v>
      </c>
      <c r="B12" t="str" cm="1">
        <f t="array" ref="B12:F12">_xlfn.TEXTSPLIT(A12,"_")</f>
        <v>MVPRP</v>
      </c>
      <c r="C12" t="str">
        <v>C30</v>
      </c>
      <c r="D12" t="str">
        <v>P9</v>
      </c>
      <c r="E12" t="str">
        <v>V4</v>
      </c>
      <c r="F12" t="str">
        <v>I1</v>
      </c>
      <c r="G12" t="s">
        <v>99</v>
      </c>
      <c r="H12" t="s">
        <v>28</v>
      </c>
      <c r="I12" t="str">
        <f t="shared" si="0"/>
        <v>inf</v>
      </c>
      <c r="J12" t="s">
        <v>29</v>
      </c>
      <c r="K12" s="4">
        <f t="shared" si="1"/>
        <v>500000</v>
      </c>
      <c r="L12" s="4">
        <v>64475.544471986199</v>
      </c>
      <c r="M12" t="s">
        <v>29</v>
      </c>
      <c r="N12" s="5">
        <f t="shared" si="2"/>
        <v>0.87104891105602766</v>
      </c>
      <c r="O12" s="4">
        <v>7.8131220340728804</v>
      </c>
      <c r="P12" t="s">
        <v>30</v>
      </c>
      <c r="Q12">
        <v>171</v>
      </c>
      <c r="S12">
        <v>3</v>
      </c>
      <c r="T12">
        <v>-1</v>
      </c>
      <c r="U12">
        <v>-1</v>
      </c>
      <c r="V12">
        <v>-1</v>
      </c>
      <c r="W12">
        <v>-1</v>
      </c>
      <c r="X12">
        <v>-1</v>
      </c>
      <c r="Y12">
        <v>-1</v>
      </c>
      <c r="Z12">
        <v>-1</v>
      </c>
      <c r="AA12">
        <v>45</v>
      </c>
      <c r="AB12">
        <v>67</v>
      </c>
      <c r="AC12">
        <v>0</v>
      </c>
      <c r="AD12">
        <v>23</v>
      </c>
      <c r="AE12">
        <v>0</v>
      </c>
      <c r="AF12">
        <v>3.27825546264648E-4</v>
      </c>
      <c r="AG12">
        <v>2.3192746771706499E-4</v>
      </c>
      <c r="AH12">
        <v>5.4538726806640601E-3</v>
      </c>
      <c r="AI12">
        <v>1.55761030813058E-2</v>
      </c>
      <c r="AJ12">
        <v>1.23187327384949</v>
      </c>
    </row>
    <row r="13" spans="1:36" x14ac:dyDescent="0.25">
      <c r="A13" t="s">
        <v>43</v>
      </c>
      <c r="B13" t="str" cm="1">
        <f t="array" ref="B13:F13">_xlfn.TEXTSPLIT(A13,"_")</f>
        <v>MVPRP</v>
      </c>
      <c r="C13" t="str">
        <v>C20</v>
      </c>
      <c r="D13" t="str">
        <v>P3</v>
      </c>
      <c r="E13" t="str">
        <v>V3</v>
      </c>
      <c r="F13" t="str">
        <v>I1</v>
      </c>
      <c r="G13" t="s">
        <v>99</v>
      </c>
      <c r="H13" t="s">
        <v>28</v>
      </c>
      <c r="I13" t="str">
        <f t="shared" si="0"/>
        <v>inf</v>
      </c>
      <c r="J13" t="s">
        <v>29</v>
      </c>
      <c r="K13" s="4">
        <f t="shared" si="1"/>
        <v>500000</v>
      </c>
      <c r="L13" s="4">
        <v>17803.329249853501</v>
      </c>
      <c r="M13" t="s">
        <v>29</v>
      </c>
      <c r="N13" s="5">
        <f t="shared" si="2"/>
        <v>0.96439334150029299</v>
      </c>
      <c r="O13" s="4">
        <v>1.5316510200500499</v>
      </c>
      <c r="P13" t="s">
        <v>30</v>
      </c>
      <c r="Q13">
        <v>189</v>
      </c>
      <c r="S13">
        <v>3</v>
      </c>
      <c r="T13">
        <v>-1</v>
      </c>
      <c r="U13">
        <v>-1</v>
      </c>
      <c r="V13">
        <v>-1</v>
      </c>
      <c r="W13">
        <v>-1</v>
      </c>
      <c r="X13">
        <v>-1</v>
      </c>
      <c r="Y13">
        <v>-1</v>
      </c>
      <c r="Z13">
        <v>-1</v>
      </c>
      <c r="AA13">
        <v>15</v>
      </c>
      <c r="AB13">
        <v>30</v>
      </c>
      <c r="AC13">
        <v>0</v>
      </c>
      <c r="AD13">
        <v>15</v>
      </c>
      <c r="AE13">
        <v>0</v>
      </c>
      <c r="AF13">
        <v>1.9058585166931201E-4</v>
      </c>
      <c r="AG13">
        <v>1.77380479412314E-4</v>
      </c>
      <c r="AH13">
        <v>5.6599974632263201E-3</v>
      </c>
      <c r="AI13">
        <v>1.32804635971312E-2</v>
      </c>
      <c r="AJ13">
        <v>0.152929067611694</v>
      </c>
    </row>
    <row r="14" spans="1:36" x14ac:dyDescent="0.25">
      <c r="A14" t="s">
        <v>44</v>
      </c>
      <c r="B14" t="str" cm="1">
        <f t="array" ref="B14:F14">_xlfn.TEXTSPLIT(A14,"_")</f>
        <v>MVPRP</v>
      </c>
      <c r="C14" t="str">
        <v>C40</v>
      </c>
      <c r="D14" t="str">
        <v>P6</v>
      </c>
      <c r="E14" t="str">
        <v>V3</v>
      </c>
      <c r="F14" t="str">
        <v>I1</v>
      </c>
      <c r="G14" t="s">
        <v>99</v>
      </c>
      <c r="H14" t="s">
        <v>28</v>
      </c>
      <c r="I14" t="str">
        <f t="shared" si="0"/>
        <v>inf</v>
      </c>
      <c r="J14" t="s">
        <v>29</v>
      </c>
      <c r="K14" s="4">
        <f t="shared" si="1"/>
        <v>500000</v>
      </c>
      <c r="L14" s="4">
        <v>54211.034628426001</v>
      </c>
      <c r="M14" t="s">
        <v>29</v>
      </c>
      <c r="N14" s="5">
        <f t="shared" si="2"/>
        <v>0.89157793074314795</v>
      </c>
      <c r="O14" s="4">
        <v>5.6364650726318404</v>
      </c>
      <c r="P14" t="s">
        <v>30</v>
      </c>
      <c r="Q14">
        <v>360</v>
      </c>
      <c r="S14">
        <v>3</v>
      </c>
      <c r="T14">
        <v>-1</v>
      </c>
      <c r="U14">
        <v>-1</v>
      </c>
      <c r="V14">
        <v>-1</v>
      </c>
      <c r="W14">
        <v>-1</v>
      </c>
      <c r="X14">
        <v>-1</v>
      </c>
      <c r="Y14">
        <v>-1</v>
      </c>
      <c r="Z14">
        <v>-1</v>
      </c>
      <c r="AA14">
        <v>30</v>
      </c>
      <c r="AB14">
        <v>35</v>
      </c>
      <c r="AC14">
        <v>0</v>
      </c>
      <c r="AD14">
        <v>26</v>
      </c>
      <c r="AE14">
        <v>0</v>
      </c>
      <c r="AF14">
        <v>2.40759416060014E-4</v>
      </c>
      <c r="AG14">
        <v>3.58802576859792E-4</v>
      </c>
      <c r="AH14">
        <v>5.8306625911167696E-3</v>
      </c>
      <c r="AI14">
        <v>1.9195048495976599E-2</v>
      </c>
      <c r="AJ14">
        <v>1.25299048423767</v>
      </c>
    </row>
    <row r="15" spans="1:36" x14ac:dyDescent="0.25">
      <c r="A15" t="s">
        <v>45</v>
      </c>
      <c r="B15" t="str" cm="1">
        <f t="array" ref="B15:F15">_xlfn.TEXTSPLIT(A15,"_")</f>
        <v>MVPRP</v>
      </c>
      <c r="C15" t="str">
        <v>C15</v>
      </c>
      <c r="D15" t="str">
        <v>P9</v>
      </c>
      <c r="E15" t="str">
        <v>V2</v>
      </c>
      <c r="F15" t="str">
        <v>I1</v>
      </c>
      <c r="G15" t="s">
        <v>99</v>
      </c>
      <c r="H15" t="s">
        <v>28</v>
      </c>
      <c r="I15" t="str">
        <f t="shared" si="0"/>
        <v>inf</v>
      </c>
      <c r="J15" t="s">
        <v>29</v>
      </c>
      <c r="K15" s="4">
        <f t="shared" si="1"/>
        <v>500000</v>
      </c>
      <c r="L15" s="4">
        <v>58673.023113926298</v>
      </c>
      <c r="M15" t="s">
        <v>29</v>
      </c>
      <c r="N15" s="5">
        <f t="shared" si="2"/>
        <v>0.88265395377214739</v>
      </c>
      <c r="O15" s="4">
        <v>2.0690848827362101</v>
      </c>
      <c r="P15" t="s">
        <v>30</v>
      </c>
      <c r="Q15">
        <v>198</v>
      </c>
      <c r="S15">
        <v>3</v>
      </c>
      <c r="T15">
        <v>-1</v>
      </c>
      <c r="U15">
        <v>-1</v>
      </c>
      <c r="V15">
        <v>-1</v>
      </c>
      <c r="W15">
        <v>-1</v>
      </c>
      <c r="X15">
        <v>-1</v>
      </c>
      <c r="Y15">
        <v>-1</v>
      </c>
      <c r="Z15">
        <v>-1</v>
      </c>
      <c r="AA15">
        <v>36</v>
      </c>
      <c r="AB15">
        <v>30</v>
      </c>
      <c r="AC15">
        <v>0</v>
      </c>
      <c r="AD15">
        <v>12</v>
      </c>
      <c r="AE15">
        <v>0</v>
      </c>
      <c r="AF15">
        <v>1.10056665208605E-4</v>
      </c>
      <c r="AG15">
        <v>8.7752165617766201E-5</v>
      </c>
      <c r="AH15">
        <v>6.6844395228794597E-3</v>
      </c>
      <c r="AI15">
        <v>9.2799910183610605E-3</v>
      </c>
      <c r="AJ15">
        <v>0.250194311141968</v>
      </c>
    </row>
    <row r="16" spans="1:36" x14ac:dyDescent="0.25">
      <c r="A16" t="s">
        <v>46</v>
      </c>
      <c r="B16" t="str" cm="1">
        <f t="array" ref="B16:F16">_xlfn.TEXTSPLIT(A16,"_")</f>
        <v>MVPRP</v>
      </c>
      <c r="C16" t="str">
        <v>C35</v>
      </c>
      <c r="D16" t="str">
        <v>P6</v>
      </c>
      <c r="E16" t="str">
        <v>V4</v>
      </c>
      <c r="F16" t="str">
        <v>I1</v>
      </c>
      <c r="G16" t="s">
        <v>99</v>
      </c>
      <c r="H16" t="s">
        <v>28</v>
      </c>
      <c r="I16" t="str">
        <f t="shared" si="0"/>
        <v>inf</v>
      </c>
      <c r="J16" t="s">
        <v>29</v>
      </c>
      <c r="K16" s="4">
        <f t="shared" si="1"/>
        <v>500000</v>
      </c>
      <c r="L16" s="4">
        <v>38240.2778597953</v>
      </c>
      <c r="M16" t="s">
        <v>29</v>
      </c>
      <c r="N16" s="5">
        <f t="shared" si="2"/>
        <v>0.92351944428040933</v>
      </c>
      <c r="O16" s="4">
        <v>5.5676438808441198</v>
      </c>
      <c r="P16" t="s">
        <v>30</v>
      </c>
      <c r="Q16">
        <v>207</v>
      </c>
      <c r="S16">
        <v>3</v>
      </c>
      <c r="T16">
        <v>-1</v>
      </c>
      <c r="U16">
        <v>-1</v>
      </c>
      <c r="V16">
        <v>-1</v>
      </c>
      <c r="W16">
        <v>-1</v>
      </c>
      <c r="X16">
        <v>-1</v>
      </c>
      <c r="Y16">
        <v>-1</v>
      </c>
      <c r="Z16">
        <v>-1</v>
      </c>
      <c r="AA16">
        <v>30</v>
      </c>
      <c r="AB16">
        <v>44</v>
      </c>
      <c r="AC16">
        <v>0</v>
      </c>
      <c r="AD16">
        <v>25</v>
      </c>
      <c r="AE16">
        <v>0</v>
      </c>
      <c r="AF16">
        <v>3.3530822167029798E-4</v>
      </c>
      <c r="AG16">
        <v>2.4900938335217901E-4</v>
      </c>
      <c r="AH16">
        <v>6.2009394168853803E-3</v>
      </c>
      <c r="AI16">
        <v>1.7024110794067401E-2</v>
      </c>
      <c r="AJ16">
        <v>1.0148961544036901</v>
      </c>
    </row>
    <row r="17" spans="1:36" x14ac:dyDescent="0.25">
      <c r="A17" t="s">
        <v>47</v>
      </c>
      <c r="B17" t="str" cm="1">
        <f t="array" ref="B17:F17">_xlfn.TEXTSPLIT(A17,"_")</f>
        <v>MVPRP</v>
      </c>
      <c r="C17" t="str">
        <v>C45</v>
      </c>
      <c r="D17" t="str">
        <v>P3</v>
      </c>
      <c r="E17" t="str">
        <v>V3</v>
      </c>
      <c r="F17" t="str">
        <v>I1</v>
      </c>
      <c r="G17" t="s">
        <v>99</v>
      </c>
      <c r="H17" t="s">
        <v>28</v>
      </c>
      <c r="I17" t="str">
        <f t="shared" si="0"/>
        <v>inf</v>
      </c>
      <c r="J17" t="s">
        <v>29</v>
      </c>
      <c r="K17" s="4">
        <f t="shared" si="1"/>
        <v>500000</v>
      </c>
      <c r="L17" s="4">
        <v>25827.968015578801</v>
      </c>
      <c r="M17" t="s">
        <v>29</v>
      </c>
      <c r="N17" s="5">
        <f t="shared" si="2"/>
        <v>0.94834406396884241</v>
      </c>
      <c r="O17" s="4">
        <v>4.17445588111877</v>
      </c>
      <c r="P17" t="s">
        <v>30</v>
      </c>
      <c r="Q17">
        <v>360</v>
      </c>
      <c r="S17">
        <v>3</v>
      </c>
      <c r="T17">
        <v>-1</v>
      </c>
      <c r="U17">
        <v>-1</v>
      </c>
      <c r="V17">
        <v>-1</v>
      </c>
      <c r="W17">
        <v>-1</v>
      </c>
      <c r="X17">
        <v>-1</v>
      </c>
      <c r="Y17">
        <v>-1</v>
      </c>
      <c r="Z17">
        <v>-1</v>
      </c>
      <c r="AA17">
        <v>15</v>
      </c>
      <c r="AB17">
        <v>39</v>
      </c>
      <c r="AC17">
        <v>0</v>
      </c>
      <c r="AD17">
        <v>14</v>
      </c>
      <c r="AE17">
        <v>0</v>
      </c>
      <c r="AF17">
        <v>2.7787685394287099E-4</v>
      </c>
      <c r="AG17">
        <v>2.7064040855125099E-4</v>
      </c>
      <c r="AH17">
        <v>5.1841735839843802E-3</v>
      </c>
      <c r="AI17">
        <v>2.07134269806276E-2</v>
      </c>
      <c r="AJ17">
        <v>0.75304555892944303</v>
      </c>
    </row>
    <row r="18" spans="1:36" x14ac:dyDescent="0.25">
      <c r="A18" t="s">
        <v>48</v>
      </c>
      <c r="B18" t="str" cm="1">
        <f t="array" ref="B18:F18">_xlfn.TEXTSPLIT(A18,"_")</f>
        <v>MVPRP</v>
      </c>
      <c r="C18" t="str">
        <v>C10</v>
      </c>
      <c r="D18" t="str">
        <v>P6</v>
      </c>
      <c r="E18" t="str">
        <v>V2</v>
      </c>
      <c r="F18" t="str">
        <v>I1</v>
      </c>
      <c r="G18" t="s">
        <v>99</v>
      </c>
      <c r="H18" t="s">
        <v>28</v>
      </c>
      <c r="I18" t="str">
        <f t="shared" si="0"/>
        <v>NODE_LIMIT</v>
      </c>
      <c r="J18">
        <v>31296.699996999901</v>
      </c>
      <c r="K18" s="4">
        <f t="shared" si="1"/>
        <v>31296.699996999901</v>
      </c>
      <c r="L18" s="4">
        <v>29511.361748737701</v>
      </c>
      <c r="M18">
        <v>5.7045575042523597E-2</v>
      </c>
      <c r="N18" s="5">
        <f t="shared" si="2"/>
        <v>5.704557504252341E-2</v>
      </c>
      <c r="O18" s="4">
        <v>2.5276899337768599</v>
      </c>
      <c r="P18" t="s">
        <v>30</v>
      </c>
      <c r="Q18">
        <v>198</v>
      </c>
      <c r="S18">
        <v>3</v>
      </c>
      <c r="T18">
        <v>6000</v>
      </c>
      <c r="U18">
        <v>12690</v>
      </c>
      <c r="V18">
        <v>8187</v>
      </c>
      <c r="W18">
        <v>3589</v>
      </c>
      <c r="X18">
        <v>0</v>
      </c>
      <c r="Y18">
        <v>0</v>
      </c>
      <c r="Z18">
        <v>830.69999699999698</v>
      </c>
      <c r="AA18">
        <v>114</v>
      </c>
      <c r="AB18">
        <v>20</v>
      </c>
      <c r="AC18">
        <v>0</v>
      </c>
      <c r="AD18">
        <v>6</v>
      </c>
      <c r="AE18">
        <v>0</v>
      </c>
      <c r="AF18">
        <v>7.1725460013957897E-5</v>
      </c>
      <c r="AG18">
        <v>7.2561559222993405E-5</v>
      </c>
      <c r="AH18">
        <v>5.1753730564327001E-3</v>
      </c>
      <c r="AI18">
        <v>7.1443303426106802E-3</v>
      </c>
      <c r="AJ18">
        <v>7.67076198871319E-2</v>
      </c>
    </row>
    <row r="19" spans="1:36" x14ac:dyDescent="0.25">
      <c r="A19" t="s">
        <v>49</v>
      </c>
      <c r="B19" t="str" cm="1">
        <f t="array" ref="B19:F19">_xlfn.TEXTSPLIT(A19,"_")</f>
        <v>MVPRP</v>
      </c>
      <c r="C19" t="str">
        <v>C45</v>
      </c>
      <c r="D19" t="str">
        <v>P3</v>
      </c>
      <c r="E19" t="str">
        <v>V4</v>
      </c>
      <c r="F19" t="str">
        <v>I1</v>
      </c>
      <c r="G19" t="s">
        <v>99</v>
      </c>
      <c r="H19" t="s">
        <v>28</v>
      </c>
      <c r="I19" t="str">
        <f t="shared" si="0"/>
        <v>inf</v>
      </c>
      <c r="J19" t="s">
        <v>29</v>
      </c>
      <c r="K19" s="4">
        <f t="shared" si="1"/>
        <v>500000</v>
      </c>
      <c r="L19" s="4">
        <v>26630.023912713201</v>
      </c>
      <c r="M19" t="s">
        <v>29</v>
      </c>
      <c r="N19" s="5">
        <f t="shared" si="2"/>
        <v>0.94673995217457352</v>
      </c>
      <c r="O19" s="4">
        <v>3.2472341060638401</v>
      </c>
      <c r="P19" t="s">
        <v>30</v>
      </c>
      <c r="Q19">
        <v>270</v>
      </c>
      <c r="S19">
        <v>3</v>
      </c>
      <c r="T19">
        <v>-1</v>
      </c>
      <c r="U19">
        <v>-1</v>
      </c>
      <c r="V19">
        <v>-1</v>
      </c>
      <c r="W19">
        <v>-1</v>
      </c>
      <c r="X19">
        <v>-1</v>
      </c>
      <c r="Y19">
        <v>-1</v>
      </c>
      <c r="Z19">
        <v>-1</v>
      </c>
      <c r="AA19">
        <v>15</v>
      </c>
      <c r="AB19">
        <v>31</v>
      </c>
      <c r="AC19">
        <v>0</v>
      </c>
      <c r="AD19">
        <v>17</v>
      </c>
      <c r="AE19">
        <v>0</v>
      </c>
      <c r="AF19">
        <v>3.5933653513590502E-4</v>
      </c>
      <c r="AG19">
        <v>2.5604710434422399E-4</v>
      </c>
      <c r="AH19">
        <v>6.1586697896321603E-3</v>
      </c>
      <c r="AI19">
        <v>1.89509245814109E-2</v>
      </c>
      <c r="AJ19">
        <v>0.81420969963073697</v>
      </c>
    </row>
    <row r="20" spans="1:36" x14ac:dyDescent="0.25">
      <c r="A20" t="s">
        <v>50</v>
      </c>
      <c r="B20" t="str" cm="1">
        <f t="array" ref="B20:F20">_xlfn.TEXTSPLIT(A20,"_")</f>
        <v>MVPRP</v>
      </c>
      <c r="C20" t="str">
        <v>C25</v>
      </c>
      <c r="D20" t="str">
        <v>P6</v>
      </c>
      <c r="E20" t="str">
        <v>V3</v>
      </c>
      <c r="F20" t="str">
        <v>I1</v>
      </c>
      <c r="G20" t="s">
        <v>99</v>
      </c>
      <c r="H20" t="s">
        <v>28</v>
      </c>
      <c r="I20" t="str">
        <f t="shared" si="0"/>
        <v>NODE_LIMIT</v>
      </c>
      <c r="J20">
        <v>75080.899995</v>
      </c>
      <c r="K20" s="4">
        <f t="shared" si="1"/>
        <v>75080.899995</v>
      </c>
      <c r="L20" s="4">
        <v>55651.223463298003</v>
      </c>
      <c r="M20">
        <v>0.258783212947579</v>
      </c>
      <c r="N20" s="5">
        <f t="shared" si="2"/>
        <v>0.25878321294757939</v>
      </c>
      <c r="O20" s="4">
        <v>5.0780458450317401</v>
      </c>
      <c r="P20" t="s">
        <v>30</v>
      </c>
      <c r="Q20">
        <v>189</v>
      </c>
      <c r="S20">
        <v>3</v>
      </c>
      <c r="T20">
        <v>12000</v>
      </c>
      <c r="U20">
        <v>28380</v>
      </c>
      <c r="V20">
        <v>17866</v>
      </c>
      <c r="W20">
        <v>16218</v>
      </c>
      <c r="X20">
        <v>0</v>
      </c>
      <c r="Y20">
        <v>0</v>
      </c>
      <c r="Z20">
        <v>616.89999599998498</v>
      </c>
      <c r="AA20">
        <v>90</v>
      </c>
      <c r="AB20">
        <v>24</v>
      </c>
      <c r="AC20">
        <v>0</v>
      </c>
      <c r="AD20">
        <v>22</v>
      </c>
      <c r="AE20">
        <v>0</v>
      </c>
      <c r="AF20">
        <v>1.40952128990024E-4</v>
      </c>
      <c r="AG20">
        <v>1.5975489760890199E-4</v>
      </c>
      <c r="AH20">
        <v>5.9629714850223401E-3</v>
      </c>
      <c r="AI20">
        <v>1.0084060912436601E-2</v>
      </c>
      <c r="AJ20">
        <v>0.68225073814392101</v>
      </c>
    </row>
    <row r="21" spans="1:36" x14ac:dyDescent="0.25">
      <c r="A21" t="s">
        <v>51</v>
      </c>
      <c r="B21" t="str" cm="1">
        <f t="array" ref="B21:F21">_xlfn.TEXTSPLIT(A21,"_")</f>
        <v>MVPRP</v>
      </c>
      <c r="C21" t="str">
        <v>C15</v>
      </c>
      <c r="D21" t="str">
        <v>P6</v>
      </c>
      <c r="E21" t="str">
        <v>V2</v>
      </c>
      <c r="F21" t="str">
        <v>I1</v>
      </c>
      <c r="G21" t="s">
        <v>99</v>
      </c>
      <c r="H21" t="s">
        <v>28</v>
      </c>
      <c r="I21" t="str">
        <f t="shared" si="0"/>
        <v>inf</v>
      </c>
      <c r="J21" t="s">
        <v>29</v>
      </c>
      <c r="K21" s="4">
        <f t="shared" si="1"/>
        <v>500000</v>
      </c>
      <c r="L21" s="4">
        <v>29083.764413098601</v>
      </c>
      <c r="M21" t="s">
        <v>29</v>
      </c>
      <c r="N21" s="5">
        <f t="shared" si="2"/>
        <v>0.94183247117380287</v>
      </c>
      <c r="O21" s="4">
        <v>1.6239199638366699</v>
      </c>
      <c r="P21" t="s">
        <v>30</v>
      </c>
      <c r="Q21">
        <v>198</v>
      </c>
      <c r="S21">
        <v>3</v>
      </c>
      <c r="T21">
        <v>-1</v>
      </c>
      <c r="U21">
        <v>-1</v>
      </c>
      <c r="V21">
        <v>-1</v>
      </c>
      <c r="W21">
        <v>-1</v>
      </c>
      <c r="X21">
        <v>-1</v>
      </c>
      <c r="Y21">
        <v>-1</v>
      </c>
      <c r="Z21">
        <v>-1</v>
      </c>
      <c r="AA21">
        <v>48</v>
      </c>
      <c r="AB21">
        <v>18</v>
      </c>
      <c r="AC21">
        <v>0</v>
      </c>
      <c r="AD21">
        <v>9</v>
      </c>
      <c r="AE21">
        <v>0</v>
      </c>
      <c r="AF21">
        <v>1.0505475495991E-4</v>
      </c>
      <c r="AG21">
        <v>7.4035981122185196E-5</v>
      </c>
      <c r="AH21">
        <v>6.32579510028546E-3</v>
      </c>
      <c r="AI21">
        <v>8.0659816139622698E-3</v>
      </c>
      <c r="AJ21">
        <v>0.180533647537231</v>
      </c>
    </row>
    <row r="22" spans="1:36" x14ac:dyDescent="0.25">
      <c r="A22" t="s">
        <v>52</v>
      </c>
      <c r="B22" t="str" cm="1">
        <f t="array" ref="B22:F22">_xlfn.TEXTSPLIT(A22,"_")</f>
        <v>MVPRP</v>
      </c>
      <c r="C22" t="str">
        <v>C35</v>
      </c>
      <c r="D22" t="str">
        <v>P6</v>
      </c>
      <c r="E22" t="str">
        <v>V3</v>
      </c>
      <c r="F22" t="str">
        <v>I1</v>
      </c>
      <c r="G22" t="s">
        <v>99</v>
      </c>
      <c r="H22" t="s">
        <v>28</v>
      </c>
      <c r="I22" t="str">
        <f t="shared" si="0"/>
        <v>inf</v>
      </c>
      <c r="J22" t="s">
        <v>29</v>
      </c>
      <c r="K22" s="4">
        <f t="shared" si="1"/>
        <v>500000</v>
      </c>
      <c r="L22" s="4">
        <v>37319.972783955898</v>
      </c>
      <c r="M22" t="s">
        <v>29</v>
      </c>
      <c r="N22" s="5">
        <f t="shared" si="2"/>
        <v>0.92536005443208813</v>
      </c>
      <c r="O22" s="4">
        <v>4.6375200748443604</v>
      </c>
      <c r="P22" t="s">
        <v>30</v>
      </c>
      <c r="Q22">
        <v>276</v>
      </c>
      <c r="S22">
        <v>3</v>
      </c>
      <c r="T22">
        <v>-1</v>
      </c>
      <c r="U22">
        <v>-1</v>
      </c>
      <c r="V22">
        <v>-1</v>
      </c>
      <c r="W22">
        <v>-1</v>
      </c>
      <c r="X22">
        <v>-1</v>
      </c>
      <c r="Y22">
        <v>-1</v>
      </c>
      <c r="Z22">
        <v>-1</v>
      </c>
      <c r="AA22">
        <v>30</v>
      </c>
      <c r="AB22">
        <v>34</v>
      </c>
      <c r="AC22">
        <v>0</v>
      </c>
      <c r="AD22">
        <v>22</v>
      </c>
      <c r="AE22">
        <v>0</v>
      </c>
      <c r="AF22">
        <v>1.9758542378743501E-4</v>
      </c>
      <c r="AG22">
        <v>2.7354814672982803E-4</v>
      </c>
      <c r="AH22">
        <v>7.4363405054265804E-3</v>
      </c>
      <c r="AI22">
        <v>1.7966115867698602E-2</v>
      </c>
      <c r="AJ22">
        <v>0.970686435699463</v>
      </c>
    </row>
    <row r="23" spans="1:36" x14ac:dyDescent="0.25">
      <c r="A23" t="s">
        <v>53</v>
      </c>
      <c r="B23" t="str" cm="1">
        <f t="array" ref="B23:F23">_xlfn.TEXTSPLIT(A23,"_")</f>
        <v>MVPRP</v>
      </c>
      <c r="C23" t="str">
        <v>C25</v>
      </c>
      <c r="D23" t="str">
        <v>P3</v>
      </c>
      <c r="E23" t="str">
        <v>V3</v>
      </c>
      <c r="F23" t="str">
        <v>I1</v>
      </c>
      <c r="G23" t="s">
        <v>99</v>
      </c>
      <c r="H23" t="s">
        <v>28</v>
      </c>
      <c r="I23" t="str">
        <f t="shared" si="0"/>
        <v>inf</v>
      </c>
      <c r="J23" t="s">
        <v>29</v>
      </c>
      <c r="K23" s="4">
        <f t="shared" si="1"/>
        <v>500000</v>
      </c>
      <c r="L23" s="4">
        <v>19858.608486516201</v>
      </c>
      <c r="M23" t="s">
        <v>29</v>
      </c>
      <c r="N23" s="5">
        <f t="shared" si="2"/>
        <v>0.96028278302696757</v>
      </c>
      <c r="O23" s="4">
        <v>2.3655850887298602</v>
      </c>
      <c r="P23" t="s">
        <v>30</v>
      </c>
      <c r="Q23">
        <v>189</v>
      </c>
      <c r="S23">
        <v>3</v>
      </c>
      <c r="T23">
        <v>-1</v>
      </c>
      <c r="U23">
        <v>-1</v>
      </c>
      <c r="V23">
        <v>-1</v>
      </c>
      <c r="W23">
        <v>-1</v>
      </c>
      <c r="X23">
        <v>-1</v>
      </c>
      <c r="Y23">
        <v>-1</v>
      </c>
      <c r="Z23">
        <v>-1</v>
      </c>
      <c r="AA23">
        <v>15</v>
      </c>
      <c r="AB23">
        <v>14</v>
      </c>
      <c r="AC23">
        <v>0</v>
      </c>
      <c r="AD23">
        <v>20</v>
      </c>
      <c r="AE23">
        <v>0</v>
      </c>
      <c r="AF23">
        <v>2.42329932547904E-4</v>
      </c>
      <c r="AG23">
        <v>1.55934833344959E-4</v>
      </c>
      <c r="AH23">
        <v>7.2938919067382802E-3</v>
      </c>
      <c r="AI23">
        <v>1.39000302269345E-2</v>
      </c>
      <c r="AJ23">
        <v>0.22192621231079099</v>
      </c>
    </row>
    <row r="24" spans="1:36" x14ac:dyDescent="0.25">
      <c r="A24" t="s">
        <v>54</v>
      </c>
      <c r="B24" t="str" cm="1">
        <f t="array" ref="B24:F24">_xlfn.TEXTSPLIT(A24,"_")</f>
        <v>MVPRP</v>
      </c>
      <c r="C24" t="str">
        <v>C10</v>
      </c>
      <c r="D24" t="str">
        <v>P6</v>
      </c>
      <c r="E24" t="str">
        <v>V3</v>
      </c>
      <c r="F24" t="str">
        <v>I1</v>
      </c>
      <c r="G24" t="s">
        <v>99</v>
      </c>
      <c r="H24" t="s">
        <v>28</v>
      </c>
      <c r="I24" t="str">
        <f t="shared" si="0"/>
        <v>NODE_LIMIT</v>
      </c>
      <c r="J24">
        <v>30750.699991999601</v>
      </c>
      <c r="K24" s="4">
        <f t="shared" si="1"/>
        <v>30750.699991999601</v>
      </c>
      <c r="L24" s="4">
        <v>28917.7525734433</v>
      </c>
      <c r="M24">
        <v>5.9606689247179899E-2</v>
      </c>
      <c r="N24" s="5">
        <f t="shared" si="2"/>
        <v>5.9606689247177415E-2</v>
      </c>
      <c r="O24" s="4">
        <v>2.52082395553589</v>
      </c>
      <c r="P24" t="s">
        <v>30</v>
      </c>
      <c r="Q24">
        <v>132</v>
      </c>
      <c r="S24">
        <v>3</v>
      </c>
      <c r="T24">
        <v>6000</v>
      </c>
      <c r="U24">
        <v>12690</v>
      </c>
      <c r="V24">
        <v>7709</v>
      </c>
      <c r="W24">
        <v>4268</v>
      </c>
      <c r="X24">
        <v>0</v>
      </c>
      <c r="Y24">
        <v>0</v>
      </c>
      <c r="Z24">
        <v>83.699992999639306</v>
      </c>
      <c r="AA24">
        <v>103</v>
      </c>
      <c r="AB24">
        <v>17</v>
      </c>
      <c r="AC24">
        <v>0</v>
      </c>
      <c r="AD24">
        <v>14</v>
      </c>
      <c r="AE24">
        <v>0</v>
      </c>
      <c r="AF24">
        <v>6.4912389536372997E-5</v>
      </c>
      <c r="AG24">
        <v>6.3292185465494799E-5</v>
      </c>
      <c r="AH24">
        <v>4.8341000521624497E-3</v>
      </c>
      <c r="AI24">
        <v>6.2259207380578902E-3</v>
      </c>
      <c r="AJ24">
        <v>8.8151198167067304E-2</v>
      </c>
    </row>
    <row r="25" spans="1:36" x14ac:dyDescent="0.25">
      <c r="A25" t="s">
        <v>55</v>
      </c>
      <c r="B25" t="str" cm="1">
        <f t="array" ref="B25:F25">_xlfn.TEXTSPLIT(A25,"_")</f>
        <v>MVPRP</v>
      </c>
      <c r="C25" t="str">
        <v>C35</v>
      </c>
      <c r="D25" t="str">
        <v>P3</v>
      </c>
      <c r="E25" t="str">
        <v>V3</v>
      </c>
      <c r="F25" t="str">
        <v>I1</v>
      </c>
      <c r="G25" t="s">
        <v>99</v>
      </c>
      <c r="H25" t="s">
        <v>28</v>
      </c>
      <c r="I25" t="str">
        <f t="shared" si="0"/>
        <v>inf</v>
      </c>
      <c r="J25" t="s">
        <v>29</v>
      </c>
      <c r="K25" s="4">
        <f t="shared" si="1"/>
        <v>500000</v>
      </c>
      <c r="L25" s="4">
        <v>16334.90172292</v>
      </c>
      <c r="M25" t="s">
        <v>29</v>
      </c>
      <c r="N25" s="5">
        <f t="shared" si="2"/>
        <v>0.96733019655415997</v>
      </c>
      <c r="O25" s="4">
        <v>3.2676198482513401</v>
      </c>
      <c r="P25" t="s">
        <v>30</v>
      </c>
      <c r="Q25">
        <v>276</v>
      </c>
      <c r="S25">
        <v>3</v>
      </c>
      <c r="T25">
        <v>-1</v>
      </c>
      <c r="U25">
        <v>-1</v>
      </c>
      <c r="V25">
        <v>-1</v>
      </c>
      <c r="W25">
        <v>-1</v>
      </c>
      <c r="X25">
        <v>-1</v>
      </c>
      <c r="Y25">
        <v>-1</v>
      </c>
      <c r="Z25">
        <v>-1</v>
      </c>
      <c r="AA25">
        <v>15</v>
      </c>
      <c r="AB25">
        <v>21</v>
      </c>
      <c r="AC25">
        <v>0</v>
      </c>
      <c r="AD25">
        <v>17</v>
      </c>
      <c r="AE25">
        <v>0</v>
      </c>
      <c r="AF25">
        <v>2.8597391568697402E-4</v>
      </c>
      <c r="AG25">
        <v>2.2883932719859E-4</v>
      </c>
      <c r="AH25">
        <v>6.29830360412598E-3</v>
      </c>
      <c r="AI25">
        <v>1.7278577504533099E-2</v>
      </c>
      <c r="AJ25">
        <v>0.49168729782104498</v>
      </c>
    </row>
    <row r="26" spans="1:36" x14ac:dyDescent="0.25">
      <c r="A26" t="s">
        <v>56</v>
      </c>
      <c r="B26" t="str" cm="1">
        <f t="array" ref="B26:F26">_xlfn.TEXTSPLIT(A26,"_")</f>
        <v>MVPRP</v>
      </c>
      <c r="C26" t="str">
        <v>C50</v>
      </c>
      <c r="D26" t="str">
        <v>P3</v>
      </c>
      <c r="E26" t="str">
        <v>V3</v>
      </c>
      <c r="F26" t="str">
        <v>I1</v>
      </c>
      <c r="G26" t="s">
        <v>99</v>
      </c>
      <c r="H26" t="s">
        <v>28</v>
      </c>
      <c r="I26" t="str">
        <f t="shared" si="0"/>
        <v>inf</v>
      </c>
      <c r="J26" t="s">
        <v>29</v>
      </c>
      <c r="K26" s="4">
        <f t="shared" si="1"/>
        <v>500000</v>
      </c>
      <c r="L26" s="4">
        <v>20820.931214653501</v>
      </c>
      <c r="M26" t="s">
        <v>29</v>
      </c>
      <c r="N26" s="5">
        <f t="shared" si="2"/>
        <v>0.95835813757069299</v>
      </c>
      <c r="O26" s="4">
        <v>4.6235661506652797</v>
      </c>
      <c r="P26" t="s">
        <v>30</v>
      </c>
      <c r="Q26">
        <v>360</v>
      </c>
      <c r="S26">
        <v>3</v>
      </c>
      <c r="T26">
        <v>-1</v>
      </c>
      <c r="U26">
        <v>-1</v>
      </c>
      <c r="V26">
        <v>-1</v>
      </c>
      <c r="W26">
        <v>-1</v>
      </c>
      <c r="X26">
        <v>-1</v>
      </c>
      <c r="Y26">
        <v>-1</v>
      </c>
      <c r="Z26">
        <v>-1</v>
      </c>
      <c r="AA26">
        <v>15</v>
      </c>
      <c r="AB26">
        <v>26</v>
      </c>
      <c r="AC26">
        <v>0</v>
      </c>
      <c r="AD26">
        <v>18</v>
      </c>
      <c r="AE26">
        <v>0</v>
      </c>
      <c r="AF26">
        <v>3.4391880035400401E-4</v>
      </c>
      <c r="AG26">
        <v>2.9006269243028401E-4</v>
      </c>
      <c r="AH26">
        <v>5.96483548482259E-3</v>
      </c>
      <c r="AI26">
        <v>2.5209742532649501E-2</v>
      </c>
      <c r="AJ26">
        <v>0.88376212120056197</v>
      </c>
    </row>
    <row r="27" spans="1:36" x14ac:dyDescent="0.25">
      <c r="A27" t="s">
        <v>57</v>
      </c>
      <c r="B27" t="str" cm="1">
        <f t="array" ref="B27:F27">_xlfn.TEXTSPLIT(A27,"_")</f>
        <v>MVPRP</v>
      </c>
      <c r="C27" t="str">
        <v>C30</v>
      </c>
      <c r="D27" t="str">
        <v>P6</v>
      </c>
      <c r="E27" t="str">
        <v>V3</v>
      </c>
      <c r="F27" t="str">
        <v>I1</v>
      </c>
      <c r="G27" t="s">
        <v>99</v>
      </c>
      <c r="H27" t="s">
        <v>28</v>
      </c>
      <c r="I27" t="str">
        <f t="shared" si="0"/>
        <v>inf</v>
      </c>
      <c r="J27" t="s">
        <v>29</v>
      </c>
      <c r="K27" s="4">
        <f t="shared" si="1"/>
        <v>500000</v>
      </c>
      <c r="L27" s="4">
        <v>31553.086311166298</v>
      </c>
      <c r="M27" t="s">
        <v>29</v>
      </c>
      <c r="N27" s="5">
        <f t="shared" si="2"/>
        <v>0.93689382737766747</v>
      </c>
      <c r="O27" s="4">
        <v>3.9370369911193799</v>
      </c>
      <c r="P27" t="s">
        <v>30</v>
      </c>
      <c r="Q27">
        <v>228</v>
      </c>
      <c r="S27">
        <v>3</v>
      </c>
      <c r="T27">
        <v>-1</v>
      </c>
      <c r="U27">
        <v>-1</v>
      </c>
      <c r="V27">
        <v>-1</v>
      </c>
      <c r="W27">
        <v>-1</v>
      </c>
      <c r="X27">
        <v>-1</v>
      </c>
      <c r="Y27">
        <v>-1</v>
      </c>
      <c r="Z27">
        <v>-1</v>
      </c>
      <c r="AA27">
        <v>30</v>
      </c>
      <c r="AB27">
        <v>43</v>
      </c>
      <c r="AC27">
        <v>0</v>
      </c>
      <c r="AD27">
        <v>19</v>
      </c>
      <c r="AE27">
        <v>0</v>
      </c>
      <c r="AF27">
        <v>2.1433830261230501E-4</v>
      </c>
      <c r="AG27">
        <v>2.0362179854820501E-4</v>
      </c>
      <c r="AH27">
        <v>6.8990985552469901E-3</v>
      </c>
      <c r="AI27">
        <v>1.4153691048317801E-2</v>
      </c>
      <c r="AJ27">
        <v>0.79526567459106501</v>
      </c>
    </row>
    <row r="28" spans="1:36" x14ac:dyDescent="0.25">
      <c r="A28" t="s">
        <v>58</v>
      </c>
      <c r="B28" t="str" cm="1">
        <f t="array" ref="B28:F28">_xlfn.TEXTSPLIT(A28,"_")</f>
        <v>MVPRP</v>
      </c>
      <c r="C28" t="str">
        <v>C30</v>
      </c>
      <c r="D28" t="str">
        <v>P6</v>
      </c>
      <c r="E28" t="str">
        <v>V4</v>
      </c>
      <c r="F28" t="str">
        <v>I1</v>
      </c>
      <c r="G28" t="s">
        <v>99</v>
      </c>
      <c r="H28" t="s">
        <v>28</v>
      </c>
      <c r="I28" t="str">
        <f t="shared" si="0"/>
        <v>inf</v>
      </c>
      <c r="J28" t="s">
        <v>29</v>
      </c>
      <c r="K28" s="4">
        <f t="shared" si="1"/>
        <v>500000</v>
      </c>
      <c r="L28" s="4">
        <v>32117.2333872827</v>
      </c>
      <c r="M28" t="s">
        <v>29</v>
      </c>
      <c r="N28" s="5">
        <f t="shared" si="2"/>
        <v>0.93576553322543465</v>
      </c>
      <c r="O28" s="4">
        <v>4.0320589542388898</v>
      </c>
      <c r="P28" t="s">
        <v>30</v>
      </c>
      <c r="Q28">
        <v>171</v>
      </c>
      <c r="S28">
        <v>3</v>
      </c>
      <c r="T28">
        <v>-1</v>
      </c>
      <c r="U28">
        <v>-1</v>
      </c>
      <c r="V28">
        <v>-1</v>
      </c>
      <c r="W28">
        <v>-1</v>
      </c>
      <c r="X28">
        <v>-1</v>
      </c>
      <c r="Y28">
        <v>-1</v>
      </c>
      <c r="Z28">
        <v>-1</v>
      </c>
      <c r="AA28">
        <v>30</v>
      </c>
      <c r="AB28">
        <v>37</v>
      </c>
      <c r="AC28">
        <v>0</v>
      </c>
      <c r="AD28">
        <v>20</v>
      </c>
      <c r="AE28">
        <v>0</v>
      </c>
      <c r="AF28">
        <v>2.19821929931641E-4</v>
      </c>
      <c r="AG28">
        <v>2.0795067151387501E-4</v>
      </c>
      <c r="AH28">
        <v>6.2437057495117196E-3</v>
      </c>
      <c r="AI28">
        <v>1.44233797110763E-2</v>
      </c>
      <c r="AJ28">
        <v>0.780742406845093</v>
      </c>
    </row>
    <row r="29" spans="1:36" x14ac:dyDescent="0.25">
      <c r="A29" t="s">
        <v>59</v>
      </c>
      <c r="B29" t="str" cm="1">
        <f t="array" ref="B29:F29">_xlfn.TEXTSPLIT(A29,"_")</f>
        <v>MVPRP</v>
      </c>
      <c r="C29" t="str">
        <v>C25</v>
      </c>
      <c r="D29" t="str">
        <v>P9</v>
      </c>
      <c r="E29" t="str">
        <v>V3</v>
      </c>
      <c r="F29" t="str">
        <v>I1</v>
      </c>
      <c r="G29" t="s">
        <v>99</v>
      </c>
      <c r="H29" t="s">
        <v>28</v>
      </c>
      <c r="I29" t="str">
        <f t="shared" si="0"/>
        <v>inf</v>
      </c>
      <c r="J29" t="s">
        <v>29</v>
      </c>
      <c r="K29" s="4">
        <f t="shared" si="1"/>
        <v>500000</v>
      </c>
      <c r="L29" s="4">
        <v>81560.301957831907</v>
      </c>
      <c r="M29" t="s">
        <v>29</v>
      </c>
      <c r="N29" s="5">
        <f t="shared" si="2"/>
        <v>0.83687939608433626</v>
      </c>
      <c r="O29" s="4">
        <v>5.2098188400268599</v>
      </c>
      <c r="P29" t="s">
        <v>30</v>
      </c>
      <c r="Q29">
        <v>189</v>
      </c>
      <c r="S29">
        <v>3</v>
      </c>
      <c r="T29">
        <v>-1</v>
      </c>
      <c r="U29">
        <v>-1</v>
      </c>
      <c r="V29">
        <v>-1</v>
      </c>
      <c r="W29">
        <v>-1</v>
      </c>
      <c r="X29">
        <v>-1</v>
      </c>
      <c r="Y29">
        <v>-1</v>
      </c>
      <c r="Z29">
        <v>-1</v>
      </c>
      <c r="AA29">
        <v>45</v>
      </c>
      <c r="AB29">
        <v>43</v>
      </c>
      <c r="AC29">
        <v>0</v>
      </c>
      <c r="AD29">
        <v>15</v>
      </c>
      <c r="AE29">
        <v>0</v>
      </c>
      <c r="AF29">
        <v>1.6360623495919401E-4</v>
      </c>
      <c r="AG29">
        <v>1.87679268847937E-4</v>
      </c>
      <c r="AH29">
        <v>5.22840023040772E-3</v>
      </c>
      <c r="AI29">
        <v>1.51842982469205E-2</v>
      </c>
      <c r="AJ29">
        <v>0.73594665527343806</v>
      </c>
    </row>
    <row r="30" spans="1:36" x14ac:dyDescent="0.25">
      <c r="A30" t="s">
        <v>60</v>
      </c>
      <c r="B30" t="str" cm="1">
        <f t="array" ref="B30:F30">_xlfn.TEXTSPLIT(A30,"_")</f>
        <v>MVPRP</v>
      </c>
      <c r="C30" t="str">
        <v>C20</v>
      </c>
      <c r="D30" t="str">
        <v>P6</v>
      </c>
      <c r="E30" t="str">
        <v>V2</v>
      </c>
      <c r="F30" t="str">
        <v>I1</v>
      </c>
      <c r="G30" t="s">
        <v>99</v>
      </c>
      <c r="H30" t="s">
        <v>28</v>
      </c>
      <c r="I30" t="str">
        <f t="shared" si="0"/>
        <v>NODE_LIMIT</v>
      </c>
      <c r="J30">
        <v>72392.999995999999</v>
      </c>
      <c r="K30" s="4">
        <f t="shared" si="1"/>
        <v>72392.999995999999</v>
      </c>
      <c r="L30" s="4">
        <v>42688.866379899002</v>
      </c>
      <c r="M30">
        <v>0.41031776024950301</v>
      </c>
      <c r="N30" s="5">
        <f t="shared" si="2"/>
        <v>0.41031776024950295</v>
      </c>
      <c r="O30" s="4">
        <v>4.46415495872498</v>
      </c>
      <c r="P30" t="s">
        <v>30</v>
      </c>
      <c r="Q30">
        <v>283</v>
      </c>
      <c r="S30">
        <v>3</v>
      </c>
      <c r="T30">
        <v>9000</v>
      </c>
      <c r="U30">
        <v>23820</v>
      </c>
      <c r="V30">
        <v>10716</v>
      </c>
      <c r="W30">
        <v>19807</v>
      </c>
      <c r="X30">
        <v>0</v>
      </c>
      <c r="Y30">
        <v>0</v>
      </c>
      <c r="Z30">
        <v>9049.9999979999993</v>
      </c>
      <c r="AA30">
        <v>59</v>
      </c>
      <c r="AB30">
        <v>18</v>
      </c>
      <c r="AC30">
        <v>0</v>
      </c>
      <c r="AD30">
        <v>13</v>
      </c>
      <c r="AE30">
        <v>0</v>
      </c>
      <c r="AF30">
        <v>1.4242833974410099E-4</v>
      </c>
      <c r="AG30">
        <v>1.51888996947045E-4</v>
      </c>
      <c r="AH30">
        <v>7.9599698384602898E-3</v>
      </c>
      <c r="AI30">
        <v>1.02468827191521E-2</v>
      </c>
      <c r="AJ30">
        <v>0.31516909599304199</v>
      </c>
    </row>
    <row r="31" spans="1:36" x14ac:dyDescent="0.25">
      <c r="A31" t="s">
        <v>61</v>
      </c>
      <c r="B31" t="str" cm="1">
        <f t="array" ref="B31:F31">_xlfn.TEXTSPLIT(A31,"_")</f>
        <v>MVPRP</v>
      </c>
      <c r="C31" t="str">
        <v>C15</v>
      </c>
      <c r="D31" t="str">
        <v>P6</v>
      </c>
      <c r="E31" t="str">
        <v>V3</v>
      </c>
      <c r="F31" t="str">
        <v>I1</v>
      </c>
      <c r="G31" t="s">
        <v>99</v>
      </c>
      <c r="H31" t="s">
        <v>28</v>
      </c>
      <c r="I31" t="str">
        <f t="shared" si="0"/>
        <v>inf</v>
      </c>
      <c r="J31" t="s">
        <v>29</v>
      </c>
      <c r="K31" s="4">
        <f t="shared" si="1"/>
        <v>500000</v>
      </c>
      <c r="L31" s="4">
        <v>30233.725124421901</v>
      </c>
      <c r="M31" t="s">
        <v>29</v>
      </c>
      <c r="N31" s="5">
        <f t="shared" si="2"/>
        <v>0.93953254975115619</v>
      </c>
      <c r="O31" s="4">
        <v>1.7077329158782999</v>
      </c>
      <c r="P31" t="s">
        <v>30</v>
      </c>
      <c r="Q31">
        <v>132</v>
      </c>
      <c r="S31">
        <v>3</v>
      </c>
      <c r="T31">
        <v>-1</v>
      </c>
      <c r="U31">
        <v>-1</v>
      </c>
      <c r="V31">
        <v>-1</v>
      </c>
      <c r="W31">
        <v>-1</v>
      </c>
      <c r="X31">
        <v>-1</v>
      </c>
      <c r="Y31">
        <v>-1</v>
      </c>
      <c r="Z31">
        <v>-1</v>
      </c>
      <c r="AA31">
        <v>30</v>
      </c>
      <c r="AB31">
        <v>31</v>
      </c>
      <c r="AC31">
        <v>0</v>
      </c>
      <c r="AD31">
        <v>14</v>
      </c>
      <c r="AE31">
        <v>0</v>
      </c>
      <c r="AF31">
        <v>1.49952737908614E-4</v>
      </c>
      <c r="AG31">
        <v>1.13737349416695E-4</v>
      </c>
      <c r="AH31">
        <v>6.3191327181729403E-3</v>
      </c>
      <c r="AI31">
        <v>1.02969720250084E-2</v>
      </c>
      <c r="AJ31">
        <v>0.21275711059570299</v>
      </c>
    </row>
    <row r="32" spans="1:36" x14ac:dyDescent="0.25">
      <c r="A32" t="s">
        <v>62</v>
      </c>
      <c r="B32" t="str" cm="1">
        <f t="array" ref="B32:F32">_xlfn.TEXTSPLIT(A32,"_")</f>
        <v>MVPRP</v>
      </c>
      <c r="C32" t="str">
        <v>C15</v>
      </c>
      <c r="D32" t="str">
        <v>P3</v>
      </c>
      <c r="E32" t="str">
        <v>V3</v>
      </c>
      <c r="F32" t="str">
        <v>I1</v>
      </c>
      <c r="G32" t="s">
        <v>99</v>
      </c>
      <c r="H32" t="s">
        <v>28</v>
      </c>
      <c r="I32" t="str">
        <f t="shared" si="0"/>
        <v>inf</v>
      </c>
      <c r="J32" t="s">
        <v>29</v>
      </c>
      <c r="K32" s="4">
        <f t="shared" si="1"/>
        <v>500000</v>
      </c>
      <c r="L32" s="4">
        <v>11948.9427426621</v>
      </c>
      <c r="M32" t="s">
        <v>29</v>
      </c>
      <c r="N32" s="5">
        <f t="shared" si="2"/>
        <v>0.97610211451467577</v>
      </c>
      <c r="O32" s="4">
        <v>1.1254091262817401</v>
      </c>
      <c r="P32" t="s">
        <v>30</v>
      </c>
      <c r="Q32">
        <v>132</v>
      </c>
      <c r="S32">
        <v>3</v>
      </c>
      <c r="T32">
        <v>-1</v>
      </c>
      <c r="U32">
        <v>-1</v>
      </c>
      <c r="V32">
        <v>-1</v>
      </c>
      <c r="W32">
        <v>-1</v>
      </c>
      <c r="X32">
        <v>-1</v>
      </c>
      <c r="Y32">
        <v>-1</v>
      </c>
      <c r="Z32">
        <v>-1</v>
      </c>
      <c r="AA32">
        <v>30</v>
      </c>
      <c r="AB32">
        <v>20</v>
      </c>
      <c r="AC32">
        <v>0</v>
      </c>
      <c r="AD32">
        <v>7</v>
      </c>
      <c r="AE32">
        <v>0</v>
      </c>
      <c r="AF32">
        <v>1.16183207585261E-4</v>
      </c>
      <c r="AG32">
        <v>1.2391688776951199E-4</v>
      </c>
      <c r="AH32">
        <v>6.7916313807169599E-3</v>
      </c>
      <c r="AI32">
        <v>1.1063748217643599E-2</v>
      </c>
      <c r="AJ32">
        <v>0.11374580860137901</v>
      </c>
    </row>
    <row r="33" spans="1:36" x14ac:dyDescent="0.25">
      <c r="A33" t="s">
        <v>63</v>
      </c>
      <c r="B33" t="str" cm="1">
        <f t="array" ref="B33:F33">_xlfn.TEXTSPLIT(A33,"_")</f>
        <v>MVPRP</v>
      </c>
      <c r="C33" t="str">
        <v>C25</v>
      </c>
      <c r="D33" t="str">
        <v>P9</v>
      </c>
      <c r="E33" t="str">
        <v>V2</v>
      </c>
      <c r="F33" t="str">
        <v>I1</v>
      </c>
      <c r="G33" t="s">
        <v>99</v>
      </c>
      <c r="H33" t="s">
        <v>28</v>
      </c>
      <c r="I33" t="str">
        <f t="shared" si="0"/>
        <v>inf</v>
      </c>
      <c r="J33" t="s">
        <v>29</v>
      </c>
      <c r="K33" s="4">
        <f t="shared" si="1"/>
        <v>500000</v>
      </c>
      <c r="L33" s="4">
        <v>81417.065439896396</v>
      </c>
      <c r="M33" t="s">
        <v>29</v>
      </c>
      <c r="N33" s="5">
        <f t="shared" si="2"/>
        <v>0.83716586912020718</v>
      </c>
      <c r="O33" s="4">
        <v>2.94121313095093</v>
      </c>
      <c r="P33" t="s">
        <v>30</v>
      </c>
      <c r="Q33">
        <v>283</v>
      </c>
      <c r="S33">
        <v>3</v>
      </c>
      <c r="T33">
        <v>-1</v>
      </c>
      <c r="U33">
        <v>-1</v>
      </c>
      <c r="V33">
        <v>-1</v>
      </c>
      <c r="W33">
        <v>-1</v>
      </c>
      <c r="X33">
        <v>-1</v>
      </c>
      <c r="Y33">
        <v>-1</v>
      </c>
      <c r="Z33">
        <v>-1</v>
      </c>
      <c r="AA33">
        <v>36</v>
      </c>
      <c r="AB33">
        <v>30</v>
      </c>
      <c r="AC33">
        <v>0</v>
      </c>
      <c r="AD33">
        <v>10</v>
      </c>
      <c r="AE33">
        <v>0</v>
      </c>
      <c r="AF33">
        <v>2.12084163318981E-4</v>
      </c>
      <c r="AG33">
        <v>1.2587617944788101E-4</v>
      </c>
      <c r="AH33">
        <v>7.4756145477294896E-3</v>
      </c>
      <c r="AI33">
        <v>9.5789533980349308E-3</v>
      </c>
      <c r="AJ33">
        <v>0.743061304092407</v>
      </c>
    </row>
    <row r="34" spans="1:36" x14ac:dyDescent="0.25">
      <c r="A34" t="s">
        <v>64</v>
      </c>
      <c r="B34" t="str" cm="1">
        <f t="array" ref="B34:F34">_xlfn.TEXTSPLIT(A34,"_")</f>
        <v>MVPRP</v>
      </c>
      <c r="C34" t="str">
        <v>C35</v>
      </c>
      <c r="D34" t="str">
        <v>P3</v>
      </c>
      <c r="E34" t="str">
        <v>V4</v>
      </c>
      <c r="F34" t="str">
        <v>I1</v>
      </c>
      <c r="G34" t="s">
        <v>99</v>
      </c>
      <c r="H34" t="s">
        <v>28</v>
      </c>
      <c r="I34" t="str">
        <f t="shared" si="0"/>
        <v>inf</v>
      </c>
      <c r="J34" t="s">
        <v>29</v>
      </c>
      <c r="K34" s="4">
        <f t="shared" si="1"/>
        <v>500000</v>
      </c>
      <c r="L34" s="4">
        <v>16900.157764936001</v>
      </c>
      <c r="M34" t="s">
        <v>29</v>
      </c>
      <c r="N34" s="5">
        <f t="shared" si="2"/>
        <v>0.96619968447012805</v>
      </c>
      <c r="O34" s="4">
        <v>3.6385979652404798</v>
      </c>
      <c r="P34" t="s">
        <v>30</v>
      </c>
      <c r="Q34">
        <v>207</v>
      </c>
      <c r="S34">
        <v>3</v>
      </c>
      <c r="T34">
        <v>-1</v>
      </c>
      <c r="U34">
        <v>-1</v>
      </c>
      <c r="V34">
        <v>-1</v>
      </c>
      <c r="W34">
        <v>-1</v>
      </c>
      <c r="X34">
        <v>-1</v>
      </c>
      <c r="Y34">
        <v>-1</v>
      </c>
      <c r="Z34">
        <v>-1</v>
      </c>
      <c r="AA34">
        <v>15</v>
      </c>
      <c r="AB34">
        <v>29</v>
      </c>
      <c r="AC34">
        <v>0</v>
      </c>
      <c r="AD34">
        <v>27</v>
      </c>
      <c r="AE34">
        <v>0</v>
      </c>
      <c r="AF34">
        <v>3.08899318470674E-4</v>
      </c>
      <c r="AG34">
        <v>2.8892460032406002E-4</v>
      </c>
      <c r="AH34">
        <v>7.6614293185147397E-3</v>
      </c>
      <c r="AI34">
        <v>1.87688647089778E-2</v>
      </c>
      <c r="AJ34">
        <v>0.44912672042846702</v>
      </c>
    </row>
    <row r="35" spans="1:36" x14ac:dyDescent="0.25">
      <c r="A35" t="s">
        <v>65</v>
      </c>
      <c r="B35" t="str" cm="1">
        <f t="array" ref="B35:F35">_xlfn.TEXTSPLIT(A35,"_")</f>
        <v>MVPRP</v>
      </c>
      <c r="C35" t="str">
        <v>C25</v>
      </c>
      <c r="D35" t="str">
        <v>P3</v>
      </c>
      <c r="E35" t="str">
        <v>V2</v>
      </c>
      <c r="F35" t="str">
        <v>I1</v>
      </c>
      <c r="G35" t="s">
        <v>99</v>
      </c>
      <c r="H35" t="s">
        <v>28</v>
      </c>
      <c r="I35" t="str">
        <f t="shared" si="0"/>
        <v>inf</v>
      </c>
      <c r="J35" t="s">
        <v>29</v>
      </c>
      <c r="K35" s="4">
        <f t="shared" si="1"/>
        <v>500000</v>
      </c>
      <c r="L35" s="4">
        <v>26628.8754906902</v>
      </c>
      <c r="M35" t="s">
        <v>29</v>
      </c>
      <c r="N35" s="5">
        <f t="shared" si="2"/>
        <v>0.9467422490186197</v>
      </c>
      <c r="O35" s="4">
        <v>2.0763988494872998</v>
      </c>
      <c r="P35" t="s">
        <v>30</v>
      </c>
      <c r="Q35">
        <v>283</v>
      </c>
      <c r="S35">
        <v>3</v>
      </c>
      <c r="T35">
        <v>-1</v>
      </c>
      <c r="U35">
        <v>-1</v>
      </c>
      <c r="V35">
        <v>-1</v>
      </c>
      <c r="W35">
        <v>-1</v>
      </c>
      <c r="X35">
        <v>-1</v>
      </c>
      <c r="Y35">
        <v>-1</v>
      </c>
      <c r="Z35">
        <v>-1</v>
      </c>
      <c r="AA35">
        <v>40</v>
      </c>
      <c r="AB35">
        <v>8</v>
      </c>
      <c r="AC35">
        <v>0</v>
      </c>
      <c r="AD35">
        <v>19</v>
      </c>
      <c r="AE35">
        <v>0</v>
      </c>
      <c r="AF35">
        <v>1.4505964336973201E-4</v>
      </c>
      <c r="AG35">
        <v>1.2970964113871299E-4</v>
      </c>
      <c r="AH35">
        <v>7.4223719145122304E-3</v>
      </c>
      <c r="AI35">
        <v>1.1823713779449499E-2</v>
      </c>
      <c r="AJ35">
        <v>0.29924523830413802</v>
      </c>
    </row>
    <row r="36" spans="1:36" x14ac:dyDescent="0.25">
      <c r="A36" t="s">
        <v>66</v>
      </c>
      <c r="B36" t="str" cm="1">
        <f t="array" ref="B36:F36">_xlfn.TEXTSPLIT(A36,"_")</f>
        <v>MVPRP</v>
      </c>
      <c r="C36" t="str">
        <v>C20</v>
      </c>
      <c r="D36" t="str">
        <v>P9</v>
      </c>
      <c r="E36" t="str">
        <v>V3</v>
      </c>
      <c r="F36" t="str">
        <v>I1</v>
      </c>
      <c r="G36" t="s">
        <v>99</v>
      </c>
      <c r="H36" t="s">
        <v>28</v>
      </c>
      <c r="I36" t="str">
        <f t="shared" si="0"/>
        <v>inf</v>
      </c>
      <c r="J36" t="s">
        <v>29</v>
      </c>
      <c r="K36" s="4">
        <f t="shared" si="1"/>
        <v>500000</v>
      </c>
      <c r="L36" s="4">
        <v>68625.239240401395</v>
      </c>
      <c r="M36" t="s">
        <v>29</v>
      </c>
      <c r="N36" s="5">
        <f t="shared" si="2"/>
        <v>0.86274952151919715</v>
      </c>
      <c r="O36" s="4">
        <v>2.93758201599121</v>
      </c>
      <c r="P36" t="s">
        <v>30</v>
      </c>
      <c r="Q36">
        <v>189</v>
      </c>
      <c r="S36">
        <v>3</v>
      </c>
      <c r="T36">
        <v>-1</v>
      </c>
      <c r="U36">
        <v>-1</v>
      </c>
      <c r="V36">
        <v>-1</v>
      </c>
      <c r="W36">
        <v>-1</v>
      </c>
      <c r="X36">
        <v>-1</v>
      </c>
      <c r="Y36">
        <v>-1</v>
      </c>
      <c r="Z36">
        <v>-1</v>
      </c>
      <c r="AA36">
        <v>45</v>
      </c>
      <c r="AB36">
        <v>31</v>
      </c>
      <c r="AC36">
        <v>0</v>
      </c>
      <c r="AD36">
        <v>14</v>
      </c>
      <c r="AE36">
        <v>0</v>
      </c>
      <c r="AF36">
        <v>1.9708801718319201E-4</v>
      </c>
      <c r="AG36">
        <v>1.3953482198436401E-4</v>
      </c>
      <c r="AH36">
        <v>6.8702868052891303E-3</v>
      </c>
      <c r="AI36">
        <v>1.1557992623776801E-2</v>
      </c>
      <c r="AJ36">
        <v>0.578183174133301</v>
      </c>
    </row>
    <row r="37" spans="1:36" x14ac:dyDescent="0.25">
      <c r="A37" t="s">
        <v>67</v>
      </c>
      <c r="B37" t="str" cm="1">
        <f t="array" ref="B37:F37">_xlfn.TEXTSPLIT(A37,"_")</f>
        <v>MVPRP</v>
      </c>
      <c r="C37" t="str">
        <v>C40</v>
      </c>
      <c r="D37" t="str">
        <v>P6</v>
      </c>
      <c r="E37" t="str">
        <v>V4</v>
      </c>
      <c r="F37" t="str">
        <v>I1</v>
      </c>
      <c r="G37" t="s">
        <v>99</v>
      </c>
      <c r="H37" t="s">
        <v>28</v>
      </c>
      <c r="I37" t="str">
        <f t="shared" si="0"/>
        <v>inf</v>
      </c>
      <c r="J37" t="s">
        <v>29</v>
      </c>
      <c r="K37" s="4">
        <f t="shared" si="1"/>
        <v>500000</v>
      </c>
      <c r="L37" s="4">
        <v>55244.122161310203</v>
      </c>
      <c r="M37" t="s">
        <v>29</v>
      </c>
      <c r="N37" s="5">
        <f t="shared" si="2"/>
        <v>0.8895117556773795</v>
      </c>
      <c r="O37" s="4">
        <v>5.5021460056304896</v>
      </c>
      <c r="P37" t="s">
        <v>30</v>
      </c>
      <c r="Q37">
        <v>270</v>
      </c>
      <c r="S37">
        <v>3</v>
      </c>
      <c r="T37">
        <v>-1</v>
      </c>
      <c r="U37">
        <v>-1</v>
      </c>
      <c r="V37">
        <v>-1</v>
      </c>
      <c r="W37">
        <v>-1</v>
      </c>
      <c r="X37">
        <v>-1</v>
      </c>
      <c r="Y37">
        <v>-1</v>
      </c>
      <c r="Z37">
        <v>-1</v>
      </c>
      <c r="AA37">
        <v>30</v>
      </c>
      <c r="AB37">
        <v>39</v>
      </c>
      <c r="AC37">
        <v>0</v>
      </c>
      <c r="AD37">
        <v>30</v>
      </c>
      <c r="AE37">
        <v>0</v>
      </c>
      <c r="AF37">
        <v>2.6319026947021497E-4</v>
      </c>
      <c r="AG37">
        <v>4.2626364477749498E-4</v>
      </c>
      <c r="AH37">
        <v>6.1122689928327298E-3</v>
      </c>
      <c r="AI37">
        <v>1.9900578922695599E-2</v>
      </c>
      <c r="AJ37">
        <v>1.20938944816589</v>
      </c>
    </row>
    <row r="38" spans="1:36" x14ac:dyDescent="0.25">
      <c r="A38" t="s">
        <v>72</v>
      </c>
      <c r="B38" t="str" cm="1">
        <f t="array" ref="B38:F38">_xlfn.TEXTSPLIT(A38,"_")</f>
        <v>MVPRP</v>
      </c>
      <c r="C38" t="str">
        <v>C30</v>
      </c>
      <c r="D38" t="str">
        <v>P9</v>
      </c>
      <c r="E38" t="str">
        <v>V3</v>
      </c>
      <c r="F38" t="str">
        <v>I1</v>
      </c>
      <c r="G38" t="s">
        <v>99</v>
      </c>
      <c r="H38" t="s">
        <v>28</v>
      </c>
      <c r="I38" t="str">
        <f t="shared" si="0"/>
        <v>inf</v>
      </c>
      <c r="J38" t="s">
        <v>29</v>
      </c>
      <c r="K38" s="4">
        <f t="shared" si="1"/>
        <v>500000</v>
      </c>
      <c r="L38" s="4">
        <v>63057.712104104401</v>
      </c>
      <c r="M38" t="s">
        <v>29</v>
      </c>
      <c r="N38" s="5">
        <f t="shared" si="2"/>
        <v>0.87388457579179124</v>
      </c>
      <c r="O38" s="4">
        <v>6.16147804260254</v>
      </c>
      <c r="P38" t="s">
        <v>30</v>
      </c>
      <c r="Q38">
        <v>228</v>
      </c>
      <c r="S38">
        <v>3</v>
      </c>
      <c r="T38">
        <v>-1</v>
      </c>
      <c r="U38">
        <v>-1</v>
      </c>
      <c r="V38">
        <v>-1</v>
      </c>
      <c r="W38">
        <v>-1</v>
      </c>
      <c r="X38">
        <v>-1</v>
      </c>
      <c r="Y38">
        <v>-1</v>
      </c>
      <c r="Z38">
        <v>-1</v>
      </c>
      <c r="AA38">
        <v>45</v>
      </c>
      <c r="AB38">
        <v>38</v>
      </c>
      <c r="AC38">
        <v>0</v>
      </c>
      <c r="AD38">
        <v>24</v>
      </c>
      <c r="AE38">
        <v>0</v>
      </c>
      <c r="AF38">
        <v>1.99781523810493E-4</v>
      </c>
      <c r="AG38">
        <v>2.33891464415051E-4</v>
      </c>
      <c r="AH38">
        <v>6.5212249755859401E-3</v>
      </c>
      <c r="AI38">
        <v>1.59429550170898E-2</v>
      </c>
      <c r="AJ38">
        <v>1.2384057044982899</v>
      </c>
    </row>
    <row r="39" spans="1:36" x14ac:dyDescent="0.25">
      <c r="A39" t="s">
        <v>73</v>
      </c>
      <c r="B39" t="str" cm="1">
        <f t="array" ref="B39:F39">_xlfn.TEXTSPLIT(A39,"_")</f>
        <v>MVPRP</v>
      </c>
      <c r="C39" t="str">
        <v>C25</v>
      </c>
      <c r="D39" t="str">
        <v>P6</v>
      </c>
      <c r="E39" t="str">
        <v>V2</v>
      </c>
      <c r="F39" t="str">
        <v>I1</v>
      </c>
      <c r="G39" t="s">
        <v>99</v>
      </c>
      <c r="H39" t="s">
        <v>28</v>
      </c>
      <c r="I39" t="str">
        <f t="shared" si="0"/>
        <v>inf</v>
      </c>
      <c r="J39" t="s">
        <v>29</v>
      </c>
      <c r="K39" s="4">
        <f t="shared" si="1"/>
        <v>500000</v>
      </c>
      <c r="L39" s="4">
        <v>40373.695271403602</v>
      </c>
      <c r="M39" t="s">
        <v>29</v>
      </c>
      <c r="N39" s="5">
        <f t="shared" si="2"/>
        <v>0.91925260945719278</v>
      </c>
      <c r="O39" s="4">
        <v>3.2061340808868399</v>
      </c>
      <c r="P39" t="s">
        <v>30</v>
      </c>
      <c r="Q39">
        <v>283</v>
      </c>
      <c r="S39">
        <v>3</v>
      </c>
      <c r="T39">
        <v>-1</v>
      </c>
      <c r="U39">
        <v>-1</v>
      </c>
      <c r="V39">
        <v>-1</v>
      </c>
      <c r="W39">
        <v>-1</v>
      </c>
      <c r="X39">
        <v>-1</v>
      </c>
      <c r="Y39">
        <v>-1</v>
      </c>
      <c r="Z39">
        <v>-1</v>
      </c>
      <c r="AA39">
        <v>48</v>
      </c>
      <c r="AB39">
        <v>23</v>
      </c>
      <c r="AC39">
        <v>0</v>
      </c>
      <c r="AD39">
        <v>14</v>
      </c>
      <c r="AE39">
        <v>0</v>
      </c>
      <c r="AF39">
        <v>1.7481500452215E-4</v>
      </c>
      <c r="AG39">
        <v>1.2893478075663199E-4</v>
      </c>
      <c r="AH39">
        <v>7.70179430643718E-3</v>
      </c>
      <c r="AI39">
        <v>1.0504604822181801E-2</v>
      </c>
      <c r="AJ39">
        <v>0.65879189968109098</v>
      </c>
    </row>
    <row r="40" spans="1:36" x14ac:dyDescent="0.25">
      <c r="A40" t="s">
        <v>74</v>
      </c>
      <c r="B40" t="str" cm="1">
        <f t="array" ref="B40:F40">_xlfn.TEXTSPLIT(A40,"_")</f>
        <v>MVPRP</v>
      </c>
      <c r="C40" t="str">
        <v>C10</v>
      </c>
      <c r="D40" t="str">
        <v>P9</v>
      </c>
      <c r="E40" t="str">
        <v>V3</v>
      </c>
      <c r="F40" t="str">
        <v>I1</v>
      </c>
      <c r="G40" t="s">
        <v>99</v>
      </c>
      <c r="H40" t="s">
        <v>28</v>
      </c>
      <c r="I40" t="str">
        <f t="shared" si="0"/>
        <v>inf</v>
      </c>
      <c r="J40" t="s">
        <v>29</v>
      </c>
      <c r="K40" s="4">
        <f t="shared" si="1"/>
        <v>500000</v>
      </c>
      <c r="L40" s="4">
        <v>41590.216780924398</v>
      </c>
      <c r="M40" t="s">
        <v>29</v>
      </c>
      <c r="N40" s="5">
        <f t="shared" si="2"/>
        <v>0.91681956643815121</v>
      </c>
      <c r="O40" s="4">
        <v>2.13083815574646</v>
      </c>
      <c r="P40" t="s">
        <v>30</v>
      </c>
      <c r="Q40">
        <v>132</v>
      </c>
      <c r="S40">
        <v>3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45</v>
      </c>
      <c r="AB40">
        <v>19</v>
      </c>
      <c r="AC40">
        <v>0</v>
      </c>
      <c r="AD40">
        <v>10</v>
      </c>
      <c r="AE40">
        <v>0</v>
      </c>
      <c r="AF40">
        <v>1.5707314014434801E-4</v>
      </c>
      <c r="AG40">
        <v>1.22029878939802E-4</v>
      </c>
      <c r="AH40">
        <v>5.91175556182861E-3</v>
      </c>
      <c r="AI40">
        <v>1.0319995880126999E-2</v>
      </c>
      <c r="AJ40">
        <v>0.16005754470825201</v>
      </c>
    </row>
    <row r="41" spans="1:36" x14ac:dyDescent="0.25">
      <c r="A41" t="s">
        <v>75</v>
      </c>
      <c r="B41" t="str" cm="1">
        <f t="array" ref="B41:F41">_xlfn.TEXTSPLIT(A41,"_")</f>
        <v>MVPRP</v>
      </c>
      <c r="C41" t="str">
        <v>C20</v>
      </c>
      <c r="D41" t="str">
        <v>P9</v>
      </c>
      <c r="E41" t="str">
        <v>V2</v>
      </c>
      <c r="F41" t="str">
        <v>I1</v>
      </c>
      <c r="G41" t="s">
        <v>99</v>
      </c>
      <c r="H41" t="s">
        <v>28</v>
      </c>
      <c r="I41" t="str">
        <f t="shared" si="0"/>
        <v>inf</v>
      </c>
      <c r="J41" t="s">
        <v>29</v>
      </c>
      <c r="K41" s="4">
        <f t="shared" si="1"/>
        <v>500000</v>
      </c>
      <c r="L41" s="4">
        <v>70646.512909643105</v>
      </c>
      <c r="M41" t="s">
        <v>29</v>
      </c>
      <c r="N41" s="5">
        <f t="shared" si="2"/>
        <v>0.85870697418071373</v>
      </c>
      <c r="O41" s="4">
        <v>4.05814909934998</v>
      </c>
      <c r="P41" t="s">
        <v>30</v>
      </c>
      <c r="Q41">
        <v>283</v>
      </c>
      <c r="S41">
        <v>3</v>
      </c>
      <c r="T41">
        <v>-1</v>
      </c>
      <c r="U41">
        <v>-1</v>
      </c>
      <c r="V41">
        <v>-1</v>
      </c>
      <c r="W41">
        <v>-1</v>
      </c>
      <c r="X41">
        <v>-1</v>
      </c>
      <c r="Y41">
        <v>-1</v>
      </c>
      <c r="Z41">
        <v>-1</v>
      </c>
      <c r="AA41">
        <v>88</v>
      </c>
      <c r="AB41">
        <v>29</v>
      </c>
      <c r="AC41">
        <v>0</v>
      </c>
      <c r="AD41">
        <v>12</v>
      </c>
      <c r="AE41">
        <v>0</v>
      </c>
      <c r="AF41">
        <v>1.4824382329391199E-4</v>
      </c>
      <c r="AG41">
        <v>1.2473385743420499E-4</v>
      </c>
      <c r="AH41">
        <v>8.0150079727172897E-3</v>
      </c>
      <c r="AI41">
        <v>9.5650213105338E-3</v>
      </c>
      <c r="AJ41">
        <v>0.58896946907043501</v>
      </c>
    </row>
    <row r="42" spans="1:36" x14ac:dyDescent="0.25">
      <c r="A42" t="s">
        <v>76</v>
      </c>
      <c r="B42" t="str" cm="1">
        <f t="array" ref="B42:F42">_xlfn.TEXTSPLIT(A42,"_")</f>
        <v>MVPRP</v>
      </c>
      <c r="C42" t="str">
        <v>C30</v>
      </c>
      <c r="D42" t="str">
        <v>P3</v>
      </c>
      <c r="E42" t="str">
        <v>V3</v>
      </c>
      <c r="F42" t="str">
        <v>I1</v>
      </c>
      <c r="G42" t="s">
        <v>99</v>
      </c>
      <c r="H42" t="s">
        <v>28</v>
      </c>
      <c r="I42" t="str">
        <f t="shared" si="0"/>
        <v>inf</v>
      </c>
      <c r="J42" t="s">
        <v>29</v>
      </c>
      <c r="K42" s="4">
        <f t="shared" si="1"/>
        <v>500000</v>
      </c>
      <c r="L42" s="4">
        <v>13667.272540416399</v>
      </c>
      <c r="M42" t="s">
        <v>29</v>
      </c>
      <c r="N42" s="5">
        <f t="shared" si="2"/>
        <v>0.97266545491916723</v>
      </c>
      <c r="O42" s="4">
        <v>1.62851190567017</v>
      </c>
      <c r="P42" t="s">
        <v>30</v>
      </c>
      <c r="Q42">
        <v>228</v>
      </c>
      <c r="S42">
        <v>3</v>
      </c>
      <c r="T42">
        <v>-1</v>
      </c>
      <c r="U42">
        <v>-1</v>
      </c>
      <c r="V42">
        <v>-1</v>
      </c>
      <c r="W42">
        <v>-1</v>
      </c>
      <c r="X42">
        <v>-1</v>
      </c>
      <c r="Y42">
        <v>-1</v>
      </c>
      <c r="Z42">
        <v>-1</v>
      </c>
      <c r="AA42">
        <v>15</v>
      </c>
      <c r="AB42">
        <v>16</v>
      </c>
      <c r="AC42">
        <v>0</v>
      </c>
      <c r="AD42">
        <v>13</v>
      </c>
      <c r="AE42">
        <v>0</v>
      </c>
      <c r="AF42">
        <v>2.3705959320068399E-4</v>
      </c>
      <c r="AG42">
        <v>2.08218892415365E-4</v>
      </c>
      <c r="AH42">
        <v>5.6651830673217799E-3</v>
      </c>
      <c r="AI42">
        <v>1.5816665277248499E-2</v>
      </c>
      <c r="AJ42">
        <v>0.32472300529480003</v>
      </c>
    </row>
    <row r="43" spans="1:36" x14ac:dyDescent="0.25">
      <c r="A43" t="s">
        <v>77</v>
      </c>
      <c r="B43" t="str" cm="1">
        <f t="array" ref="B43:F43">_xlfn.TEXTSPLIT(A43,"_")</f>
        <v>MVPRP</v>
      </c>
      <c r="C43" t="str">
        <v>C50</v>
      </c>
      <c r="D43" t="str">
        <v>P3</v>
      </c>
      <c r="E43" t="str">
        <v>V4</v>
      </c>
      <c r="F43" t="str">
        <v>I1</v>
      </c>
      <c r="G43" t="s">
        <v>99</v>
      </c>
      <c r="H43" t="s">
        <v>28</v>
      </c>
      <c r="I43" t="str">
        <f t="shared" si="0"/>
        <v>inf</v>
      </c>
      <c r="J43" t="s">
        <v>29</v>
      </c>
      <c r="K43" s="4">
        <f t="shared" si="1"/>
        <v>500000</v>
      </c>
      <c r="L43" s="4">
        <v>21429.851380391399</v>
      </c>
      <c r="M43" t="s">
        <v>29</v>
      </c>
      <c r="N43" s="5">
        <f t="shared" si="2"/>
        <v>0.95714029723921723</v>
      </c>
      <c r="O43" s="4">
        <v>3.39778780937195</v>
      </c>
      <c r="P43" t="s">
        <v>30</v>
      </c>
      <c r="Q43">
        <v>270</v>
      </c>
      <c r="S43">
        <v>3</v>
      </c>
      <c r="T43">
        <v>-1</v>
      </c>
      <c r="U43">
        <v>-1</v>
      </c>
      <c r="V43">
        <v>-1</v>
      </c>
      <c r="W43">
        <v>-1</v>
      </c>
      <c r="X43">
        <v>-1</v>
      </c>
      <c r="Y43">
        <v>-1</v>
      </c>
      <c r="Z43">
        <v>-1</v>
      </c>
      <c r="AA43">
        <v>15</v>
      </c>
      <c r="AB43">
        <v>16</v>
      </c>
      <c r="AC43">
        <v>0</v>
      </c>
      <c r="AD43">
        <v>14</v>
      </c>
      <c r="AE43">
        <v>0</v>
      </c>
      <c r="AF43">
        <v>3.4601688385009802E-4</v>
      </c>
      <c r="AG43">
        <v>3.2461898914281902E-4</v>
      </c>
      <c r="AH43">
        <v>5.2515665690104204E-3</v>
      </c>
      <c r="AI43">
        <v>2.6960602513066E-2</v>
      </c>
      <c r="AJ43">
        <v>0.86603283882141102</v>
      </c>
    </row>
    <row r="44" spans="1:36" x14ac:dyDescent="0.25">
      <c r="A44" t="s">
        <v>32</v>
      </c>
      <c r="B44" t="str" cm="1">
        <f t="array" ref="B44:F44">_xlfn.TEXTSPLIT(A44,"_")</f>
        <v>MVPRP</v>
      </c>
      <c r="C44" t="str">
        <v>C15</v>
      </c>
      <c r="D44" t="str">
        <v>P9</v>
      </c>
      <c r="E44" t="str">
        <v>V3</v>
      </c>
      <c r="F44" t="str">
        <v>I1</v>
      </c>
      <c r="G44" t="s">
        <v>100</v>
      </c>
      <c r="H44" t="s">
        <v>28</v>
      </c>
      <c r="I44" t="str">
        <f t="shared" si="0"/>
        <v>inf</v>
      </c>
      <c r="J44" t="s">
        <v>29</v>
      </c>
      <c r="K44" s="4">
        <f t="shared" si="1"/>
        <v>500000</v>
      </c>
      <c r="L44" s="4">
        <v>72770.427772141105</v>
      </c>
      <c r="M44" t="s">
        <v>29</v>
      </c>
      <c r="N44" s="5">
        <f t="shared" si="2"/>
        <v>0.8544591444557178</v>
      </c>
      <c r="O44" s="4">
        <v>13.6058950424194</v>
      </c>
      <c r="P44" t="s">
        <v>30</v>
      </c>
      <c r="Q44">
        <v>132</v>
      </c>
      <c r="S44">
        <v>3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-1</v>
      </c>
      <c r="AA44">
        <v>74</v>
      </c>
      <c r="AB44">
        <v>0</v>
      </c>
      <c r="AC44">
        <v>29</v>
      </c>
      <c r="AD44">
        <v>0</v>
      </c>
    </row>
    <row r="45" spans="1:36" x14ac:dyDescent="0.25">
      <c r="A45" t="s">
        <v>33</v>
      </c>
      <c r="B45" t="str" cm="1">
        <f t="array" ref="B45:F45">_xlfn.TEXTSPLIT(A45,"_")</f>
        <v>MVPRP</v>
      </c>
      <c r="C45" t="str">
        <v>C20</v>
      </c>
      <c r="D45" t="str">
        <v>P3</v>
      </c>
      <c r="E45" t="str">
        <v>V2</v>
      </c>
      <c r="F45" t="str">
        <v>I1</v>
      </c>
      <c r="G45" t="s">
        <v>100</v>
      </c>
      <c r="H45" t="s">
        <v>28</v>
      </c>
      <c r="I45" t="str">
        <f t="shared" si="0"/>
        <v>NODE_LIMIT</v>
      </c>
      <c r="J45">
        <v>23628.6</v>
      </c>
      <c r="K45" s="4">
        <f t="shared" si="1"/>
        <v>23628.6</v>
      </c>
      <c r="L45" s="4">
        <v>22248.8877681618</v>
      </c>
      <c r="M45">
        <v>5.8391619979100598E-2</v>
      </c>
      <c r="N45" s="5">
        <f t="shared" si="2"/>
        <v>5.8391619979101556E-2</v>
      </c>
      <c r="O45" s="4">
        <v>6.3270061016082799</v>
      </c>
      <c r="P45" t="s">
        <v>30</v>
      </c>
      <c r="Q45">
        <v>283</v>
      </c>
      <c r="S45">
        <v>3</v>
      </c>
      <c r="T45">
        <v>3000</v>
      </c>
      <c r="U45">
        <v>12030</v>
      </c>
      <c r="V45">
        <v>4455</v>
      </c>
      <c r="W45">
        <v>2798</v>
      </c>
      <c r="X45">
        <v>1625.4</v>
      </c>
      <c r="Y45">
        <v>279.8</v>
      </c>
      <c r="Z45">
        <v>1345.6</v>
      </c>
      <c r="AA45">
        <v>20</v>
      </c>
      <c r="AB45">
        <v>0</v>
      </c>
      <c r="AC45">
        <v>47</v>
      </c>
      <c r="AD45">
        <v>0</v>
      </c>
    </row>
    <row r="46" spans="1:36" x14ac:dyDescent="0.25">
      <c r="A46" t="s">
        <v>34</v>
      </c>
      <c r="B46" t="str" cm="1">
        <f t="array" ref="B46:F46">_xlfn.TEXTSPLIT(A46,"_")</f>
        <v>MVPRP</v>
      </c>
      <c r="C46" t="str">
        <v>C40</v>
      </c>
      <c r="D46" t="str">
        <v>P3</v>
      </c>
      <c r="E46" t="str">
        <v>V4</v>
      </c>
      <c r="F46" t="str">
        <v>I1</v>
      </c>
      <c r="G46" t="s">
        <v>100</v>
      </c>
      <c r="H46" t="s">
        <v>28</v>
      </c>
      <c r="I46" t="str">
        <f t="shared" si="0"/>
        <v>inf</v>
      </c>
      <c r="J46" t="s">
        <v>29</v>
      </c>
      <c r="K46" s="4">
        <f t="shared" si="1"/>
        <v>500000</v>
      </c>
      <c r="L46" s="4">
        <v>43662.0035578713</v>
      </c>
      <c r="M46" t="s">
        <v>29</v>
      </c>
      <c r="N46" s="5">
        <f t="shared" si="2"/>
        <v>0.91267599288425738</v>
      </c>
      <c r="O46" s="4">
        <v>26.459008216857899</v>
      </c>
      <c r="P46" t="s">
        <v>30</v>
      </c>
      <c r="Q46">
        <v>270</v>
      </c>
      <c r="S46">
        <v>3</v>
      </c>
      <c r="T46">
        <v>-1</v>
      </c>
      <c r="U46">
        <v>-1</v>
      </c>
      <c r="V46">
        <v>-1</v>
      </c>
      <c r="W46">
        <v>-1</v>
      </c>
      <c r="X46">
        <v>-1</v>
      </c>
      <c r="Y46">
        <v>-1</v>
      </c>
      <c r="Z46">
        <v>-1</v>
      </c>
      <c r="AA46">
        <v>1</v>
      </c>
      <c r="AB46">
        <v>0</v>
      </c>
      <c r="AC46">
        <v>72</v>
      </c>
      <c r="AD46">
        <v>0</v>
      </c>
    </row>
    <row r="47" spans="1:36" x14ac:dyDescent="0.25">
      <c r="A47" t="s">
        <v>35</v>
      </c>
      <c r="B47" t="str" cm="1">
        <f t="array" ref="B47:F47">_xlfn.TEXTSPLIT(A47,"_")</f>
        <v>MVPRP</v>
      </c>
      <c r="C47" t="str">
        <v>C10</v>
      </c>
      <c r="D47" t="str">
        <v>P9</v>
      </c>
      <c r="E47" t="str">
        <v>V2</v>
      </c>
      <c r="F47" t="str">
        <v>I1</v>
      </c>
      <c r="G47" t="s">
        <v>100</v>
      </c>
      <c r="H47" t="s">
        <v>28</v>
      </c>
      <c r="I47" t="str">
        <f t="shared" si="0"/>
        <v>NODE_LIMIT</v>
      </c>
      <c r="J47">
        <v>53835.7</v>
      </c>
      <c r="K47" s="4">
        <f t="shared" si="1"/>
        <v>53835.7</v>
      </c>
      <c r="L47" s="4">
        <v>50966.880905501799</v>
      </c>
      <c r="M47">
        <v>5.3288414462858799E-2</v>
      </c>
      <c r="N47" s="5">
        <f t="shared" si="2"/>
        <v>5.3288414462860111E-2</v>
      </c>
      <c r="O47" s="4">
        <v>5.4021718502044704</v>
      </c>
      <c r="P47" t="s">
        <v>30</v>
      </c>
      <c r="Q47">
        <v>198</v>
      </c>
      <c r="S47">
        <v>3</v>
      </c>
      <c r="T47">
        <v>9000</v>
      </c>
      <c r="U47">
        <v>26370</v>
      </c>
      <c r="V47">
        <v>10438</v>
      </c>
      <c r="W47">
        <v>5889</v>
      </c>
      <c r="X47">
        <v>2999.4</v>
      </c>
      <c r="Y47">
        <v>860.7</v>
      </c>
      <c r="Z47">
        <v>2138.6999999999998</v>
      </c>
      <c r="AA47">
        <v>28</v>
      </c>
      <c r="AB47">
        <v>0</v>
      </c>
      <c r="AC47">
        <v>17</v>
      </c>
      <c r="AD47">
        <v>0</v>
      </c>
    </row>
    <row r="48" spans="1:36" x14ac:dyDescent="0.25">
      <c r="A48" t="s">
        <v>36</v>
      </c>
      <c r="B48" t="str" cm="1">
        <f t="array" ref="B48:F48">_xlfn.TEXTSPLIT(A48,"_")</f>
        <v>MVPRP</v>
      </c>
      <c r="C48" t="str">
        <v>C15</v>
      </c>
      <c r="D48" t="str">
        <v>P3</v>
      </c>
      <c r="E48" t="str">
        <v>V2</v>
      </c>
      <c r="F48" t="str">
        <v>I1</v>
      </c>
      <c r="G48" t="s">
        <v>100</v>
      </c>
      <c r="H48" t="s">
        <v>28</v>
      </c>
      <c r="I48" t="str">
        <f t="shared" si="0"/>
        <v>NODE_LIMIT</v>
      </c>
      <c r="J48">
        <v>22484.2</v>
      </c>
      <c r="K48" s="4">
        <f t="shared" si="1"/>
        <v>22484.2</v>
      </c>
      <c r="L48" s="4">
        <v>19443.838190436902</v>
      </c>
      <c r="M48">
        <v>0.13522214753307199</v>
      </c>
      <c r="N48" s="5">
        <f t="shared" si="2"/>
        <v>0.13522214753307207</v>
      </c>
      <c r="O48" s="4">
        <v>2.9565629959106401</v>
      </c>
      <c r="P48" t="s">
        <v>30</v>
      </c>
      <c r="Q48">
        <v>198</v>
      </c>
      <c r="S48">
        <v>3</v>
      </c>
      <c r="T48">
        <v>3000</v>
      </c>
      <c r="U48">
        <v>9960</v>
      </c>
      <c r="V48">
        <v>4529</v>
      </c>
      <c r="W48">
        <v>4199</v>
      </c>
      <c r="X48">
        <v>1316.1</v>
      </c>
      <c r="Y48">
        <v>519.9</v>
      </c>
      <c r="Z48">
        <v>796.2</v>
      </c>
      <c r="AA48">
        <v>19</v>
      </c>
      <c r="AB48">
        <v>0</v>
      </c>
      <c r="AC48">
        <v>31</v>
      </c>
      <c r="AD48">
        <v>0</v>
      </c>
    </row>
    <row r="49" spans="1:30" x14ac:dyDescent="0.25">
      <c r="A49" t="s">
        <v>37</v>
      </c>
      <c r="B49" t="str" cm="1">
        <f t="array" ref="B49:F49">_xlfn.TEXTSPLIT(A49,"_")</f>
        <v>MVPRP</v>
      </c>
      <c r="C49" t="str">
        <v>C40</v>
      </c>
      <c r="D49" t="str">
        <v>P3</v>
      </c>
      <c r="E49" t="str">
        <v>V3</v>
      </c>
      <c r="F49" t="str">
        <v>I1</v>
      </c>
      <c r="G49" t="s">
        <v>100</v>
      </c>
      <c r="H49" t="s">
        <v>28</v>
      </c>
      <c r="I49" t="str">
        <f t="shared" si="0"/>
        <v>inf</v>
      </c>
      <c r="J49" t="s">
        <v>29</v>
      </c>
      <c r="K49" s="4">
        <f t="shared" si="1"/>
        <v>500000</v>
      </c>
      <c r="L49" s="4">
        <v>43710.2761713086</v>
      </c>
      <c r="M49" t="s">
        <v>29</v>
      </c>
      <c r="N49" s="5">
        <f t="shared" si="2"/>
        <v>0.91257944765738286</v>
      </c>
      <c r="O49" s="4">
        <v>41.550261974334703</v>
      </c>
      <c r="P49" t="s">
        <v>30</v>
      </c>
      <c r="Q49">
        <v>360</v>
      </c>
      <c r="S49">
        <v>3</v>
      </c>
      <c r="T49">
        <v>-1</v>
      </c>
      <c r="U49">
        <v>-1</v>
      </c>
      <c r="V49">
        <v>-1</v>
      </c>
      <c r="W49">
        <v>-1</v>
      </c>
      <c r="X49">
        <v>-1</v>
      </c>
      <c r="Y49">
        <v>-1</v>
      </c>
      <c r="Z49">
        <v>-1</v>
      </c>
      <c r="AA49">
        <v>1</v>
      </c>
      <c r="AB49">
        <v>0</v>
      </c>
      <c r="AC49">
        <v>69</v>
      </c>
      <c r="AD49">
        <v>0</v>
      </c>
    </row>
    <row r="50" spans="1:30" x14ac:dyDescent="0.25">
      <c r="A50" t="s">
        <v>38</v>
      </c>
      <c r="B50" t="str" cm="1">
        <f t="array" ref="B50:F50">_xlfn.TEXTSPLIT(A50,"_")</f>
        <v>MVPRP</v>
      </c>
      <c r="C50" t="str">
        <v>C20</v>
      </c>
      <c r="D50" t="str">
        <v>P6</v>
      </c>
      <c r="E50" t="str">
        <v>V3</v>
      </c>
      <c r="F50" t="str">
        <v>I1</v>
      </c>
      <c r="G50" t="s">
        <v>100</v>
      </c>
      <c r="H50" t="s">
        <v>28</v>
      </c>
      <c r="I50" t="str">
        <f t="shared" si="0"/>
        <v>NODE_LIMIT</v>
      </c>
      <c r="J50">
        <v>52432.6</v>
      </c>
      <c r="K50" s="4">
        <f t="shared" si="1"/>
        <v>52432.6</v>
      </c>
      <c r="L50" s="4">
        <v>47211.486558942597</v>
      </c>
      <c r="M50">
        <v>9.9577618524685593E-2</v>
      </c>
      <c r="N50" s="5">
        <f t="shared" si="2"/>
        <v>9.9577618524685052E-2</v>
      </c>
      <c r="O50" s="4">
        <v>15.541676998138399</v>
      </c>
      <c r="P50" t="s">
        <v>30</v>
      </c>
      <c r="Q50">
        <v>189</v>
      </c>
      <c r="S50">
        <v>3</v>
      </c>
      <c r="T50">
        <v>6000</v>
      </c>
      <c r="U50">
        <v>23820</v>
      </c>
      <c r="V50">
        <v>12512</v>
      </c>
      <c r="W50">
        <v>9943</v>
      </c>
      <c r="X50">
        <v>420</v>
      </c>
      <c r="Y50">
        <v>262.39999999999998</v>
      </c>
      <c r="Z50">
        <v>157.6</v>
      </c>
      <c r="AA50">
        <v>38</v>
      </c>
      <c r="AB50">
        <v>0</v>
      </c>
      <c r="AC50">
        <v>60</v>
      </c>
      <c r="AD50">
        <v>0</v>
      </c>
    </row>
    <row r="51" spans="1:30" x14ac:dyDescent="0.25">
      <c r="A51" t="s">
        <v>39</v>
      </c>
      <c r="B51" t="str" cm="1">
        <f t="array" ref="B51:F51">_xlfn.TEXTSPLIT(A51,"_")</f>
        <v>MVPRP</v>
      </c>
      <c r="C51" t="str">
        <v>C30</v>
      </c>
      <c r="D51" t="str">
        <v>P3</v>
      </c>
      <c r="E51" t="str">
        <v>V4</v>
      </c>
      <c r="F51" t="str">
        <v>I1</v>
      </c>
      <c r="G51" t="s">
        <v>100</v>
      </c>
      <c r="H51" t="s">
        <v>28</v>
      </c>
      <c r="I51" t="str">
        <f t="shared" si="0"/>
        <v>inf</v>
      </c>
      <c r="J51" t="s">
        <v>29</v>
      </c>
      <c r="K51" s="4">
        <f t="shared" si="1"/>
        <v>500000</v>
      </c>
      <c r="L51" s="4">
        <v>28600.9608507136</v>
      </c>
      <c r="M51" t="s">
        <v>29</v>
      </c>
      <c r="N51" s="5">
        <f t="shared" si="2"/>
        <v>0.94279807829857276</v>
      </c>
      <c r="O51" s="4">
        <v>14.736608982086199</v>
      </c>
      <c r="P51" t="s">
        <v>30</v>
      </c>
      <c r="Q51">
        <v>171</v>
      </c>
      <c r="S51">
        <v>3</v>
      </c>
      <c r="T51">
        <v>-1</v>
      </c>
      <c r="U51">
        <v>-1</v>
      </c>
      <c r="V51">
        <v>-1</v>
      </c>
      <c r="W51">
        <v>-1</v>
      </c>
      <c r="X51">
        <v>-1</v>
      </c>
      <c r="Y51">
        <v>-1</v>
      </c>
      <c r="Z51">
        <v>-1</v>
      </c>
      <c r="AA51">
        <v>22</v>
      </c>
      <c r="AB51">
        <v>0</v>
      </c>
      <c r="AC51">
        <v>37</v>
      </c>
      <c r="AD51">
        <v>0</v>
      </c>
    </row>
    <row r="52" spans="1:30" x14ac:dyDescent="0.25">
      <c r="A52" t="s">
        <v>40</v>
      </c>
      <c r="B52" t="str" cm="1">
        <f t="array" ref="B52:F52">_xlfn.TEXTSPLIT(A52,"_")</f>
        <v>MVPRP</v>
      </c>
      <c r="C52" t="str">
        <v>C10</v>
      </c>
      <c r="D52" t="str">
        <v>P3</v>
      </c>
      <c r="E52" t="str">
        <v>V3</v>
      </c>
      <c r="F52" t="str">
        <v>I1</v>
      </c>
      <c r="G52" t="s">
        <v>100</v>
      </c>
      <c r="H52" t="s">
        <v>31</v>
      </c>
      <c r="I52" t="str">
        <f t="shared" si="0"/>
        <v>OPTIMAL</v>
      </c>
      <c r="J52">
        <v>14002</v>
      </c>
      <c r="K52" s="4">
        <f t="shared" si="1"/>
        <v>14002</v>
      </c>
      <c r="L52" s="4">
        <v>14000.6961553696</v>
      </c>
      <c r="M52">
        <v>9.3118456676831495E-5</v>
      </c>
      <c r="N52" s="5">
        <f t="shared" si="2"/>
        <v>9.3118456677610914E-5</v>
      </c>
      <c r="O52" s="4">
        <v>1.46906089782715</v>
      </c>
      <c r="P52" t="s">
        <v>30</v>
      </c>
      <c r="Q52">
        <v>132</v>
      </c>
      <c r="S52">
        <v>3</v>
      </c>
      <c r="T52">
        <v>3000</v>
      </c>
      <c r="U52">
        <v>6390</v>
      </c>
      <c r="V52">
        <v>2681</v>
      </c>
      <c r="W52">
        <v>1931</v>
      </c>
      <c r="X52">
        <v>0</v>
      </c>
      <c r="Y52">
        <v>0</v>
      </c>
      <c r="Z52">
        <v>0</v>
      </c>
      <c r="AA52">
        <v>16</v>
      </c>
      <c r="AB52">
        <v>0</v>
      </c>
      <c r="AC52">
        <v>9</v>
      </c>
      <c r="AD52">
        <v>0</v>
      </c>
    </row>
    <row r="53" spans="1:30" x14ac:dyDescent="0.25">
      <c r="A53" t="s">
        <v>41</v>
      </c>
      <c r="B53" t="str" cm="1">
        <f t="array" ref="B53:F53">_xlfn.TEXTSPLIT(A53,"_")</f>
        <v>MVPRP</v>
      </c>
      <c r="C53" t="str">
        <v>C10</v>
      </c>
      <c r="D53" t="str">
        <v>P3</v>
      </c>
      <c r="E53" t="str">
        <v>V2</v>
      </c>
      <c r="F53" t="str">
        <v>I1</v>
      </c>
      <c r="G53" t="s">
        <v>100</v>
      </c>
      <c r="H53" t="s">
        <v>28</v>
      </c>
      <c r="I53" t="str">
        <f t="shared" si="0"/>
        <v>NODE_LIMIT</v>
      </c>
      <c r="J53">
        <v>14480.9</v>
      </c>
      <c r="K53" s="4">
        <f t="shared" si="1"/>
        <v>14480.9</v>
      </c>
      <c r="L53" s="4">
        <v>13970.95</v>
      </c>
      <c r="M53">
        <v>3.5215352636921202E-2</v>
      </c>
      <c r="N53" s="5">
        <f t="shared" si="2"/>
        <v>3.5215352636921667E-2</v>
      </c>
      <c r="O53" s="4">
        <v>0.97199296951294001</v>
      </c>
      <c r="P53" t="s">
        <v>30</v>
      </c>
      <c r="Q53">
        <v>198</v>
      </c>
      <c r="S53">
        <v>3</v>
      </c>
      <c r="T53">
        <v>3000</v>
      </c>
      <c r="U53">
        <v>6390</v>
      </c>
      <c r="V53">
        <v>2999</v>
      </c>
      <c r="W53">
        <v>1535</v>
      </c>
      <c r="X53">
        <v>710.4</v>
      </c>
      <c r="Y53">
        <v>153.5</v>
      </c>
      <c r="Z53">
        <v>556.9</v>
      </c>
      <c r="AA53">
        <v>10</v>
      </c>
      <c r="AB53">
        <v>0</v>
      </c>
      <c r="AC53">
        <v>12</v>
      </c>
      <c r="AD53">
        <v>0</v>
      </c>
    </row>
    <row r="54" spans="1:30" x14ac:dyDescent="0.25">
      <c r="A54" t="s">
        <v>42</v>
      </c>
      <c r="B54" t="str" cm="1">
        <f t="array" ref="B54:F54">_xlfn.TEXTSPLIT(A54,"_")</f>
        <v>MVPRP</v>
      </c>
      <c r="C54" t="str">
        <v>C30</v>
      </c>
      <c r="D54" t="str">
        <v>P9</v>
      </c>
      <c r="E54" t="str">
        <v>V4</v>
      </c>
      <c r="F54" t="str">
        <v>I1</v>
      </c>
      <c r="G54" t="s">
        <v>100</v>
      </c>
      <c r="H54" t="s">
        <v>28</v>
      </c>
      <c r="I54" t="str">
        <f t="shared" si="0"/>
        <v>inf</v>
      </c>
      <c r="J54" t="s">
        <v>29</v>
      </c>
      <c r="K54" s="4">
        <f t="shared" si="1"/>
        <v>500000</v>
      </c>
      <c r="L54" s="4">
        <v>106706.39462317999</v>
      </c>
      <c r="M54" t="s">
        <v>29</v>
      </c>
      <c r="N54" s="5">
        <f t="shared" si="2"/>
        <v>0.78658721075364002</v>
      </c>
      <c r="O54" s="4">
        <v>113.422084093094</v>
      </c>
      <c r="P54" t="s">
        <v>30</v>
      </c>
      <c r="Q54">
        <v>171</v>
      </c>
      <c r="S54">
        <v>3</v>
      </c>
      <c r="T54">
        <v>-1</v>
      </c>
      <c r="U54">
        <v>-1</v>
      </c>
      <c r="V54">
        <v>-1</v>
      </c>
      <c r="W54">
        <v>-1</v>
      </c>
      <c r="X54">
        <v>-1</v>
      </c>
      <c r="Y54">
        <v>-1</v>
      </c>
      <c r="Z54">
        <v>-1</v>
      </c>
      <c r="AA54">
        <v>6</v>
      </c>
      <c r="AB54">
        <v>0</v>
      </c>
      <c r="AC54">
        <v>44</v>
      </c>
      <c r="AD54">
        <v>0</v>
      </c>
    </row>
    <row r="55" spans="1:30" x14ac:dyDescent="0.25">
      <c r="A55" t="s">
        <v>43</v>
      </c>
      <c r="B55" t="str" cm="1">
        <f t="array" ref="B55:F55">_xlfn.TEXTSPLIT(A55,"_")</f>
        <v>MVPRP</v>
      </c>
      <c r="C55" t="str">
        <v>C20</v>
      </c>
      <c r="D55" t="str">
        <v>P3</v>
      </c>
      <c r="E55" t="str">
        <v>V3</v>
      </c>
      <c r="F55" t="str">
        <v>I1</v>
      </c>
      <c r="G55" t="s">
        <v>100</v>
      </c>
      <c r="H55" t="s">
        <v>28</v>
      </c>
      <c r="I55" t="str">
        <f t="shared" si="0"/>
        <v>NODE_LIMIT</v>
      </c>
      <c r="J55">
        <v>22557.3</v>
      </c>
      <c r="K55" s="4">
        <f t="shared" si="1"/>
        <v>22557.3</v>
      </c>
      <c r="L55" s="4">
        <v>22225.0311889574</v>
      </c>
      <c r="M55">
        <v>1.4729990337609499E-2</v>
      </c>
      <c r="N55" s="5">
        <f t="shared" si="2"/>
        <v>1.4729990337611276E-2</v>
      </c>
      <c r="O55" s="4">
        <v>6.0490469932556197</v>
      </c>
      <c r="P55" t="s">
        <v>30</v>
      </c>
      <c r="Q55">
        <v>189</v>
      </c>
      <c r="S55">
        <v>3</v>
      </c>
      <c r="T55">
        <v>3000</v>
      </c>
      <c r="U55">
        <v>12030</v>
      </c>
      <c r="V55">
        <v>4509</v>
      </c>
      <c r="W55">
        <v>2955</v>
      </c>
      <c r="X55">
        <v>107.4</v>
      </c>
      <c r="Y55">
        <v>44.1</v>
      </c>
      <c r="Z55">
        <v>63.299999999999898</v>
      </c>
      <c r="AA55">
        <v>34</v>
      </c>
      <c r="AB55">
        <v>0</v>
      </c>
      <c r="AC55">
        <v>21</v>
      </c>
      <c r="AD55">
        <v>0</v>
      </c>
    </row>
    <row r="56" spans="1:30" x14ac:dyDescent="0.25">
      <c r="A56" t="s">
        <v>44</v>
      </c>
      <c r="B56" t="str" cm="1">
        <f t="array" ref="B56:F56">_xlfn.TEXTSPLIT(A56,"_")</f>
        <v>MVPRP</v>
      </c>
      <c r="C56" t="str">
        <v>C40</v>
      </c>
      <c r="D56" t="str">
        <v>P6</v>
      </c>
      <c r="E56" t="str">
        <v>V3</v>
      </c>
      <c r="F56" t="str">
        <v>I1</v>
      </c>
      <c r="G56" t="s">
        <v>100</v>
      </c>
      <c r="H56" t="s">
        <v>28</v>
      </c>
      <c r="I56" t="str">
        <f t="shared" si="0"/>
        <v>inf</v>
      </c>
      <c r="J56" t="s">
        <v>29</v>
      </c>
      <c r="K56" s="4">
        <f t="shared" si="1"/>
        <v>500000</v>
      </c>
      <c r="L56" s="4">
        <v>94154.536504708201</v>
      </c>
      <c r="M56" t="s">
        <v>29</v>
      </c>
      <c r="N56" s="5">
        <f t="shared" si="2"/>
        <v>0.81169092699058354</v>
      </c>
      <c r="O56" s="4">
        <v>99.139343976974502</v>
      </c>
      <c r="P56" t="s">
        <v>30</v>
      </c>
      <c r="Q56">
        <v>360</v>
      </c>
      <c r="S56">
        <v>3</v>
      </c>
      <c r="T56">
        <v>-1</v>
      </c>
      <c r="U56">
        <v>-1</v>
      </c>
      <c r="V56">
        <v>-1</v>
      </c>
      <c r="W56">
        <v>-1</v>
      </c>
      <c r="X56">
        <v>-1</v>
      </c>
      <c r="Y56">
        <v>-1</v>
      </c>
      <c r="Z56">
        <v>-1</v>
      </c>
      <c r="AA56">
        <v>0</v>
      </c>
      <c r="AB56">
        <v>0</v>
      </c>
      <c r="AC56">
        <v>48</v>
      </c>
      <c r="AD56">
        <v>0</v>
      </c>
    </row>
    <row r="57" spans="1:30" x14ac:dyDescent="0.25">
      <c r="A57" t="s">
        <v>45</v>
      </c>
      <c r="B57" t="str" cm="1">
        <f t="array" ref="B57:F57">_xlfn.TEXTSPLIT(A57,"_")</f>
        <v>MVPRP</v>
      </c>
      <c r="C57" t="str">
        <v>C15</v>
      </c>
      <c r="D57" t="str">
        <v>P9</v>
      </c>
      <c r="E57" t="str">
        <v>V2</v>
      </c>
      <c r="F57" t="str">
        <v>I1</v>
      </c>
      <c r="G57" t="s">
        <v>100</v>
      </c>
      <c r="H57" t="s">
        <v>28</v>
      </c>
      <c r="I57" t="str">
        <f t="shared" si="0"/>
        <v>NODE_LIMIT</v>
      </c>
      <c r="J57">
        <v>113406.3</v>
      </c>
      <c r="K57" s="4">
        <f t="shared" si="1"/>
        <v>113406.3</v>
      </c>
      <c r="L57" s="4">
        <v>72012.250912902702</v>
      </c>
      <c r="M57">
        <v>0.36500660974828802</v>
      </c>
      <c r="N57" s="5">
        <f t="shared" si="2"/>
        <v>0.36500660974828825</v>
      </c>
      <c r="O57" s="4">
        <v>31.029495000839201</v>
      </c>
      <c r="P57" t="s">
        <v>30</v>
      </c>
      <c r="Q57">
        <v>198</v>
      </c>
      <c r="S57">
        <v>3</v>
      </c>
      <c r="T57">
        <v>12000</v>
      </c>
      <c r="U57">
        <v>40950</v>
      </c>
      <c r="V57">
        <v>13434</v>
      </c>
      <c r="W57">
        <v>41231</v>
      </c>
      <c r="X57">
        <v>9914.3999999999905</v>
      </c>
      <c r="Y57">
        <v>4123.1000000000004</v>
      </c>
      <c r="Z57">
        <v>5791.2999999999902</v>
      </c>
      <c r="AA57">
        <v>46</v>
      </c>
      <c r="AB57">
        <v>0</v>
      </c>
      <c r="AC57">
        <v>58</v>
      </c>
      <c r="AD57">
        <v>0</v>
      </c>
    </row>
    <row r="58" spans="1:30" x14ac:dyDescent="0.25">
      <c r="A58" t="s">
        <v>46</v>
      </c>
      <c r="B58" t="str" cm="1">
        <f t="array" ref="B58:F58">_xlfn.TEXTSPLIT(A58,"_")</f>
        <v>MVPRP</v>
      </c>
      <c r="C58" t="str">
        <v>C35</v>
      </c>
      <c r="D58" t="str">
        <v>P6</v>
      </c>
      <c r="E58" t="str">
        <v>V4</v>
      </c>
      <c r="F58" t="str">
        <v>I1</v>
      </c>
      <c r="G58" t="s">
        <v>100</v>
      </c>
      <c r="H58" t="s">
        <v>28</v>
      </c>
      <c r="I58" t="str">
        <f t="shared" si="0"/>
        <v>inf</v>
      </c>
      <c r="J58" t="s">
        <v>29</v>
      </c>
      <c r="K58" s="4">
        <f t="shared" si="1"/>
        <v>500000</v>
      </c>
      <c r="L58" s="4">
        <v>73500.733685345505</v>
      </c>
      <c r="M58" t="s">
        <v>29</v>
      </c>
      <c r="N58" s="5">
        <f t="shared" si="2"/>
        <v>0.85299853262930903</v>
      </c>
      <c r="O58" s="4">
        <v>87.297355175018296</v>
      </c>
      <c r="P58" t="s">
        <v>30</v>
      </c>
      <c r="Q58">
        <v>207</v>
      </c>
      <c r="S58">
        <v>3</v>
      </c>
      <c r="T58">
        <v>-1</v>
      </c>
      <c r="U58">
        <v>-1</v>
      </c>
      <c r="V58">
        <v>-1</v>
      </c>
      <c r="W58">
        <v>-1</v>
      </c>
      <c r="X58">
        <v>-1</v>
      </c>
      <c r="Y58">
        <v>-1</v>
      </c>
      <c r="Z58">
        <v>-1</v>
      </c>
      <c r="AA58">
        <v>4</v>
      </c>
      <c r="AB58">
        <v>0</v>
      </c>
      <c r="AC58">
        <v>55</v>
      </c>
      <c r="AD58">
        <v>0</v>
      </c>
    </row>
    <row r="59" spans="1:30" x14ac:dyDescent="0.25">
      <c r="A59" t="s">
        <v>47</v>
      </c>
      <c r="B59" t="str" cm="1">
        <f t="array" ref="B59:F59">_xlfn.TEXTSPLIT(A59,"_")</f>
        <v>MVPRP</v>
      </c>
      <c r="C59" t="str">
        <v>C45</v>
      </c>
      <c r="D59" t="str">
        <v>P3</v>
      </c>
      <c r="E59" t="str">
        <v>V3</v>
      </c>
      <c r="F59" t="str">
        <v>I1</v>
      </c>
      <c r="G59" t="s">
        <v>100</v>
      </c>
      <c r="H59" t="s">
        <v>28</v>
      </c>
      <c r="I59" t="str">
        <f t="shared" si="0"/>
        <v>inf</v>
      </c>
      <c r="J59" t="s">
        <v>29</v>
      </c>
      <c r="K59" s="4">
        <f t="shared" si="1"/>
        <v>500000</v>
      </c>
      <c r="L59" s="4">
        <v>49736.598666666803</v>
      </c>
      <c r="M59" t="s">
        <v>29</v>
      </c>
      <c r="N59" s="5">
        <f t="shared" si="2"/>
        <v>0.9005268026666664</v>
      </c>
      <c r="O59" s="4">
        <v>45.5883340835571</v>
      </c>
      <c r="P59" t="s">
        <v>30</v>
      </c>
      <c r="Q59">
        <v>360</v>
      </c>
      <c r="S59">
        <v>3</v>
      </c>
      <c r="T59">
        <v>-1</v>
      </c>
      <c r="U59">
        <v>-1</v>
      </c>
      <c r="V59">
        <v>-1</v>
      </c>
      <c r="W59">
        <v>-1</v>
      </c>
      <c r="X59">
        <v>-1</v>
      </c>
      <c r="Y59">
        <v>-1</v>
      </c>
      <c r="Z59">
        <v>-1</v>
      </c>
      <c r="AA59">
        <v>1</v>
      </c>
      <c r="AB59">
        <v>0</v>
      </c>
      <c r="AC59">
        <v>97</v>
      </c>
      <c r="AD59">
        <v>0</v>
      </c>
    </row>
    <row r="60" spans="1:30" x14ac:dyDescent="0.25">
      <c r="A60" t="s">
        <v>48</v>
      </c>
      <c r="B60" t="str" cm="1">
        <f t="array" ref="B60:F60">_xlfn.TEXTSPLIT(A60,"_")</f>
        <v>MVPRP</v>
      </c>
      <c r="C60" t="str">
        <v>C10</v>
      </c>
      <c r="D60" t="str">
        <v>P6</v>
      </c>
      <c r="E60" t="str">
        <v>V2</v>
      </c>
      <c r="F60" t="str">
        <v>I1</v>
      </c>
      <c r="G60" t="s">
        <v>100</v>
      </c>
      <c r="H60" t="s">
        <v>28</v>
      </c>
      <c r="I60" t="str">
        <f t="shared" si="0"/>
        <v>NODE_LIMIT</v>
      </c>
      <c r="J60">
        <v>30742.799999999999</v>
      </c>
      <c r="K60" s="4">
        <f t="shared" si="1"/>
        <v>30742.799999999999</v>
      </c>
      <c r="L60" s="4">
        <v>29006.291732140198</v>
      </c>
      <c r="M60">
        <v>5.6485039354248298E-2</v>
      </c>
      <c r="N60" s="5">
        <f t="shared" si="2"/>
        <v>5.6485039354248832E-2</v>
      </c>
      <c r="O60" s="4">
        <v>6.2330870628356898</v>
      </c>
      <c r="P60" t="s">
        <v>30</v>
      </c>
      <c r="Q60">
        <v>198</v>
      </c>
      <c r="S60">
        <v>3</v>
      </c>
      <c r="T60">
        <v>6000</v>
      </c>
      <c r="U60">
        <v>12690</v>
      </c>
      <c r="V60">
        <v>8160</v>
      </c>
      <c r="W60">
        <v>3009</v>
      </c>
      <c r="X60">
        <v>1184.7</v>
      </c>
      <c r="Y60">
        <v>300.89999999999998</v>
      </c>
      <c r="Z60">
        <v>883.79999999999905</v>
      </c>
      <c r="AA60">
        <v>28</v>
      </c>
      <c r="AB60">
        <v>0</v>
      </c>
      <c r="AC60">
        <v>26</v>
      </c>
      <c r="AD60">
        <v>0</v>
      </c>
    </row>
    <row r="61" spans="1:30" x14ac:dyDescent="0.25">
      <c r="A61" t="s">
        <v>49</v>
      </c>
      <c r="B61" t="str" cm="1">
        <f t="array" ref="B61:F61">_xlfn.TEXTSPLIT(A61,"_")</f>
        <v>MVPRP</v>
      </c>
      <c r="C61" t="str">
        <v>C45</v>
      </c>
      <c r="D61" t="str">
        <v>P3</v>
      </c>
      <c r="E61" t="str">
        <v>V4</v>
      </c>
      <c r="F61" t="str">
        <v>I1</v>
      </c>
      <c r="G61" t="s">
        <v>100</v>
      </c>
      <c r="H61" t="s">
        <v>28</v>
      </c>
      <c r="I61" t="str">
        <f t="shared" si="0"/>
        <v>inf</v>
      </c>
      <c r="J61" t="s">
        <v>29</v>
      </c>
      <c r="K61" s="4">
        <f t="shared" si="1"/>
        <v>500000</v>
      </c>
      <c r="L61" s="4">
        <v>49854.441240310298</v>
      </c>
      <c r="M61" t="s">
        <v>29</v>
      </c>
      <c r="N61" s="5">
        <f t="shared" si="2"/>
        <v>0.9002911175193794</v>
      </c>
      <c r="O61" s="4">
        <v>57.602227926254301</v>
      </c>
      <c r="P61" t="s">
        <v>30</v>
      </c>
      <c r="Q61">
        <v>270</v>
      </c>
      <c r="S61">
        <v>3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0</v>
      </c>
      <c r="AB61">
        <v>0</v>
      </c>
      <c r="AC61">
        <v>101</v>
      </c>
      <c r="AD61">
        <v>0</v>
      </c>
    </row>
    <row r="62" spans="1:30" x14ac:dyDescent="0.25">
      <c r="A62" t="s">
        <v>50</v>
      </c>
      <c r="B62" t="str" cm="1">
        <f t="array" ref="B62:F62">_xlfn.TEXTSPLIT(A62,"_")</f>
        <v>MVPRP</v>
      </c>
      <c r="C62" t="str">
        <v>C25</v>
      </c>
      <c r="D62" t="str">
        <v>P6</v>
      </c>
      <c r="E62" t="str">
        <v>V3</v>
      </c>
      <c r="F62" t="str">
        <v>I1</v>
      </c>
      <c r="G62" t="s">
        <v>100</v>
      </c>
      <c r="H62" t="s">
        <v>28</v>
      </c>
      <c r="I62" t="str">
        <f t="shared" si="0"/>
        <v>NODE_LIMIT</v>
      </c>
      <c r="J62">
        <v>113783.6</v>
      </c>
      <c r="K62" s="4">
        <f t="shared" si="1"/>
        <v>113783.6</v>
      </c>
      <c r="L62" s="4">
        <v>56329.027511156797</v>
      </c>
      <c r="M62">
        <v>0.50494598948216796</v>
      </c>
      <c r="N62" s="5">
        <f t="shared" si="2"/>
        <v>0.50494598948216796</v>
      </c>
      <c r="O62" s="4">
        <v>27.3382520675659</v>
      </c>
      <c r="P62" t="s">
        <v>30</v>
      </c>
      <c r="Q62">
        <v>189</v>
      </c>
      <c r="S62">
        <v>3</v>
      </c>
      <c r="T62">
        <v>18000</v>
      </c>
      <c r="U62">
        <v>36180</v>
      </c>
      <c r="V62">
        <v>22812</v>
      </c>
      <c r="W62">
        <v>16929</v>
      </c>
      <c r="X62">
        <v>36734.699999999997</v>
      </c>
      <c r="Y62">
        <v>16872.099999999999</v>
      </c>
      <c r="Z62">
        <v>19862.599999999999</v>
      </c>
      <c r="AA62">
        <v>5</v>
      </c>
      <c r="AB62">
        <v>0</v>
      </c>
      <c r="AC62">
        <v>39</v>
      </c>
      <c r="AD62">
        <v>0</v>
      </c>
    </row>
    <row r="63" spans="1:30" x14ac:dyDescent="0.25">
      <c r="A63" t="s">
        <v>51</v>
      </c>
      <c r="B63" t="str" cm="1">
        <f t="array" ref="B63:F63">_xlfn.TEXTSPLIT(A63,"_")</f>
        <v>MVPRP</v>
      </c>
      <c r="C63" t="str">
        <v>C15</v>
      </c>
      <c r="D63" t="str">
        <v>P6</v>
      </c>
      <c r="E63" t="str">
        <v>V2</v>
      </c>
      <c r="F63" t="str">
        <v>I1</v>
      </c>
      <c r="G63" t="s">
        <v>100</v>
      </c>
      <c r="H63" t="s">
        <v>28</v>
      </c>
      <c r="I63" t="str">
        <f t="shared" si="0"/>
        <v>NODE_LIMIT</v>
      </c>
      <c r="J63">
        <v>45620.7</v>
      </c>
      <c r="K63" s="4">
        <f t="shared" si="1"/>
        <v>45620.7</v>
      </c>
      <c r="L63" s="4">
        <v>40992.5012083088</v>
      </c>
      <c r="M63">
        <v>0.101449534787744</v>
      </c>
      <c r="N63" s="5">
        <f t="shared" si="2"/>
        <v>0.10144953478774321</v>
      </c>
      <c r="O63" s="4">
        <v>8.9298892021179199</v>
      </c>
      <c r="P63" t="s">
        <v>30</v>
      </c>
      <c r="Q63">
        <v>198</v>
      </c>
      <c r="S63">
        <v>3</v>
      </c>
      <c r="T63">
        <v>6000</v>
      </c>
      <c r="U63">
        <v>19800</v>
      </c>
      <c r="V63">
        <v>10735</v>
      </c>
      <c r="W63">
        <v>7139</v>
      </c>
      <c r="X63">
        <v>2688.6</v>
      </c>
      <c r="Y63">
        <v>741.9</v>
      </c>
      <c r="Z63">
        <v>1946.7</v>
      </c>
      <c r="AA63">
        <v>37</v>
      </c>
      <c r="AB63">
        <v>0</v>
      </c>
      <c r="AC63">
        <v>46</v>
      </c>
      <c r="AD63">
        <v>0</v>
      </c>
    </row>
    <row r="64" spans="1:30" x14ac:dyDescent="0.25">
      <c r="A64" t="s">
        <v>52</v>
      </c>
      <c r="B64" t="str" cm="1">
        <f t="array" ref="B64:F64">_xlfn.TEXTSPLIT(A64,"_")</f>
        <v>MVPRP</v>
      </c>
      <c r="C64" t="str">
        <v>C35</v>
      </c>
      <c r="D64" t="str">
        <v>P6</v>
      </c>
      <c r="E64" t="str">
        <v>V3</v>
      </c>
      <c r="F64" t="str">
        <v>I1</v>
      </c>
      <c r="G64" t="s">
        <v>100</v>
      </c>
      <c r="H64" t="s">
        <v>28</v>
      </c>
      <c r="I64" t="str">
        <f t="shared" si="0"/>
        <v>inf</v>
      </c>
      <c r="J64" t="s">
        <v>29</v>
      </c>
      <c r="K64" s="4">
        <f t="shared" si="1"/>
        <v>500000</v>
      </c>
      <c r="L64" s="4">
        <v>73318.045390942396</v>
      </c>
      <c r="M64" t="s">
        <v>29</v>
      </c>
      <c r="N64" s="5">
        <f t="shared" si="2"/>
        <v>0.85336390921811522</v>
      </c>
      <c r="O64" s="4">
        <v>62.2991588115692</v>
      </c>
      <c r="P64" t="s">
        <v>30</v>
      </c>
      <c r="Q64">
        <v>276</v>
      </c>
      <c r="S64">
        <v>3</v>
      </c>
      <c r="T64">
        <v>-1</v>
      </c>
      <c r="U64">
        <v>-1</v>
      </c>
      <c r="V64">
        <v>-1</v>
      </c>
      <c r="W64">
        <v>-1</v>
      </c>
      <c r="X64">
        <v>-1</v>
      </c>
      <c r="Y64">
        <v>-1</v>
      </c>
      <c r="Z64">
        <v>-1</v>
      </c>
      <c r="AA64">
        <v>0</v>
      </c>
      <c r="AB64">
        <v>0</v>
      </c>
      <c r="AC64">
        <v>46</v>
      </c>
      <c r="AD64">
        <v>0</v>
      </c>
    </row>
    <row r="65" spans="1:30" x14ac:dyDescent="0.25">
      <c r="A65" t="s">
        <v>53</v>
      </c>
      <c r="B65" t="str" cm="1">
        <f t="array" ref="B65:F65">_xlfn.TEXTSPLIT(A65,"_")</f>
        <v>MVPRP</v>
      </c>
      <c r="C65" t="str">
        <v>C25</v>
      </c>
      <c r="D65" t="str">
        <v>P3</v>
      </c>
      <c r="E65" t="str">
        <v>V3</v>
      </c>
      <c r="F65" t="str">
        <v>I1</v>
      </c>
      <c r="G65" t="s">
        <v>100</v>
      </c>
      <c r="H65" t="s">
        <v>28</v>
      </c>
      <c r="I65" t="str">
        <f t="shared" si="0"/>
        <v>NODE_LIMIT</v>
      </c>
      <c r="J65">
        <v>26459</v>
      </c>
      <c r="K65" s="4">
        <f t="shared" si="1"/>
        <v>26459</v>
      </c>
      <c r="L65" s="4">
        <v>26120.355341587499</v>
      </c>
      <c r="M65">
        <v>1.2798845701368199E-2</v>
      </c>
      <c r="N65" s="5">
        <f t="shared" si="2"/>
        <v>1.2798845701368177E-2</v>
      </c>
      <c r="O65" s="4">
        <v>13.0781910419464</v>
      </c>
      <c r="P65" t="s">
        <v>30</v>
      </c>
      <c r="Q65">
        <v>189</v>
      </c>
      <c r="S65">
        <v>3</v>
      </c>
      <c r="T65">
        <v>3000</v>
      </c>
      <c r="U65">
        <v>14340</v>
      </c>
      <c r="V65">
        <v>5359</v>
      </c>
      <c r="W65">
        <v>3684</v>
      </c>
      <c r="X65">
        <v>117.9</v>
      </c>
      <c r="Y65">
        <v>41.9</v>
      </c>
      <c r="Z65">
        <v>76</v>
      </c>
      <c r="AA65">
        <v>36</v>
      </c>
      <c r="AB65">
        <v>0</v>
      </c>
      <c r="AC65">
        <v>54</v>
      </c>
      <c r="AD65">
        <v>0</v>
      </c>
    </row>
    <row r="66" spans="1:30" x14ac:dyDescent="0.25">
      <c r="A66" t="s">
        <v>54</v>
      </c>
      <c r="B66" t="str" cm="1">
        <f t="array" ref="B66:F66">_xlfn.TEXTSPLIT(A66,"_")</f>
        <v>MVPRP</v>
      </c>
      <c r="C66" t="str">
        <v>C10</v>
      </c>
      <c r="D66" t="str">
        <v>P6</v>
      </c>
      <c r="E66" t="str">
        <v>V3</v>
      </c>
      <c r="F66" t="str">
        <v>I1</v>
      </c>
      <c r="G66" t="s">
        <v>100</v>
      </c>
      <c r="H66" t="s">
        <v>28</v>
      </c>
      <c r="I66" t="str">
        <f t="shared" si="0"/>
        <v>NODE_LIMIT</v>
      </c>
      <c r="J66">
        <v>30241.200000000001</v>
      </c>
      <c r="K66" s="4">
        <f t="shared" si="1"/>
        <v>30241.200000000001</v>
      </c>
      <c r="L66" s="4">
        <v>29042.444503294399</v>
      </c>
      <c r="M66">
        <v>3.9639812464636603E-2</v>
      </c>
      <c r="N66" s="5">
        <f t="shared" si="2"/>
        <v>3.9639812464637714E-2</v>
      </c>
      <c r="O66" s="4">
        <v>3.5541651248931898</v>
      </c>
      <c r="P66" t="s">
        <v>30</v>
      </c>
      <c r="Q66">
        <v>132</v>
      </c>
      <c r="S66">
        <v>3</v>
      </c>
      <c r="T66">
        <v>6000</v>
      </c>
      <c r="U66">
        <v>12690</v>
      </c>
      <c r="V66">
        <v>8130</v>
      </c>
      <c r="W66">
        <v>3361</v>
      </c>
      <c r="X66">
        <v>108.3</v>
      </c>
      <c r="Y66">
        <v>48.1</v>
      </c>
      <c r="Z66">
        <v>60.200000000000102</v>
      </c>
      <c r="AA66">
        <v>31</v>
      </c>
      <c r="AB66">
        <v>0</v>
      </c>
      <c r="AC66">
        <v>13</v>
      </c>
      <c r="AD66">
        <v>0</v>
      </c>
    </row>
    <row r="67" spans="1:30" x14ac:dyDescent="0.25">
      <c r="A67" t="s">
        <v>55</v>
      </c>
      <c r="B67" t="str" cm="1">
        <f t="array" ref="B67:F67">_xlfn.TEXTSPLIT(A67,"_")</f>
        <v>MVPRP</v>
      </c>
      <c r="C67" t="str">
        <v>C35</v>
      </c>
      <c r="D67" t="str">
        <v>P3</v>
      </c>
      <c r="E67" t="str">
        <v>V3</v>
      </c>
      <c r="F67" t="str">
        <v>I1</v>
      </c>
      <c r="G67" t="s">
        <v>100</v>
      </c>
      <c r="H67" t="s">
        <v>28</v>
      </c>
      <c r="I67" t="str">
        <f t="shared" ref="I67:I85" si="3">IF(J67="inf","inf",H67)</f>
        <v>inf</v>
      </c>
      <c r="J67" t="s">
        <v>29</v>
      </c>
      <c r="K67" s="4">
        <f t="shared" ref="K67:K85" si="4">IF(J67="inf",500000,J67)</f>
        <v>500000</v>
      </c>
      <c r="L67" s="4">
        <v>34898.4633249408</v>
      </c>
      <c r="M67" t="s">
        <v>29</v>
      </c>
      <c r="N67" s="5">
        <f t="shared" ref="N67:N85" si="5">ABS(L67-K67)/ABS(K67)</f>
        <v>0.93020307335011831</v>
      </c>
      <c r="O67" s="4">
        <v>30.623231887817401</v>
      </c>
      <c r="P67" t="s">
        <v>30</v>
      </c>
      <c r="Q67">
        <v>276</v>
      </c>
      <c r="S67">
        <v>3</v>
      </c>
      <c r="T67">
        <v>-1</v>
      </c>
      <c r="U67">
        <v>-1</v>
      </c>
      <c r="V67">
        <v>-1</v>
      </c>
      <c r="W67">
        <v>-1</v>
      </c>
      <c r="X67">
        <v>-1</v>
      </c>
      <c r="Y67">
        <v>-1</v>
      </c>
      <c r="Z67">
        <v>-1</v>
      </c>
      <c r="AA67">
        <v>0</v>
      </c>
      <c r="AB67">
        <v>0</v>
      </c>
      <c r="AC67">
        <v>50</v>
      </c>
      <c r="AD67">
        <v>0</v>
      </c>
    </row>
    <row r="68" spans="1:30" x14ac:dyDescent="0.25">
      <c r="A68" t="s">
        <v>56</v>
      </c>
      <c r="B68" t="str" cm="1">
        <f t="array" ref="B68:F68">_xlfn.TEXTSPLIT(A68,"_")</f>
        <v>MVPRP</v>
      </c>
      <c r="C68" t="str">
        <v>C50</v>
      </c>
      <c r="D68" t="str">
        <v>P3</v>
      </c>
      <c r="E68" t="str">
        <v>V3</v>
      </c>
      <c r="F68" t="str">
        <v>I1</v>
      </c>
      <c r="G68" t="s">
        <v>100</v>
      </c>
      <c r="H68" t="s">
        <v>28</v>
      </c>
      <c r="I68" t="str">
        <f t="shared" si="3"/>
        <v>inf</v>
      </c>
      <c r="J68" t="s">
        <v>29</v>
      </c>
      <c r="K68" s="4">
        <f t="shared" si="4"/>
        <v>500000</v>
      </c>
      <c r="L68" s="4">
        <v>46075.428794733001</v>
      </c>
      <c r="M68" t="s">
        <v>29</v>
      </c>
      <c r="N68" s="5">
        <f t="shared" si="5"/>
        <v>0.90784914241053394</v>
      </c>
      <c r="O68" s="4">
        <v>107.25060701370199</v>
      </c>
      <c r="P68" t="s">
        <v>30</v>
      </c>
      <c r="Q68">
        <v>360</v>
      </c>
      <c r="S68">
        <v>3</v>
      </c>
      <c r="T68">
        <v>-1</v>
      </c>
      <c r="U68">
        <v>-1</v>
      </c>
      <c r="V68">
        <v>-1</v>
      </c>
      <c r="W68">
        <v>-1</v>
      </c>
      <c r="X68">
        <v>-1</v>
      </c>
      <c r="Y68">
        <v>-1</v>
      </c>
      <c r="Z68">
        <v>-1</v>
      </c>
      <c r="AA68">
        <v>0</v>
      </c>
      <c r="AB68">
        <v>0</v>
      </c>
      <c r="AC68">
        <v>79</v>
      </c>
      <c r="AD68">
        <v>0</v>
      </c>
    </row>
    <row r="69" spans="1:30" x14ac:dyDescent="0.25">
      <c r="A69" t="s">
        <v>57</v>
      </c>
      <c r="B69" t="str" cm="1">
        <f t="array" ref="B69:F69">_xlfn.TEXTSPLIT(A69,"_")</f>
        <v>MVPRP</v>
      </c>
      <c r="C69" t="str">
        <v>C30</v>
      </c>
      <c r="D69" t="str">
        <v>P6</v>
      </c>
      <c r="E69" t="str">
        <v>V3</v>
      </c>
      <c r="F69" t="str">
        <v>I1</v>
      </c>
      <c r="G69" t="s">
        <v>100</v>
      </c>
      <c r="H69" t="s">
        <v>28</v>
      </c>
      <c r="I69" t="str">
        <f t="shared" si="3"/>
        <v>inf</v>
      </c>
      <c r="J69" t="s">
        <v>29</v>
      </c>
      <c r="K69" s="4">
        <f t="shared" si="4"/>
        <v>500000</v>
      </c>
      <c r="L69" s="4">
        <v>60154.775581241302</v>
      </c>
      <c r="M69" t="s">
        <v>29</v>
      </c>
      <c r="N69" s="5">
        <f t="shared" si="5"/>
        <v>0.87969044883751746</v>
      </c>
      <c r="O69" s="4">
        <v>41.4554989337921</v>
      </c>
      <c r="P69" t="s">
        <v>30</v>
      </c>
      <c r="Q69">
        <v>228</v>
      </c>
      <c r="S69">
        <v>3</v>
      </c>
      <c r="T69">
        <v>-1</v>
      </c>
      <c r="U69">
        <v>-1</v>
      </c>
      <c r="V69">
        <v>-1</v>
      </c>
      <c r="W69">
        <v>-1</v>
      </c>
      <c r="X69">
        <v>-1</v>
      </c>
      <c r="Y69">
        <v>-1</v>
      </c>
      <c r="Z69">
        <v>-1</v>
      </c>
      <c r="AA69">
        <v>3</v>
      </c>
      <c r="AB69">
        <v>0</v>
      </c>
      <c r="AC69">
        <v>38</v>
      </c>
      <c r="AD69">
        <v>0</v>
      </c>
    </row>
    <row r="70" spans="1:30" x14ac:dyDescent="0.25">
      <c r="A70" t="s">
        <v>58</v>
      </c>
      <c r="B70" t="str" cm="1">
        <f t="array" ref="B70:F70">_xlfn.TEXTSPLIT(A70,"_")</f>
        <v>MVPRP</v>
      </c>
      <c r="C70" t="str">
        <v>C30</v>
      </c>
      <c r="D70" t="str">
        <v>P6</v>
      </c>
      <c r="E70" t="str">
        <v>V4</v>
      </c>
      <c r="F70" t="str">
        <v>I1</v>
      </c>
      <c r="G70" t="s">
        <v>100</v>
      </c>
      <c r="H70" t="s">
        <v>28</v>
      </c>
      <c r="I70" t="str">
        <f t="shared" si="3"/>
        <v>inf</v>
      </c>
      <c r="J70" t="s">
        <v>29</v>
      </c>
      <c r="K70" s="4">
        <f t="shared" si="4"/>
        <v>500000</v>
      </c>
      <c r="L70" s="4">
        <v>60296.295833315802</v>
      </c>
      <c r="M70" t="s">
        <v>29</v>
      </c>
      <c r="N70" s="5">
        <f t="shared" si="5"/>
        <v>0.87940740833336839</v>
      </c>
      <c r="O70" s="4">
        <v>42.254835128784201</v>
      </c>
      <c r="P70" t="s">
        <v>30</v>
      </c>
      <c r="Q70">
        <v>171</v>
      </c>
      <c r="S70">
        <v>3</v>
      </c>
      <c r="T70">
        <v>-1</v>
      </c>
      <c r="U70">
        <v>-1</v>
      </c>
      <c r="V70">
        <v>-1</v>
      </c>
      <c r="W70">
        <v>-1</v>
      </c>
      <c r="X70">
        <v>-1</v>
      </c>
      <c r="Y70">
        <v>-1</v>
      </c>
      <c r="Z70">
        <v>-1</v>
      </c>
      <c r="AA70">
        <v>4</v>
      </c>
      <c r="AB70">
        <v>0</v>
      </c>
      <c r="AC70">
        <v>54</v>
      </c>
      <c r="AD70">
        <v>0</v>
      </c>
    </row>
    <row r="71" spans="1:30" x14ac:dyDescent="0.25">
      <c r="A71" t="s">
        <v>59</v>
      </c>
      <c r="B71" t="str" cm="1">
        <f t="array" ref="B71:F71">_xlfn.TEXTSPLIT(A71,"_")</f>
        <v>MVPRP</v>
      </c>
      <c r="C71" t="str">
        <v>C25</v>
      </c>
      <c r="D71" t="str">
        <v>P9</v>
      </c>
      <c r="E71" t="str">
        <v>V3</v>
      </c>
      <c r="F71" t="str">
        <v>I1</v>
      </c>
      <c r="G71" t="s">
        <v>100</v>
      </c>
      <c r="H71" t="s">
        <v>28</v>
      </c>
      <c r="I71" t="str">
        <f t="shared" si="3"/>
        <v>inf</v>
      </c>
      <c r="J71" t="s">
        <v>29</v>
      </c>
      <c r="K71" s="4">
        <f t="shared" si="4"/>
        <v>500000</v>
      </c>
      <c r="L71" s="4">
        <v>98714.271536236207</v>
      </c>
      <c r="M71" t="s">
        <v>29</v>
      </c>
      <c r="N71" s="5">
        <f t="shared" si="5"/>
        <v>0.80257145692752752</v>
      </c>
      <c r="O71" s="4">
        <v>36.050760030746503</v>
      </c>
      <c r="P71" t="s">
        <v>30</v>
      </c>
      <c r="Q71">
        <v>189</v>
      </c>
      <c r="S71">
        <v>3</v>
      </c>
      <c r="T71">
        <v>-1</v>
      </c>
      <c r="U71">
        <v>-1</v>
      </c>
      <c r="V71">
        <v>-1</v>
      </c>
      <c r="W71">
        <v>-1</v>
      </c>
      <c r="X71">
        <v>-1</v>
      </c>
      <c r="Y71">
        <v>-1</v>
      </c>
      <c r="Z71">
        <v>-1</v>
      </c>
      <c r="AA71">
        <v>8</v>
      </c>
      <c r="AB71">
        <v>0</v>
      </c>
      <c r="AC71">
        <v>27</v>
      </c>
      <c r="AD71">
        <v>0</v>
      </c>
    </row>
    <row r="72" spans="1:30" x14ac:dyDescent="0.25">
      <c r="A72" t="s">
        <v>60</v>
      </c>
      <c r="B72" t="str" cm="1">
        <f t="array" ref="B72:F72">_xlfn.TEXTSPLIT(A72,"_")</f>
        <v>MVPRP</v>
      </c>
      <c r="C72" t="str">
        <v>C20</v>
      </c>
      <c r="D72" t="str">
        <v>P6</v>
      </c>
      <c r="E72" t="str">
        <v>V2</v>
      </c>
      <c r="F72" t="str">
        <v>I1</v>
      </c>
      <c r="G72" t="s">
        <v>100</v>
      </c>
      <c r="H72" t="s">
        <v>28</v>
      </c>
      <c r="I72" t="str">
        <f t="shared" si="3"/>
        <v>NODE_LIMIT</v>
      </c>
      <c r="J72">
        <v>70063.7</v>
      </c>
      <c r="K72" s="4">
        <f t="shared" si="4"/>
        <v>70063.7</v>
      </c>
      <c r="L72" s="4">
        <v>46954.656817884999</v>
      </c>
      <c r="M72">
        <v>0.32982904388599199</v>
      </c>
      <c r="N72" s="5">
        <f t="shared" si="5"/>
        <v>0.32982904388599232</v>
      </c>
      <c r="O72" s="4">
        <v>16.465188026428201</v>
      </c>
      <c r="P72" t="s">
        <v>30</v>
      </c>
      <c r="Q72">
        <v>283</v>
      </c>
      <c r="S72">
        <v>3</v>
      </c>
      <c r="T72">
        <v>6000</v>
      </c>
      <c r="U72">
        <v>23820</v>
      </c>
      <c r="V72">
        <v>11518</v>
      </c>
      <c r="W72">
        <v>24825</v>
      </c>
      <c r="X72">
        <v>6601.2</v>
      </c>
      <c r="Y72">
        <v>2700.5</v>
      </c>
      <c r="Z72">
        <v>3900.6999999999898</v>
      </c>
      <c r="AA72">
        <v>14</v>
      </c>
      <c r="AB72">
        <v>0</v>
      </c>
      <c r="AC72">
        <v>81</v>
      </c>
      <c r="AD72">
        <v>0</v>
      </c>
    </row>
    <row r="73" spans="1:30" x14ac:dyDescent="0.25">
      <c r="A73" t="s">
        <v>61</v>
      </c>
      <c r="B73" t="str" cm="1">
        <f t="array" ref="B73:F73">_xlfn.TEXTSPLIT(A73,"_")</f>
        <v>MVPRP</v>
      </c>
      <c r="C73" t="str">
        <v>C15</v>
      </c>
      <c r="D73" t="str">
        <v>P6</v>
      </c>
      <c r="E73" t="str">
        <v>V3</v>
      </c>
      <c r="F73" t="str">
        <v>I1</v>
      </c>
      <c r="G73" t="s">
        <v>100</v>
      </c>
      <c r="H73" t="s">
        <v>28</v>
      </c>
      <c r="I73" t="str">
        <f t="shared" si="3"/>
        <v>NODE_LIMIT</v>
      </c>
      <c r="J73">
        <v>47708.1</v>
      </c>
      <c r="K73" s="4">
        <f t="shared" si="4"/>
        <v>47708.1</v>
      </c>
      <c r="L73" s="4">
        <v>41361.673993598299</v>
      </c>
      <c r="M73">
        <v>0.13302617388665</v>
      </c>
      <c r="N73" s="5">
        <f t="shared" si="5"/>
        <v>0.13302617388665028</v>
      </c>
      <c r="O73" s="4">
        <v>9.9416899681091309</v>
      </c>
      <c r="P73" t="s">
        <v>30</v>
      </c>
      <c r="Q73">
        <v>132</v>
      </c>
      <c r="S73">
        <v>3</v>
      </c>
      <c r="T73">
        <v>6000</v>
      </c>
      <c r="U73">
        <v>19800</v>
      </c>
      <c r="V73">
        <v>12259</v>
      </c>
      <c r="W73">
        <v>8675</v>
      </c>
      <c r="X73">
        <v>2483.4</v>
      </c>
      <c r="Y73">
        <v>1509.3</v>
      </c>
      <c r="Z73">
        <v>974.10000000000105</v>
      </c>
      <c r="AA73">
        <v>73</v>
      </c>
      <c r="AB73">
        <v>0</v>
      </c>
      <c r="AC73">
        <v>36</v>
      </c>
      <c r="AD73">
        <v>0</v>
      </c>
    </row>
    <row r="74" spans="1:30" x14ac:dyDescent="0.25">
      <c r="A74" t="s">
        <v>62</v>
      </c>
      <c r="B74" t="str" cm="1">
        <f t="array" ref="B74:F74">_xlfn.TEXTSPLIT(A74,"_")</f>
        <v>MVPRP</v>
      </c>
      <c r="C74" t="str">
        <v>C15</v>
      </c>
      <c r="D74" t="str">
        <v>P3</v>
      </c>
      <c r="E74" t="str">
        <v>V3</v>
      </c>
      <c r="F74" t="str">
        <v>I1</v>
      </c>
      <c r="G74" t="s">
        <v>100</v>
      </c>
      <c r="H74" t="s">
        <v>28</v>
      </c>
      <c r="I74" t="str">
        <f t="shared" si="3"/>
        <v>NODE_LIMIT</v>
      </c>
      <c r="J74">
        <v>20493.7</v>
      </c>
      <c r="K74" s="4">
        <f t="shared" si="4"/>
        <v>20493.7</v>
      </c>
      <c r="L74" s="4">
        <v>19428.380589334</v>
      </c>
      <c r="M74">
        <v>5.1982775714781798E-2</v>
      </c>
      <c r="N74" s="5">
        <f t="shared" si="5"/>
        <v>5.1982775714780695E-2</v>
      </c>
      <c r="O74" s="4">
        <v>2.7343270778656001</v>
      </c>
      <c r="P74" t="s">
        <v>30</v>
      </c>
      <c r="Q74">
        <v>132</v>
      </c>
      <c r="S74">
        <v>3</v>
      </c>
      <c r="T74">
        <v>3000</v>
      </c>
      <c r="U74">
        <v>9960</v>
      </c>
      <c r="V74">
        <v>4142</v>
      </c>
      <c r="W74">
        <v>3198</v>
      </c>
      <c r="X74">
        <v>278.39999999999998</v>
      </c>
      <c r="Y74">
        <v>84.7</v>
      </c>
      <c r="Z74">
        <v>193.7</v>
      </c>
      <c r="AA74">
        <v>15</v>
      </c>
      <c r="AB74">
        <v>0</v>
      </c>
      <c r="AC74">
        <v>22</v>
      </c>
      <c r="AD74">
        <v>0</v>
      </c>
    </row>
    <row r="75" spans="1:30" x14ac:dyDescent="0.25">
      <c r="A75" t="s">
        <v>63</v>
      </c>
      <c r="B75" t="str" cm="1">
        <f t="array" ref="B75:F75">_xlfn.TEXTSPLIT(A75,"_")</f>
        <v>MVPRP</v>
      </c>
      <c r="C75" t="str">
        <v>C25</v>
      </c>
      <c r="D75" t="str">
        <v>P9</v>
      </c>
      <c r="E75" t="str">
        <v>V2</v>
      </c>
      <c r="F75" t="str">
        <v>I1</v>
      </c>
      <c r="G75" t="s">
        <v>100</v>
      </c>
      <c r="H75" t="s">
        <v>28</v>
      </c>
      <c r="I75" t="str">
        <f t="shared" si="3"/>
        <v>NODE_LIMIT</v>
      </c>
      <c r="J75">
        <v>163315.79999999999</v>
      </c>
      <c r="K75" s="4">
        <f t="shared" si="4"/>
        <v>163315.79999999999</v>
      </c>
      <c r="L75" s="4">
        <v>98464.560625241196</v>
      </c>
      <c r="M75">
        <v>0.397091030841834</v>
      </c>
      <c r="N75" s="5">
        <f t="shared" si="5"/>
        <v>0.397091030841834</v>
      </c>
      <c r="O75" s="4">
        <v>55.870497941970797</v>
      </c>
      <c r="P75" t="s">
        <v>30</v>
      </c>
      <c r="Q75">
        <v>283</v>
      </c>
      <c r="S75">
        <v>3</v>
      </c>
      <c r="T75">
        <v>12000</v>
      </c>
      <c r="U75">
        <v>59880</v>
      </c>
      <c r="V75">
        <v>21765</v>
      </c>
      <c r="W75">
        <v>62127</v>
      </c>
      <c r="X75">
        <v>13756.5</v>
      </c>
      <c r="Y75">
        <v>6212.6999999999898</v>
      </c>
      <c r="Z75">
        <v>7543.7999999999902</v>
      </c>
      <c r="AA75">
        <v>13</v>
      </c>
      <c r="AB75">
        <v>0</v>
      </c>
      <c r="AC75">
        <v>54</v>
      </c>
      <c r="AD75">
        <v>0</v>
      </c>
    </row>
    <row r="76" spans="1:30" x14ac:dyDescent="0.25">
      <c r="A76" t="s">
        <v>64</v>
      </c>
      <c r="B76" t="str" cm="1">
        <f t="array" ref="B76:F76">_xlfn.TEXTSPLIT(A76,"_")</f>
        <v>MVPRP</v>
      </c>
      <c r="C76" t="str">
        <v>C35</v>
      </c>
      <c r="D76" t="str">
        <v>P3</v>
      </c>
      <c r="E76" t="str">
        <v>V4</v>
      </c>
      <c r="F76" t="str">
        <v>I1</v>
      </c>
      <c r="G76" t="s">
        <v>100</v>
      </c>
      <c r="H76" t="s">
        <v>28</v>
      </c>
      <c r="I76" t="str">
        <f t="shared" si="3"/>
        <v>inf</v>
      </c>
      <c r="J76" t="s">
        <v>29</v>
      </c>
      <c r="K76" s="4">
        <f t="shared" si="4"/>
        <v>500000</v>
      </c>
      <c r="L76" s="4">
        <v>34920.495581265503</v>
      </c>
      <c r="M76" t="s">
        <v>29</v>
      </c>
      <c r="N76" s="5">
        <f t="shared" si="5"/>
        <v>0.93015900883746905</v>
      </c>
      <c r="O76" s="4">
        <v>22.780473947525</v>
      </c>
      <c r="P76" t="s">
        <v>30</v>
      </c>
      <c r="Q76">
        <v>207</v>
      </c>
      <c r="S76">
        <v>3</v>
      </c>
      <c r="T76">
        <v>-1</v>
      </c>
      <c r="U76">
        <v>-1</v>
      </c>
      <c r="V76">
        <v>-1</v>
      </c>
      <c r="W76">
        <v>-1</v>
      </c>
      <c r="X76">
        <v>-1</v>
      </c>
      <c r="Y76">
        <v>-1</v>
      </c>
      <c r="Z76">
        <v>-1</v>
      </c>
      <c r="AA76">
        <v>3</v>
      </c>
      <c r="AB76">
        <v>0</v>
      </c>
      <c r="AC76">
        <v>52</v>
      </c>
      <c r="AD76">
        <v>0</v>
      </c>
    </row>
    <row r="77" spans="1:30" x14ac:dyDescent="0.25">
      <c r="A77" t="s">
        <v>65</v>
      </c>
      <c r="B77" t="str" cm="1">
        <f t="array" ref="B77:F77">_xlfn.TEXTSPLIT(A77,"_")</f>
        <v>MVPRP</v>
      </c>
      <c r="C77" t="str">
        <v>C25</v>
      </c>
      <c r="D77" t="str">
        <v>P3</v>
      </c>
      <c r="E77" t="str">
        <v>V2</v>
      </c>
      <c r="F77" t="str">
        <v>I1</v>
      </c>
      <c r="G77" t="s">
        <v>100</v>
      </c>
      <c r="H77" t="s">
        <v>28</v>
      </c>
      <c r="I77" t="str">
        <f t="shared" si="3"/>
        <v>NODE_LIMIT</v>
      </c>
      <c r="J77">
        <v>28020.9</v>
      </c>
      <c r="K77" s="4">
        <f t="shared" si="4"/>
        <v>28020.9</v>
      </c>
      <c r="L77" s="4">
        <v>26084.2022736</v>
      </c>
      <c r="M77">
        <v>6.9116185647140393E-2</v>
      </c>
      <c r="N77" s="5">
        <f t="shared" si="5"/>
        <v>6.9116185647142003E-2</v>
      </c>
      <c r="O77" s="4">
        <v>12.581871032714799</v>
      </c>
      <c r="P77" t="s">
        <v>30</v>
      </c>
      <c r="Q77">
        <v>283</v>
      </c>
      <c r="S77">
        <v>3</v>
      </c>
      <c r="T77">
        <v>3000</v>
      </c>
      <c r="U77">
        <v>14340</v>
      </c>
      <c r="V77">
        <v>5589</v>
      </c>
      <c r="W77">
        <v>3391</v>
      </c>
      <c r="X77">
        <v>2040</v>
      </c>
      <c r="Y77">
        <v>339.1</v>
      </c>
      <c r="Z77">
        <v>1700.9</v>
      </c>
      <c r="AA77">
        <v>24</v>
      </c>
      <c r="AB77">
        <v>0</v>
      </c>
      <c r="AC77">
        <v>68</v>
      </c>
      <c r="AD77">
        <v>0</v>
      </c>
    </row>
    <row r="78" spans="1:30" x14ac:dyDescent="0.25">
      <c r="A78" t="s">
        <v>66</v>
      </c>
      <c r="B78" t="str" cm="1">
        <f t="array" ref="B78:F78">_xlfn.TEXTSPLIT(A78,"_")</f>
        <v>MVPRP</v>
      </c>
      <c r="C78" t="str">
        <v>C20</v>
      </c>
      <c r="D78" t="str">
        <v>P9</v>
      </c>
      <c r="E78" t="str">
        <v>V3</v>
      </c>
      <c r="F78" t="str">
        <v>I1</v>
      </c>
      <c r="G78" t="s">
        <v>100</v>
      </c>
      <c r="H78" t="s">
        <v>28</v>
      </c>
      <c r="I78" t="str">
        <f t="shared" si="3"/>
        <v>NODE_LIMIT</v>
      </c>
      <c r="J78">
        <v>140568</v>
      </c>
      <c r="K78" s="4">
        <f t="shared" si="4"/>
        <v>140568</v>
      </c>
      <c r="L78" s="4">
        <v>81381.780844632201</v>
      </c>
      <c r="M78">
        <v>0.42105044644135098</v>
      </c>
      <c r="N78" s="5">
        <f t="shared" si="5"/>
        <v>0.42105044644135081</v>
      </c>
      <c r="O78" s="4">
        <v>25.4665350914001</v>
      </c>
      <c r="P78" t="s">
        <v>30</v>
      </c>
      <c r="Q78">
        <v>189</v>
      </c>
      <c r="S78">
        <v>3</v>
      </c>
      <c r="T78">
        <v>21000</v>
      </c>
      <c r="U78">
        <v>48120</v>
      </c>
      <c r="V78">
        <v>20416</v>
      </c>
      <c r="W78">
        <v>51032</v>
      </c>
      <c r="X78">
        <v>0</v>
      </c>
      <c r="Y78">
        <v>0</v>
      </c>
      <c r="Z78">
        <v>0</v>
      </c>
      <c r="AA78">
        <v>15</v>
      </c>
      <c r="AB78">
        <v>0</v>
      </c>
      <c r="AC78">
        <v>49</v>
      </c>
      <c r="AD78">
        <v>0</v>
      </c>
    </row>
    <row r="79" spans="1:30" x14ac:dyDescent="0.25">
      <c r="A79" t="s">
        <v>67</v>
      </c>
      <c r="B79" t="str" cm="1">
        <f t="array" ref="B79:F79">_xlfn.TEXTSPLIT(A79,"_")</f>
        <v>MVPRP</v>
      </c>
      <c r="C79" t="str">
        <v>C40</v>
      </c>
      <c r="D79" t="str">
        <v>P6</v>
      </c>
      <c r="E79" t="str">
        <v>V4</v>
      </c>
      <c r="F79" t="str">
        <v>I1</v>
      </c>
      <c r="G79" t="s">
        <v>100</v>
      </c>
      <c r="H79" t="s">
        <v>28</v>
      </c>
      <c r="I79" t="str">
        <f t="shared" si="3"/>
        <v>inf</v>
      </c>
      <c r="J79" t="s">
        <v>29</v>
      </c>
      <c r="K79" s="4">
        <f t="shared" si="4"/>
        <v>500000</v>
      </c>
      <c r="L79" s="4">
        <v>94379.471213176701</v>
      </c>
      <c r="M79" t="s">
        <v>29</v>
      </c>
      <c r="N79" s="5">
        <f t="shared" si="5"/>
        <v>0.81124105757364651</v>
      </c>
      <c r="O79" s="4">
        <v>104.619059085846</v>
      </c>
      <c r="P79" t="s">
        <v>30</v>
      </c>
      <c r="Q79">
        <v>270</v>
      </c>
      <c r="S79">
        <v>3</v>
      </c>
      <c r="T79">
        <v>-1</v>
      </c>
      <c r="U79">
        <v>-1</v>
      </c>
      <c r="V79">
        <v>-1</v>
      </c>
      <c r="W79">
        <v>-1</v>
      </c>
      <c r="X79">
        <v>-1</v>
      </c>
      <c r="Y79">
        <v>-1</v>
      </c>
      <c r="Z79">
        <v>-1</v>
      </c>
      <c r="AA79">
        <v>1</v>
      </c>
      <c r="AB79">
        <v>0</v>
      </c>
      <c r="AC79">
        <v>49</v>
      </c>
      <c r="AD79">
        <v>0</v>
      </c>
    </row>
    <row r="80" spans="1:30" x14ac:dyDescent="0.25">
      <c r="A80" t="s">
        <v>72</v>
      </c>
      <c r="B80" t="str" cm="1">
        <f t="array" ref="B80:F80">_xlfn.TEXTSPLIT(A80,"_")</f>
        <v>MVPRP</v>
      </c>
      <c r="C80" t="str">
        <v>C30</v>
      </c>
      <c r="D80" t="str">
        <v>P9</v>
      </c>
      <c r="E80" t="str">
        <v>V3</v>
      </c>
      <c r="F80" t="str">
        <v>I1</v>
      </c>
      <c r="G80" t="s">
        <v>100</v>
      </c>
      <c r="H80" t="s">
        <v>28</v>
      </c>
      <c r="I80" t="str">
        <f t="shared" si="3"/>
        <v>inf</v>
      </c>
      <c r="J80" t="s">
        <v>29</v>
      </c>
      <c r="K80" s="4">
        <f t="shared" si="4"/>
        <v>500000</v>
      </c>
      <c r="L80">
        <v>106383.190100273</v>
      </c>
      <c r="M80" t="s">
        <v>29</v>
      </c>
      <c r="N80" s="5">
        <f t="shared" si="5"/>
        <v>0.78723361979945394</v>
      </c>
      <c r="O80">
        <v>123.60047602653501</v>
      </c>
      <c r="P80" t="s">
        <v>30</v>
      </c>
      <c r="Q80">
        <v>228</v>
      </c>
      <c r="S80">
        <v>0</v>
      </c>
      <c r="T80">
        <v>-1</v>
      </c>
      <c r="U80">
        <v>-1</v>
      </c>
      <c r="V80">
        <v>-1</v>
      </c>
      <c r="W80">
        <v>-1</v>
      </c>
      <c r="X80">
        <v>-1</v>
      </c>
      <c r="Y80">
        <v>-1</v>
      </c>
      <c r="Z80">
        <v>-1</v>
      </c>
      <c r="AA80">
        <v>1</v>
      </c>
      <c r="AB80">
        <v>0</v>
      </c>
      <c r="AC80">
        <v>40</v>
      </c>
      <c r="AD80">
        <v>0</v>
      </c>
    </row>
    <row r="81" spans="1:30" x14ac:dyDescent="0.25">
      <c r="A81" t="s">
        <v>73</v>
      </c>
      <c r="B81" t="str" cm="1">
        <f t="array" ref="B81:F81">_xlfn.TEXTSPLIT(A81,"_")</f>
        <v>MVPRP</v>
      </c>
      <c r="C81" t="str">
        <v>C25</v>
      </c>
      <c r="D81" t="str">
        <v>P6</v>
      </c>
      <c r="E81" t="str">
        <v>V2</v>
      </c>
      <c r="F81" t="str">
        <v>I1</v>
      </c>
      <c r="G81" t="s">
        <v>100</v>
      </c>
      <c r="H81" t="s">
        <v>28</v>
      </c>
      <c r="I81" t="str">
        <f t="shared" si="3"/>
        <v>NODE_LIMIT</v>
      </c>
      <c r="J81">
        <v>82714</v>
      </c>
      <c r="K81" s="4">
        <f t="shared" si="4"/>
        <v>82714</v>
      </c>
      <c r="L81">
        <v>56081.609104456496</v>
      </c>
      <c r="M81">
        <v>0.321981658431989</v>
      </c>
      <c r="N81" s="5">
        <f t="shared" si="5"/>
        <v>0.32198165843198856</v>
      </c>
      <c r="O81">
        <v>25.531783819198601</v>
      </c>
      <c r="P81" t="s">
        <v>30</v>
      </c>
      <c r="Q81">
        <v>283</v>
      </c>
      <c r="S81">
        <v>0</v>
      </c>
      <c r="T81">
        <v>6000</v>
      </c>
      <c r="U81">
        <v>28380</v>
      </c>
      <c r="V81">
        <v>15891</v>
      </c>
      <c r="W81">
        <v>28128</v>
      </c>
      <c r="X81">
        <v>7664.4</v>
      </c>
      <c r="Y81">
        <v>3349.4</v>
      </c>
      <c r="Z81">
        <v>4314.99999999999</v>
      </c>
      <c r="AA81">
        <v>6</v>
      </c>
      <c r="AB81">
        <v>0</v>
      </c>
      <c r="AC81">
        <v>58</v>
      </c>
      <c r="AD81">
        <v>0</v>
      </c>
    </row>
    <row r="82" spans="1:30" x14ac:dyDescent="0.25">
      <c r="A82" t="s">
        <v>74</v>
      </c>
      <c r="B82" t="str" cm="1">
        <f t="array" ref="B82:F82">_xlfn.TEXTSPLIT(A82,"_")</f>
        <v>MVPRP</v>
      </c>
      <c r="C82" t="str">
        <v>C10</v>
      </c>
      <c r="D82" t="str">
        <v>P9</v>
      </c>
      <c r="E82" t="str">
        <v>V3</v>
      </c>
      <c r="F82" t="str">
        <v>I1</v>
      </c>
      <c r="G82" t="s">
        <v>100</v>
      </c>
      <c r="H82" t="s">
        <v>28</v>
      </c>
      <c r="I82" t="str">
        <f t="shared" si="3"/>
        <v>NODE_LIMIT</v>
      </c>
      <c r="J82">
        <v>54737.1</v>
      </c>
      <c r="K82" s="4">
        <f t="shared" si="4"/>
        <v>54737.1</v>
      </c>
      <c r="L82">
        <v>51068.067922660099</v>
      </c>
      <c r="M82">
        <v>6.7030077905842297E-2</v>
      </c>
      <c r="N82" s="5">
        <f t="shared" si="5"/>
        <v>6.7030077905842658E-2</v>
      </c>
      <c r="O82">
        <v>7.5502479076385498</v>
      </c>
      <c r="P82" t="s">
        <v>30</v>
      </c>
      <c r="Q82">
        <v>132</v>
      </c>
      <c r="S82">
        <v>0</v>
      </c>
      <c r="T82">
        <v>9000</v>
      </c>
      <c r="U82">
        <v>26370</v>
      </c>
      <c r="V82">
        <v>10650</v>
      </c>
      <c r="W82">
        <v>8225</v>
      </c>
      <c r="X82">
        <v>774.3</v>
      </c>
      <c r="Y82">
        <v>282.2</v>
      </c>
      <c r="Z82">
        <v>492.1</v>
      </c>
      <c r="AA82">
        <v>44</v>
      </c>
      <c r="AB82">
        <v>0</v>
      </c>
      <c r="AC82">
        <v>23</v>
      </c>
      <c r="AD82">
        <v>0</v>
      </c>
    </row>
    <row r="83" spans="1:30" x14ac:dyDescent="0.25">
      <c r="A83" t="s">
        <v>75</v>
      </c>
      <c r="B83" t="str" cm="1">
        <f t="array" ref="B83:F83">_xlfn.TEXTSPLIT(A83,"_")</f>
        <v>MVPRP</v>
      </c>
      <c r="C83" t="str">
        <v>C20</v>
      </c>
      <c r="D83" t="str">
        <v>P9</v>
      </c>
      <c r="E83" t="str">
        <v>V2</v>
      </c>
      <c r="F83" t="str">
        <v>I1</v>
      </c>
      <c r="G83" t="s">
        <v>100</v>
      </c>
      <c r="H83" t="s">
        <v>28</v>
      </c>
      <c r="I83" t="str">
        <f t="shared" si="3"/>
        <v>NODE_LIMIT</v>
      </c>
      <c r="J83">
        <v>112437.1</v>
      </c>
      <c r="K83" s="4">
        <f t="shared" si="4"/>
        <v>112437.1</v>
      </c>
      <c r="L83">
        <v>81014.499787755107</v>
      </c>
      <c r="M83">
        <v>0.27946825569358302</v>
      </c>
      <c r="N83" s="5">
        <f t="shared" si="5"/>
        <v>0.27946825569358241</v>
      </c>
      <c r="O83">
        <v>30.563349008560198</v>
      </c>
      <c r="P83" t="s">
        <v>30</v>
      </c>
      <c r="Q83">
        <v>283</v>
      </c>
      <c r="S83">
        <v>0</v>
      </c>
      <c r="T83">
        <v>9000</v>
      </c>
      <c r="U83">
        <v>48120</v>
      </c>
      <c r="V83">
        <v>14455</v>
      </c>
      <c r="W83">
        <v>35437</v>
      </c>
      <c r="X83">
        <v>9183.6000000000095</v>
      </c>
      <c r="Y83">
        <v>3758.5</v>
      </c>
      <c r="Z83">
        <v>5425.1</v>
      </c>
      <c r="AA83">
        <v>2</v>
      </c>
      <c r="AB83">
        <v>0</v>
      </c>
      <c r="AC83">
        <v>65</v>
      </c>
      <c r="AD83">
        <v>0</v>
      </c>
    </row>
    <row r="84" spans="1:30" x14ac:dyDescent="0.25">
      <c r="A84" t="s">
        <v>76</v>
      </c>
      <c r="B84" t="str" cm="1">
        <f t="array" ref="B84:F84">_xlfn.TEXTSPLIT(A84,"_")</f>
        <v>MVPRP</v>
      </c>
      <c r="C84" t="str">
        <v>C30</v>
      </c>
      <c r="D84" t="str">
        <v>P3</v>
      </c>
      <c r="E84" t="str">
        <v>V3</v>
      </c>
      <c r="F84" t="str">
        <v>I1</v>
      </c>
      <c r="G84" t="s">
        <v>100</v>
      </c>
      <c r="H84" t="s">
        <v>28</v>
      </c>
      <c r="I84" t="str">
        <f t="shared" si="3"/>
        <v>NODE_LIMIT</v>
      </c>
      <c r="J84">
        <v>29130</v>
      </c>
      <c r="K84" s="4">
        <f t="shared" si="4"/>
        <v>29130</v>
      </c>
      <c r="L84">
        <v>28653.983972617199</v>
      </c>
      <c r="M84">
        <v>1.6341092598104699E-2</v>
      </c>
      <c r="N84" s="5">
        <f t="shared" si="5"/>
        <v>1.6341092598105064E-2</v>
      </c>
      <c r="O84">
        <v>17.009268045425401</v>
      </c>
      <c r="P84" t="s">
        <v>30</v>
      </c>
      <c r="Q84">
        <v>228</v>
      </c>
      <c r="S84">
        <v>0</v>
      </c>
      <c r="T84">
        <v>3000</v>
      </c>
      <c r="U84">
        <v>16680</v>
      </c>
      <c r="V84">
        <v>5737</v>
      </c>
      <c r="W84">
        <v>3713</v>
      </c>
      <c r="X84">
        <v>0</v>
      </c>
      <c r="Y84">
        <v>0</v>
      </c>
      <c r="Z84">
        <v>0</v>
      </c>
      <c r="AA84">
        <v>33</v>
      </c>
      <c r="AB84">
        <v>0</v>
      </c>
      <c r="AC84">
        <v>61</v>
      </c>
      <c r="AD84">
        <v>0</v>
      </c>
    </row>
    <row r="85" spans="1:30" x14ac:dyDescent="0.25">
      <c r="A85" t="s">
        <v>77</v>
      </c>
      <c r="B85" t="str" cm="1">
        <f t="array" ref="B85:F85">_xlfn.TEXTSPLIT(A85,"_")</f>
        <v>MVPRP</v>
      </c>
      <c r="C85" t="str">
        <v>C50</v>
      </c>
      <c r="D85" t="str">
        <v>P3</v>
      </c>
      <c r="E85" t="str">
        <v>V4</v>
      </c>
      <c r="F85" t="str">
        <v>I1</v>
      </c>
      <c r="G85" t="s">
        <v>100</v>
      </c>
      <c r="H85" t="s">
        <v>28</v>
      </c>
      <c r="I85" t="str">
        <f t="shared" si="3"/>
        <v>inf</v>
      </c>
      <c r="J85" t="s">
        <v>29</v>
      </c>
      <c r="K85" s="4">
        <f t="shared" si="4"/>
        <v>500000</v>
      </c>
      <c r="L85">
        <v>46183.773996009098</v>
      </c>
      <c r="M85" t="s">
        <v>29</v>
      </c>
      <c r="N85" s="5">
        <f t="shared" si="5"/>
        <v>0.90763245200798182</v>
      </c>
      <c r="O85">
        <v>106.349673032761</v>
      </c>
      <c r="P85" t="s">
        <v>30</v>
      </c>
      <c r="Q85">
        <v>270</v>
      </c>
      <c r="S85">
        <v>0</v>
      </c>
      <c r="T85">
        <v>-1</v>
      </c>
      <c r="U85">
        <v>-1</v>
      </c>
      <c r="V85">
        <v>-1</v>
      </c>
      <c r="W85">
        <v>-1</v>
      </c>
      <c r="X85">
        <v>-1</v>
      </c>
      <c r="Y85">
        <v>-1</v>
      </c>
      <c r="Z85">
        <v>-1</v>
      </c>
      <c r="AA85">
        <v>0</v>
      </c>
      <c r="AB85">
        <v>0</v>
      </c>
      <c r="AC85">
        <v>66</v>
      </c>
      <c r="AD85">
        <v>0</v>
      </c>
    </row>
    <row r="86" spans="1:30" x14ac:dyDescent="0.25">
      <c r="A86" t="s">
        <v>32</v>
      </c>
      <c r="B86" t="str" cm="1">
        <f t="array" ref="B86:F86">_xlfn.TEXTSPLIT(A86,"_")</f>
        <v>MVPRP</v>
      </c>
      <c r="C86" t="str">
        <v>C15</v>
      </c>
      <c r="D86" t="str">
        <v>P9</v>
      </c>
      <c r="E86" t="str">
        <v>V3</v>
      </c>
      <c r="F86" t="str">
        <v>I1</v>
      </c>
      <c r="G86" t="s">
        <v>101</v>
      </c>
      <c r="H86" t="s">
        <v>28</v>
      </c>
      <c r="I86" t="str">
        <f>IF(J86="inf","inf",H86)</f>
        <v>inf</v>
      </c>
      <c r="J86" t="s">
        <v>29</v>
      </c>
      <c r="K86">
        <f>IF(J86="inf",500000,J86)</f>
        <v>500000</v>
      </c>
      <c r="L86">
        <v>73075.635037472806</v>
      </c>
      <c r="M86" t="s">
        <v>29</v>
      </c>
      <c r="N86">
        <f>ABS(L86-K86)/K86</f>
        <v>0.85384872992505434</v>
      </c>
      <c r="O86">
        <v>9.6509249210357702</v>
      </c>
      <c r="P86" t="s">
        <v>30</v>
      </c>
      <c r="Q86">
        <v>132</v>
      </c>
      <c r="S86">
        <v>3</v>
      </c>
      <c r="T86">
        <v>-1</v>
      </c>
      <c r="U86">
        <v>-1</v>
      </c>
      <c r="V86">
        <v>-1</v>
      </c>
      <c r="W86">
        <v>-1</v>
      </c>
      <c r="X86">
        <v>-1</v>
      </c>
      <c r="Y86">
        <v>-1</v>
      </c>
      <c r="Z86">
        <v>-1</v>
      </c>
    </row>
    <row r="87" spans="1:30" x14ac:dyDescent="0.25">
      <c r="A87" t="s">
        <v>33</v>
      </c>
      <c r="B87" t="str" cm="1">
        <f t="array" ref="B87:F87">_xlfn.TEXTSPLIT(A87,"_")</f>
        <v>MVPRP</v>
      </c>
      <c r="C87" t="str">
        <v>C20</v>
      </c>
      <c r="D87" t="str">
        <v>P3</v>
      </c>
      <c r="E87" t="str">
        <v>V2</v>
      </c>
      <c r="F87" t="str">
        <v>I1</v>
      </c>
      <c r="G87" t="s">
        <v>101</v>
      </c>
      <c r="H87" t="s">
        <v>31</v>
      </c>
      <c r="I87" t="str">
        <f t="shared" ref="I87:I127" si="6">IF(J87="inf","inf",H87)</f>
        <v>OPTIMAL</v>
      </c>
      <c r="J87">
        <v>23484.9</v>
      </c>
      <c r="K87">
        <f t="shared" ref="K87:K127" si="7">IF(J87="inf",500000,J87)</f>
        <v>23484.9</v>
      </c>
      <c r="L87">
        <v>23484.9</v>
      </c>
      <c r="M87">
        <v>0</v>
      </c>
      <c r="N87">
        <f>ABS(L87-K87)/K87</f>
        <v>0</v>
      </c>
      <c r="O87">
        <v>1.4713008403778101</v>
      </c>
      <c r="P87" t="s">
        <v>68</v>
      </c>
      <c r="Q87">
        <v>283</v>
      </c>
      <c r="S87">
        <v>3</v>
      </c>
      <c r="T87">
        <v>3000</v>
      </c>
      <c r="U87">
        <v>12030</v>
      </c>
      <c r="V87">
        <v>4509</v>
      </c>
      <c r="W87">
        <v>3945.9</v>
      </c>
      <c r="X87">
        <v>-1</v>
      </c>
      <c r="Y87">
        <v>-1</v>
      </c>
      <c r="Z87">
        <v>-1</v>
      </c>
    </row>
    <row r="88" spans="1:30" x14ac:dyDescent="0.25">
      <c r="A88" t="s">
        <v>34</v>
      </c>
      <c r="B88" t="str" cm="1">
        <f t="array" ref="B88:F88">_xlfn.TEXTSPLIT(A88,"_")</f>
        <v>MVPRP</v>
      </c>
      <c r="C88" t="str">
        <v>C40</v>
      </c>
      <c r="D88" t="str">
        <v>P3</v>
      </c>
      <c r="E88" t="str">
        <v>V4</v>
      </c>
      <c r="F88" t="str">
        <v>I1</v>
      </c>
      <c r="G88" t="s">
        <v>101</v>
      </c>
      <c r="H88" t="s">
        <v>28</v>
      </c>
      <c r="I88" t="str">
        <f t="shared" si="6"/>
        <v>NODE_LIMIT</v>
      </c>
      <c r="J88">
        <v>44489</v>
      </c>
      <c r="K88">
        <f t="shared" si="7"/>
        <v>44489</v>
      </c>
      <c r="L88">
        <v>44197.408530914603</v>
      </c>
      <c r="M88">
        <v>6.5542374313969504E-3</v>
      </c>
      <c r="N88">
        <f>ABS(L88-K88)/K88</f>
        <v>6.5542374313964568E-3</v>
      </c>
      <c r="O88">
        <v>98.870800018310604</v>
      </c>
      <c r="P88" t="s">
        <v>108</v>
      </c>
      <c r="Q88">
        <v>270</v>
      </c>
      <c r="S88">
        <v>3</v>
      </c>
      <c r="T88">
        <v>6000</v>
      </c>
      <c r="U88">
        <v>27660</v>
      </c>
      <c r="V88">
        <v>5013</v>
      </c>
      <c r="W88">
        <v>5816</v>
      </c>
      <c r="X88">
        <v>-1</v>
      </c>
      <c r="Y88">
        <v>-1</v>
      </c>
      <c r="Z88">
        <v>-1</v>
      </c>
    </row>
    <row r="89" spans="1:30" x14ac:dyDescent="0.25">
      <c r="A89" t="s">
        <v>35</v>
      </c>
      <c r="B89" t="str" cm="1">
        <f t="array" ref="B89:F89">_xlfn.TEXTSPLIT(A89,"_")</f>
        <v>MVPRP</v>
      </c>
      <c r="C89" t="str">
        <v>C10</v>
      </c>
      <c r="D89" t="str">
        <v>P9</v>
      </c>
      <c r="E89" t="str">
        <v>V2</v>
      </c>
      <c r="F89" t="str">
        <v>I1</v>
      </c>
      <c r="G89" t="s">
        <v>101</v>
      </c>
      <c r="H89" t="s">
        <v>28</v>
      </c>
      <c r="I89" t="str">
        <f t="shared" si="6"/>
        <v>inf</v>
      </c>
      <c r="J89" t="s">
        <v>29</v>
      </c>
      <c r="K89">
        <f t="shared" si="7"/>
        <v>500000</v>
      </c>
      <c r="L89">
        <v>52708.731228505902</v>
      </c>
      <c r="M89" t="s">
        <v>29</v>
      </c>
      <c r="N89">
        <f>ABS(L89-K89)/K89</f>
        <v>0.89458253754298822</v>
      </c>
      <c r="O89">
        <v>2.7241120338439901</v>
      </c>
      <c r="P89" t="s">
        <v>30</v>
      </c>
      <c r="Q89">
        <v>198</v>
      </c>
      <c r="S89">
        <v>3</v>
      </c>
      <c r="T89">
        <v>-1</v>
      </c>
      <c r="U89">
        <v>-1</v>
      </c>
      <c r="V89">
        <v>-1</v>
      </c>
      <c r="W89">
        <v>-1</v>
      </c>
      <c r="X89">
        <v>-1</v>
      </c>
      <c r="Y89">
        <v>-1</v>
      </c>
      <c r="Z89">
        <v>-1</v>
      </c>
    </row>
    <row r="90" spans="1:30" x14ac:dyDescent="0.25">
      <c r="A90" t="s">
        <v>36</v>
      </c>
      <c r="B90" t="str" cm="1">
        <f t="array" ref="B90:F90">_xlfn.TEXTSPLIT(A90,"_")</f>
        <v>MVPRP</v>
      </c>
      <c r="C90" t="str">
        <v>C15</v>
      </c>
      <c r="D90" t="str">
        <v>P3</v>
      </c>
      <c r="E90" t="str">
        <v>V2</v>
      </c>
      <c r="F90" t="str">
        <v>I1</v>
      </c>
      <c r="G90" t="s">
        <v>101</v>
      </c>
      <c r="H90" t="s">
        <v>28</v>
      </c>
      <c r="I90" t="str">
        <f t="shared" si="6"/>
        <v>NODE_LIMIT</v>
      </c>
      <c r="J90">
        <v>20575.7</v>
      </c>
      <c r="K90">
        <f t="shared" si="7"/>
        <v>20575.7</v>
      </c>
      <c r="L90">
        <v>20426.282057893801</v>
      </c>
      <c r="M90">
        <v>7.2618643402741203E-3</v>
      </c>
      <c r="N90">
        <f>ABS(L90-K90)/K90</f>
        <v>7.261864340275175E-3</v>
      </c>
      <c r="O90">
        <v>4.2704877853393599</v>
      </c>
      <c r="P90" t="s">
        <v>109</v>
      </c>
      <c r="Q90">
        <v>198</v>
      </c>
      <c r="S90">
        <v>3</v>
      </c>
      <c r="T90">
        <v>3000</v>
      </c>
      <c r="U90">
        <v>9960</v>
      </c>
      <c r="V90">
        <v>3851</v>
      </c>
      <c r="W90">
        <v>3764.7</v>
      </c>
      <c r="X90">
        <v>-1</v>
      </c>
      <c r="Y90">
        <v>-1</v>
      </c>
      <c r="Z90">
        <v>-1</v>
      </c>
    </row>
    <row r="91" spans="1:30" x14ac:dyDescent="0.25">
      <c r="A91" t="s">
        <v>37</v>
      </c>
      <c r="B91" t="str" cm="1">
        <f t="array" ref="B91:F91">_xlfn.TEXTSPLIT(A91,"_")</f>
        <v>MVPRP</v>
      </c>
      <c r="C91" t="str">
        <v>C40</v>
      </c>
      <c r="D91" t="str">
        <v>P3</v>
      </c>
      <c r="E91" t="str">
        <v>V3</v>
      </c>
      <c r="F91" t="str">
        <v>I1</v>
      </c>
      <c r="G91" t="s">
        <v>101</v>
      </c>
      <c r="H91" t="s">
        <v>28</v>
      </c>
      <c r="I91" t="str">
        <f t="shared" si="6"/>
        <v>inf</v>
      </c>
      <c r="J91" t="s">
        <v>29</v>
      </c>
      <c r="K91">
        <f t="shared" si="7"/>
        <v>500000</v>
      </c>
      <c r="L91">
        <v>44107.0461146577</v>
      </c>
      <c r="M91" t="s">
        <v>29</v>
      </c>
      <c r="N91">
        <f>ABS(L91-K91)/K91</f>
        <v>0.91178590777068458</v>
      </c>
      <c r="O91">
        <v>35.571062088012702</v>
      </c>
      <c r="P91" t="s">
        <v>30</v>
      </c>
      <c r="Q91">
        <v>360</v>
      </c>
      <c r="S91">
        <v>3</v>
      </c>
      <c r="T91">
        <v>-1</v>
      </c>
      <c r="U91">
        <v>-1</v>
      </c>
      <c r="V91">
        <v>-1</v>
      </c>
      <c r="W91">
        <v>-1</v>
      </c>
      <c r="X91">
        <v>-1</v>
      </c>
      <c r="Y91">
        <v>-1</v>
      </c>
      <c r="Z91">
        <v>-1</v>
      </c>
    </row>
    <row r="92" spans="1:30" x14ac:dyDescent="0.25">
      <c r="A92" t="s">
        <v>38</v>
      </c>
      <c r="B92" t="str" cm="1">
        <f t="array" ref="B92:F92">_xlfn.TEXTSPLIT(A92,"_")</f>
        <v>MVPRP</v>
      </c>
      <c r="C92" t="str">
        <v>C20</v>
      </c>
      <c r="D92" t="str">
        <v>P6</v>
      </c>
      <c r="E92" t="str">
        <v>V3</v>
      </c>
      <c r="F92" t="str">
        <v>I1</v>
      </c>
      <c r="G92" t="s">
        <v>101</v>
      </c>
      <c r="H92" t="s">
        <v>28</v>
      </c>
      <c r="I92" t="str">
        <f t="shared" si="6"/>
        <v>inf</v>
      </c>
      <c r="J92" t="s">
        <v>29</v>
      </c>
      <c r="K92">
        <f t="shared" si="7"/>
        <v>500000</v>
      </c>
      <c r="L92">
        <v>46983.2088274872</v>
      </c>
      <c r="M92" t="s">
        <v>29</v>
      </c>
      <c r="N92">
        <f>ABS(L92-K92)/K92</f>
        <v>0.90603358234502562</v>
      </c>
      <c r="O92">
        <v>9.2368330955505407</v>
      </c>
      <c r="P92" t="s">
        <v>30</v>
      </c>
      <c r="Q92">
        <v>189</v>
      </c>
      <c r="S92">
        <v>3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</row>
    <row r="93" spans="1:30" x14ac:dyDescent="0.25">
      <c r="A93" t="s">
        <v>39</v>
      </c>
      <c r="B93" t="str" cm="1">
        <f t="array" ref="B93:F93">_xlfn.TEXTSPLIT(A93,"_")</f>
        <v>MVPRP</v>
      </c>
      <c r="C93" t="str">
        <v>C30</v>
      </c>
      <c r="D93" t="str">
        <v>P3</v>
      </c>
      <c r="E93" t="str">
        <v>V4</v>
      </c>
      <c r="F93" t="str">
        <v>I1</v>
      </c>
      <c r="G93" t="s">
        <v>101</v>
      </c>
      <c r="H93" t="s">
        <v>28</v>
      </c>
      <c r="I93" t="str">
        <f t="shared" si="6"/>
        <v>NODE_LIMIT</v>
      </c>
      <c r="J93">
        <v>29168.3</v>
      </c>
      <c r="K93">
        <f t="shared" si="7"/>
        <v>29168.3</v>
      </c>
      <c r="L93">
        <v>28675.251806217399</v>
      </c>
      <c r="M93">
        <v>1.6903562901595299E-2</v>
      </c>
      <c r="N93">
        <f>ABS(L93-K93)/K93</f>
        <v>1.690356290159525E-2</v>
      </c>
      <c r="O93">
        <v>47.5305819511414</v>
      </c>
      <c r="P93" t="s">
        <v>110</v>
      </c>
      <c r="Q93">
        <v>171</v>
      </c>
      <c r="S93">
        <v>3</v>
      </c>
      <c r="T93">
        <v>3000</v>
      </c>
      <c r="U93">
        <v>16680</v>
      </c>
      <c r="V93">
        <v>5464</v>
      </c>
      <c r="W93">
        <v>4024.3</v>
      </c>
      <c r="X93">
        <v>-1</v>
      </c>
      <c r="Y93">
        <v>-1</v>
      </c>
      <c r="Z93">
        <v>-1</v>
      </c>
    </row>
    <row r="94" spans="1:30" x14ac:dyDescent="0.25">
      <c r="A94" t="s">
        <v>40</v>
      </c>
      <c r="B94" t="str" cm="1">
        <f t="array" ref="B94:F94">_xlfn.TEXTSPLIT(A94,"_")</f>
        <v>MVPRP</v>
      </c>
      <c r="C94" t="str">
        <v>C10</v>
      </c>
      <c r="D94" t="str">
        <v>P3</v>
      </c>
      <c r="E94" t="str">
        <v>V3</v>
      </c>
      <c r="F94" t="str">
        <v>I1</v>
      </c>
      <c r="G94" t="s">
        <v>101</v>
      </c>
      <c r="H94" t="s">
        <v>31</v>
      </c>
      <c r="I94" t="str">
        <f t="shared" si="6"/>
        <v>OPTIMAL</v>
      </c>
      <c r="J94">
        <v>14002</v>
      </c>
      <c r="K94">
        <f t="shared" si="7"/>
        <v>14002</v>
      </c>
      <c r="L94">
        <v>14001.999975775299</v>
      </c>
      <c r="M94">
        <v>1.7300917201589901E-9</v>
      </c>
      <c r="N94">
        <f>ABS(L94-K94)/K94</f>
        <v>1.730088602336848E-9</v>
      </c>
      <c r="O94">
        <v>1.97940397262573</v>
      </c>
      <c r="P94" t="s">
        <v>69</v>
      </c>
      <c r="Q94">
        <v>132</v>
      </c>
      <c r="S94">
        <v>3</v>
      </c>
      <c r="T94">
        <v>3000</v>
      </c>
      <c r="U94">
        <v>6390</v>
      </c>
      <c r="V94">
        <v>2681</v>
      </c>
      <c r="W94">
        <v>1931</v>
      </c>
      <c r="X94">
        <v>-1</v>
      </c>
      <c r="Y94">
        <v>-1</v>
      </c>
      <c r="Z94">
        <v>-1</v>
      </c>
    </row>
    <row r="95" spans="1:30" x14ac:dyDescent="0.25">
      <c r="A95" t="s">
        <v>41</v>
      </c>
      <c r="B95" t="str" cm="1">
        <f t="array" ref="B95:F95">_xlfn.TEXTSPLIT(A95,"_")</f>
        <v>MVPRP</v>
      </c>
      <c r="C95" t="str">
        <v>C10</v>
      </c>
      <c r="D95" t="str">
        <v>P3</v>
      </c>
      <c r="E95" t="str">
        <v>V2</v>
      </c>
      <c r="F95" t="str">
        <v>I1</v>
      </c>
      <c r="G95" t="s">
        <v>101</v>
      </c>
      <c r="H95" t="s">
        <v>31</v>
      </c>
      <c r="I95" t="str">
        <f t="shared" si="6"/>
        <v>OPTIMAL</v>
      </c>
      <c r="J95">
        <v>14480.9</v>
      </c>
      <c r="K95">
        <f t="shared" si="7"/>
        <v>14480.9</v>
      </c>
      <c r="L95">
        <v>14480.9</v>
      </c>
      <c r="M95">
        <v>0</v>
      </c>
      <c r="N95">
        <f>ABS(L95-K95)/K95</f>
        <v>0</v>
      </c>
      <c r="O95">
        <v>0.26492285728454601</v>
      </c>
      <c r="P95" t="s">
        <v>70</v>
      </c>
      <c r="Q95">
        <v>198</v>
      </c>
      <c r="S95">
        <v>3</v>
      </c>
      <c r="T95">
        <v>3000</v>
      </c>
      <c r="U95">
        <v>6390</v>
      </c>
      <c r="V95">
        <v>2999</v>
      </c>
      <c r="W95">
        <v>2091.9</v>
      </c>
      <c r="X95">
        <v>-1</v>
      </c>
      <c r="Y95">
        <v>-1</v>
      </c>
      <c r="Z95">
        <v>-1</v>
      </c>
    </row>
    <row r="96" spans="1:30" x14ac:dyDescent="0.25">
      <c r="A96" t="s">
        <v>42</v>
      </c>
      <c r="B96" t="str" cm="1">
        <f t="array" ref="B96:F96">_xlfn.TEXTSPLIT(A96,"_")</f>
        <v>MVPRP</v>
      </c>
      <c r="C96" t="str">
        <v>C30</v>
      </c>
      <c r="D96" t="str">
        <v>P9</v>
      </c>
      <c r="E96" t="str">
        <v>V4</v>
      </c>
      <c r="F96" t="str">
        <v>I1</v>
      </c>
      <c r="G96" t="s">
        <v>101</v>
      </c>
      <c r="H96" t="s">
        <v>28</v>
      </c>
      <c r="I96" t="str">
        <f t="shared" si="6"/>
        <v>inf</v>
      </c>
      <c r="J96" t="s">
        <v>29</v>
      </c>
      <c r="K96">
        <f t="shared" si="7"/>
        <v>500000</v>
      </c>
      <c r="L96">
        <v>108501.852771921</v>
      </c>
      <c r="M96" t="s">
        <v>29</v>
      </c>
      <c r="N96">
        <f>ABS(L96-K96)/K96</f>
        <v>0.78299629445615804</v>
      </c>
      <c r="O96">
        <v>217.68327999114999</v>
      </c>
      <c r="P96" t="s">
        <v>30</v>
      </c>
      <c r="Q96">
        <v>171</v>
      </c>
      <c r="S96">
        <v>3</v>
      </c>
      <c r="T96">
        <v>-1</v>
      </c>
      <c r="U96">
        <v>-1</v>
      </c>
      <c r="V96">
        <v>-1</v>
      </c>
      <c r="W96">
        <v>-1</v>
      </c>
      <c r="X96">
        <v>-1</v>
      </c>
      <c r="Y96">
        <v>-1</v>
      </c>
      <c r="Z96">
        <v>-1</v>
      </c>
    </row>
    <row r="97" spans="1:26" x14ac:dyDescent="0.25">
      <c r="A97" t="s">
        <v>43</v>
      </c>
      <c r="B97" t="str" cm="1">
        <f t="array" ref="B97:F97">_xlfn.TEXTSPLIT(A97,"_")</f>
        <v>MVPRP</v>
      </c>
      <c r="C97" t="str">
        <v>C20</v>
      </c>
      <c r="D97" t="str">
        <v>P3</v>
      </c>
      <c r="E97" t="str">
        <v>V3</v>
      </c>
      <c r="F97" t="str">
        <v>I1</v>
      </c>
      <c r="G97" t="s">
        <v>101</v>
      </c>
      <c r="H97" t="s">
        <v>28</v>
      </c>
      <c r="I97" t="str">
        <f t="shared" si="6"/>
        <v>inf</v>
      </c>
      <c r="J97" t="s">
        <v>29</v>
      </c>
      <c r="K97">
        <f t="shared" si="7"/>
        <v>500000</v>
      </c>
      <c r="L97">
        <v>22180.605870528401</v>
      </c>
      <c r="M97" t="s">
        <v>29</v>
      </c>
      <c r="N97">
        <f>ABS(L97-K97)/K97</f>
        <v>0.95563878825894322</v>
      </c>
      <c r="O97">
        <v>1.6866369247436499</v>
      </c>
      <c r="P97" t="s">
        <v>30</v>
      </c>
      <c r="Q97">
        <v>189</v>
      </c>
      <c r="S97">
        <v>3</v>
      </c>
      <c r="T97">
        <v>-1</v>
      </c>
      <c r="U97">
        <v>-1</v>
      </c>
      <c r="V97">
        <v>-1</v>
      </c>
      <c r="W97">
        <v>-1</v>
      </c>
      <c r="X97">
        <v>-1</v>
      </c>
      <c r="Y97">
        <v>-1</v>
      </c>
      <c r="Z97">
        <v>-1</v>
      </c>
    </row>
    <row r="98" spans="1:26" x14ac:dyDescent="0.25">
      <c r="A98" t="s">
        <v>44</v>
      </c>
      <c r="B98" t="str" cm="1">
        <f t="array" ref="B98:F98">_xlfn.TEXTSPLIT(A98,"_")</f>
        <v>MVPRP</v>
      </c>
      <c r="C98" t="str">
        <v>C40</v>
      </c>
      <c r="D98" t="str">
        <v>P6</v>
      </c>
      <c r="E98" t="str">
        <v>V3</v>
      </c>
      <c r="F98" t="str">
        <v>I1</v>
      </c>
      <c r="G98" t="s">
        <v>101</v>
      </c>
      <c r="H98" t="s">
        <v>28</v>
      </c>
      <c r="I98" t="str">
        <f t="shared" si="6"/>
        <v>inf</v>
      </c>
      <c r="J98" t="s">
        <v>29</v>
      </c>
      <c r="K98">
        <f t="shared" si="7"/>
        <v>500000</v>
      </c>
      <c r="L98">
        <v>95787.825075717104</v>
      </c>
      <c r="M98" t="s">
        <v>29</v>
      </c>
      <c r="N98">
        <f>ABS(L98-K98)/K98</f>
        <v>0.80842434984856582</v>
      </c>
      <c r="O98">
        <v>55.812713146209703</v>
      </c>
      <c r="P98" t="s">
        <v>30</v>
      </c>
      <c r="Q98">
        <v>360</v>
      </c>
      <c r="S98">
        <v>3</v>
      </c>
      <c r="T98">
        <v>-1</v>
      </c>
      <c r="U98">
        <v>-1</v>
      </c>
      <c r="V98">
        <v>-1</v>
      </c>
      <c r="W98">
        <v>-1</v>
      </c>
      <c r="X98">
        <v>-1</v>
      </c>
      <c r="Y98">
        <v>-1</v>
      </c>
      <c r="Z98">
        <v>-1</v>
      </c>
    </row>
    <row r="99" spans="1:26" x14ac:dyDescent="0.25">
      <c r="A99" t="s">
        <v>45</v>
      </c>
      <c r="B99" t="str" cm="1">
        <f t="array" ref="B99:F99">_xlfn.TEXTSPLIT(A99,"_")</f>
        <v>MVPRP</v>
      </c>
      <c r="C99" t="str">
        <v>C15</v>
      </c>
      <c r="D99" t="str">
        <v>P9</v>
      </c>
      <c r="E99" t="str">
        <v>V2</v>
      </c>
      <c r="F99" t="str">
        <v>I1</v>
      </c>
      <c r="G99" t="s">
        <v>101</v>
      </c>
      <c r="H99" t="s">
        <v>28</v>
      </c>
      <c r="I99" t="str">
        <f t="shared" si="6"/>
        <v>inf</v>
      </c>
      <c r="J99" t="s">
        <v>29</v>
      </c>
      <c r="K99">
        <f t="shared" si="7"/>
        <v>500000</v>
      </c>
      <c r="L99">
        <v>75880.393117196407</v>
      </c>
      <c r="M99" t="s">
        <v>29</v>
      </c>
      <c r="N99">
        <f>ABS(L99-K99)/K99</f>
        <v>0.84823921376560718</v>
      </c>
      <c r="O99">
        <v>8.5734570026397705</v>
      </c>
      <c r="P99" t="s">
        <v>30</v>
      </c>
      <c r="Q99">
        <v>198</v>
      </c>
      <c r="S99">
        <v>3</v>
      </c>
      <c r="T99">
        <v>-1</v>
      </c>
      <c r="U99">
        <v>-1</v>
      </c>
      <c r="V99">
        <v>-1</v>
      </c>
      <c r="W99">
        <v>-1</v>
      </c>
      <c r="X99">
        <v>-1</v>
      </c>
      <c r="Y99">
        <v>-1</v>
      </c>
      <c r="Z99">
        <v>-1</v>
      </c>
    </row>
    <row r="100" spans="1:26" x14ac:dyDescent="0.25">
      <c r="A100" t="s">
        <v>46</v>
      </c>
      <c r="B100" t="str" cm="1">
        <f t="array" ref="B100:F100">_xlfn.TEXTSPLIT(A100,"_")</f>
        <v>MVPRP</v>
      </c>
      <c r="C100" t="str">
        <v>C35</v>
      </c>
      <c r="D100" t="str">
        <v>P6</v>
      </c>
      <c r="E100" t="str">
        <v>V4</v>
      </c>
      <c r="F100" t="str">
        <v>I1</v>
      </c>
      <c r="G100" t="s">
        <v>101</v>
      </c>
      <c r="H100" t="s">
        <v>28</v>
      </c>
      <c r="I100" t="str">
        <f t="shared" si="6"/>
        <v>inf</v>
      </c>
      <c r="J100" t="s">
        <v>29</v>
      </c>
      <c r="K100">
        <f t="shared" si="7"/>
        <v>500000</v>
      </c>
      <c r="L100">
        <v>74442.483231520804</v>
      </c>
      <c r="M100" t="s">
        <v>29</v>
      </c>
      <c r="N100">
        <f>ABS(L100-K100)/K100</f>
        <v>0.85111503353695839</v>
      </c>
      <c r="O100">
        <v>75.548066139221206</v>
      </c>
      <c r="P100" t="s">
        <v>30</v>
      </c>
      <c r="Q100">
        <v>207</v>
      </c>
      <c r="S100">
        <v>3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</row>
    <row r="101" spans="1:26" x14ac:dyDescent="0.25">
      <c r="A101" t="s">
        <v>47</v>
      </c>
      <c r="B101" t="str" cm="1">
        <f t="array" ref="B101:F101">_xlfn.TEXTSPLIT(A101,"_")</f>
        <v>MVPRP</v>
      </c>
      <c r="C101" t="str">
        <v>C45</v>
      </c>
      <c r="D101" t="str">
        <v>P3</v>
      </c>
      <c r="E101" t="str">
        <v>V3</v>
      </c>
      <c r="F101" t="str">
        <v>I1</v>
      </c>
      <c r="G101" t="s">
        <v>101</v>
      </c>
      <c r="H101" t="s">
        <v>28</v>
      </c>
      <c r="I101" t="str">
        <f t="shared" si="6"/>
        <v>inf</v>
      </c>
      <c r="J101" t="s">
        <v>29</v>
      </c>
      <c r="K101">
        <f t="shared" si="7"/>
        <v>500000</v>
      </c>
      <c r="L101">
        <v>50587.6882684675</v>
      </c>
      <c r="M101" t="s">
        <v>29</v>
      </c>
      <c r="N101">
        <f>ABS(L101-K101)/K101</f>
        <v>0.89882462346306502</v>
      </c>
      <c r="O101">
        <v>33.732815980911298</v>
      </c>
      <c r="P101" t="s">
        <v>30</v>
      </c>
      <c r="Q101">
        <v>360</v>
      </c>
      <c r="S101">
        <v>3</v>
      </c>
      <c r="T101">
        <v>-1</v>
      </c>
      <c r="U101">
        <v>-1</v>
      </c>
      <c r="V101">
        <v>-1</v>
      </c>
      <c r="W101">
        <v>-1</v>
      </c>
      <c r="X101">
        <v>-1</v>
      </c>
      <c r="Y101">
        <v>-1</v>
      </c>
      <c r="Z101">
        <v>-1</v>
      </c>
    </row>
    <row r="102" spans="1:26" x14ac:dyDescent="0.25">
      <c r="A102" t="s">
        <v>48</v>
      </c>
      <c r="B102" t="str" cm="1">
        <f t="array" ref="B102:F102">_xlfn.TEXTSPLIT(A102,"_")</f>
        <v>MVPRP</v>
      </c>
      <c r="C102" t="str">
        <v>C10</v>
      </c>
      <c r="D102" t="str">
        <v>P6</v>
      </c>
      <c r="E102" t="str">
        <v>V2</v>
      </c>
      <c r="F102" t="str">
        <v>I1</v>
      </c>
      <c r="G102" t="s">
        <v>101</v>
      </c>
      <c r="H102" t="s">
        <v>28</v>
      </c>
      <c r="I102" t="str">
        <f t="shared" si="6"/>
        <v>NODE_LIMIT</v>
      </c>
      <c r="J102">
        <v>30459.9</v>
      </c>
      <c r="K102">
        <f t="shared" si="7"/>
        <v>30459.9</v>
      </c>
      <c r="L102">
        <v>30114.7793822815</v>
      </c>
      <c r="M102">
        <v>1.1330326682572301E-2</v>
      </c>
      <c r="N102">
        <f>ABS(L102-K102)/K102</f>
        <v>1.1330326682572868E-2</v>
      </c>
      <c r="O102">
        <v>4.1320641040802002</v>
      </c>
      <c r="P102" t="s">
        <v>71</v>
      </c>
      <c r="Q102">
        <v>198</v>
      </c>
      <c r="S102">
        <v>3</v>
      </c>
      <c r="T102">
        <v>6000</v>
      </c>
      <c r="U102">
        <v>12690</v>
      </c>
      <c r="V102">
        <v>8163</v>
      </c>
      <c r="W102">
        <v>3606.9</v>
      </c>
      <c r="X102">
        <v>-1</v>
      </c>
      <c r="Y102">
        <v>-1</v>
      </c>
      <c r="Z102">
        <v>-1</v>
      </c>
    </row>
    <row r="103" spans="1:26" x14ac:dyDescent="0.25">
      <c r="A103" t="s">
        <v>49</v>
      </c>
      <c r="B103" t="str" cm="1">
        <f t="array" ref="B103:F103">_xlfn.TEXTSPLIT(A103,"_")</f>
        <v>MVPRP</v>
      </c>
      <c r="C103" t="str">
        <v>C45</v>
      </c>
      <c r="D103" t="str">
        <v>P3</v>
      </c>
      <c r="E103" t="str">
        <v>V4</v>
      </c>
      <c r="F103" t="str">
        <v>I1</v>
      </c>
      <c r="G103" t="s">
        <v>101</v>
      </c>
      <c r="H103" t="s">
        <v>28</v>
      </c>
      <c r="I103" t="str">
        <f t="shared" si="6"/>
        <v>NODE_LIMIT</v>
      </c>
      <c r="J103">
        <v>51507.6</v>
      </c>
      <c r="K103">
        <f t="shared" si="7"/>
        <v>51507.6</v>
      </c>
      <c r="L103">
        <v>50379.529536411901</v>
      </c>
      <c r="M103">
        <v>2.1901048846928499E-2</v>
      </c>
      <c r="N103">
        <f>ABS(L103-K103)/K103</f>
        <v>2.1901048846929339E-2</v>
      </c>
      <c r="O103">
        <v>114.23002600669901</v>
      </c>
      <c r="P103" t="s">
        <v>111</v>
      </c>
      <c r="Q103">
        <v>270</v>
      </c>
      <c r="S103">
        <v>3</v>
      </c>
      <c r="T103">
        <v>6000</v>
      </c>
      <c r="U103">
        <v>33060</v>
      </c>
      <c r="V103">
        <v>6182</v>
      </c>
      <c r="W103">
        <v>6265.6</v>
      </c>
      <c r="X103">
        <v>-1</v>
      </c>
      <c r="Y103">
        <v>-1</v>
      </c>
      <c r="Z103">
        <v>-1</v>
      </c>
    </row>
    <row r="104" spans="1:26" x14ac:dyDescent="0.25">
      <c r="A104" t="s">
        <v>50</v>
      </c>
      <c r="B104" t="str" cm="1">
        <f t="array" ref="B104:F104">_xlfn.TEXTSPLIT(A104,"_")</f>
        <v>MVPRP</v>
      </c>
      <c r="C104" t="str">
        <v>C25</v>
      </c>
      <c r="D104" t="str">
        <v>P6</v>
      </c>
      <c r="E104" t="str">
        <v>V3</v>
      </c>
      <c r="F104" t="str">
        <v>I1</v>
      </c>
      <c r="G104" t="s">
        <v>101</v>
      </c>
      <c r="H104" t="s">
        <v>28</v>
      </c>
      <c r="I104" t="str">
        <f t="shared" si="6"/>
        <v>inf</v>
      </c>
      <c r="J104" t="s">
        <v>29</v>
      </c>
      <c r="K104">
        <f t="shared" si="7"/>
        <v>500000</v>
      </c>
      <c r="L104">
        <v>56815.821039842202</v>
      </c>
      <c r="M104" t="s">
        <v>29</v>
      </c>
      <c r="N104">
        <f>ABS(L104-K104)/K104</f>
        <v>0.88636835792031554</v>
      </c>
      <c r="O104">
        <v>14.184149026870699</v>
      </c>
      <c r="P104" t="s">
        <v>30</v>
      </c>
      <c r="Q104">
        <v>189</v>
      </c>
      <c r="S104">
        <v>3</v>
      </c>
      <c r="T104">
        <v>-1</v>
      </c>
      <c r="U104">
        <v>-1</v>
      </c>
      <c r="V104">
        <v>-1</v>
      </c>
      <c r="W104">
        <v>-1</v>
      </c>
      <c r="X104">
        <v>-1</v>
      </c>
      <c r="Y104">
        <v>-1</v>
      </c>
      <c r="Z104">
        <v>-1</v>
      </c>
    </row>
    <row r="105" spans="1:26" x14ac:dyDescent="0.25">
      <c r="A105" t="s">
        <v>51</v>
      </c>
      <c r="B105" t="str" cm="1">
        <f t="array" ref="B105:F105">_xlfn.TEXTSPLIT(A105,"_")</f>
        <v>MVPRP</v>
      </c>
      <c r="C105" t="str">
        <v>C15</v>
      </c>
      <c r="D105" t="str">
        <v>P6</v>
      </c>
      <c r="E105" t="str">
        <v>V2</v>
      </c>
      <c r="F105" t="str">
        <v>I1</v>
      </c>
      <c r="G105" t="s">
        <v>101</v>
      </c>
      <c r="H105" t="s">
        <v>28</v>
      </c>
      <c r="I105" t="str">
        <f t="shared" si="6"/>
        <v>NODE_LIMIT</v>
      </c>
      <c r="J105">
        <v>43316.9</v>
      </c>
      <c r="K105">
        <f t="shared" si="7"/>
        <v>43316.9</v>
      </c>
      <c r="L105">
        <v>42880.089579416999</v>
      </c>
      <c r="M105">
        <v>1.0084064662591799E-2</v>
      </c>
      <c r="N105">
        <f>ABS(L105-K105)/K105</f>
        <v>1.0084064662591328E-2</v>
      </c>
      <c r="O105">
        <v>14.413919210434001</v>
      </c>
      <c r="P105" t="s">
        <v>112</v>
      </c>
      <c r="Q105">
        <v>198</v>
      </c>
      <c r="S105">
        <v>3</v>
      </c>
      <c r="T105">
        <v>6000</v>
      </c>
      <c r="U105">
        <v>19800</v>
      </c>
      <c r="V105">
        <v>11217</v>
      </c>
      <c r="W105">
        <v>6299.9</v>
      </c>
      <c r="X105">
        <v>-1</v>
      </c>
      <c r="Y105">
        <v>-1</v>
      </c>
      <c r="Z105">
        <v>-1</v>
      </c>
    </row>
    <row r="106" spans="1:26" x14ac:dyDescent="0.25">
      <c r="A106" t="s">
        <v>52</v>
      </c>
      <c r="B106" t="str" cm="1">
        <f t="array" ref="B106:F106">_xlfn.TEXTSPLIT(A106,"_")</f>
        <v>MVPRP</v>
      </c>
      <c r="C106" t="str">
        <v>C35</v>
      </c>
      <c r="D106" t="str">
        <v>P6</v>
      </c>
      <c r="E106" t="str">
        <v>V3</v>
      </c>
      <c r="F106" t="str">
        <v>I1</v>
      </c>
      <c r="G106" t="s">
        <v>101</v>
      </c>
      <c r="H106" t="s">
        <v>28</v>
      </c>
      <c r="I106" t="str">
        <f t="shared" si="6"/>
        <v>inf</v>
      </c>
      <c r="J106" t="s">
        <v>29</v>
      </c>
      <c r="K106">
        <f t="shared" si="7"/>
        <v>500000</v>
      </c>
      <c r="L106">
        <v>74606.907714423898</v>
      </c>
      <c r="M106" t="s">
        <v>29</v>
      </c>
      <c r="N106">
        <f>ABS(L106-K106)/K106</f>
        <v>0.85078618457115218</v>
      </c>
      <c r="O106">
        <v>49.376044988632202</v>
      </c>
      <c r="P106" t="s">
        <v>30</v>
      </c>
      <c r="Q106">
        <v>276</v>
      </c>
      <c r="S106">
        <v>3</v>
      </c>
      <c r="T106">
        <v>-1</v>
      </c>
      <c r="U106">
        <v>-1</v>
      </c>
      <c r="V106">
        <v>-1</v>
      </c>
      <c r="W106">
        <v>-1</v>
      </c>
      <c r="X106">
        <v>-1</v>
      </c>
      <c r="Y106">
        <v>-1</v>
      </c>
      <c r="Z106">
        <v>-1</v>
      </c>
    </row>
    <row r="107" spans="1:26" x14ac:dyDescent="0.25">
      <c r="A107" t="s">
        <v>53</v>
      </c>
      <c r="B107" t="str" cm="1">
        <f t="array" ref="B107:F107">_xlfn.TEXTSPLIT(A107,"_")</f>
        <v>MVPRP</v>
      </c>
      <c r="C107" t="str">
        <v>C25</v>
      </c>
      <c r="D107" t="str">
        <v>P3</v>
      </c>
      <c r="E107" t="str">
        <v>V3</v>
      </c>
      <c r="F107" t="str">
        <v>I1</v>
      </c>
      <c r="G107" t="s">
        <v>101</v>
      </c>
      <c r="H107" t="s">
        <v>28</v>
      </c>
      <c r="I107" t="str">
        <f t="shared" si="6"/>
        <v>NODE_LIMIT</v>
      </c>
      <c r="J107">
        <v>26376.999999999902</v>
      </c>
      <c r="K107">
        <f t="shared" si="7"/>
        <v>26376.999999999902</v>
      </c>
      <c r="L107">
        <v>26170.730747545502</v>
      </c>
      <c r="M107">
        <v>7.8200421751708094E-3</v>
      </c>
      <c r="N107">
        <f>ABS(L107-K107)/K107</f>
        <v>7.8200421751677875E-3</v>
      </c>
      <c r="O107">
        <v>19.474472045898398</v>
      </c>
      <c r="P107" t="s">
        <v>113</v>
      </c>
      <c r="Q107">
        <v>189</v>
      </c>
      <c r="S107">
        <v>3</v>
      </c>
      <c r="T107">
        <v>3000</v>
      </c>
      <c r="U107">
        <v>14340</v>
      </c>
      <c r="V107">
        <v>5613</v>
      </c>
      <c r="W107">
        <v>3424</v>
      </c>
      <c r="X107">
        <v>-1</v>
      </c>
      <c r="Y107">
        <v>-1</v>
      </c>
      <c r="Z107">
        <v>-1</v>
      </c>
    </row>
    <row r="108" spans="1:26" x14ac:dyDescent="0.25">
      <c r="A108" t="s">
        <v>54</v>
      </c>
      <c r="B108" t="str" cm="1">
        <f t="array" ref="B108:F108">_xlfn.TEXTSPLIT(A108,"_")</f>
        <v>MVPRP</v>
      </c>
      <c r="C108" t="str">
        <v>C10</v>
      </c>
      <c r="D108" t="str">
        <v>P6</v>
      </c>
      <c r="E108" t="str">
        <v>V3</v>
      </c>
      <c r="F108" t="str">
        <v>I1</v>
      </c>
      <c r="G108" t="s">
        <v>101</v>
      </c>
      <c r="H108" t="s">
        <v>28</v>
      </c>
      <c r="I108" t="str">
        <f t="shared" si="6"/>
        <v>NODE_LIMIT</v>
      </c>
      <c r="J108">
        <v>30205</v>
      </c>
      <c r="K108">
        <f t="shared" si="7"/>
        <v>30205</v>
      </c>
      <c r="L108">
        <v>29007.044857801899</v>
      </c>
      <c r="M108">
        <v>3.9660822453172401E-2</v>
      </c>
      <c r="N108">
        <f>ABS(L108-K108)/K108</f>
        <v>3.9660822453173358E-2</v>
      </c>
      <c r="O108">
        <v>2.1910879611968999</v>
      </c>
      <c r="P108" t="s">
        <v>114</v>
      </c>
      <c r="Q108">
        <v>132</v>
      </c>
      <c r="S108">
        <v>3</v>
      </c>
      <c r="T108">
        <v>6000</v>
      </c>
      <c r="U108">
        <v>12690</v>
      </c>
      <c r="V108">
        <v>7528</v>
      </c>
      <c r="W108">
        <v>3987</v>
      </c>
      <c r="X108">
        <v>-1</v>
      </c>
      <c r="Y108">
        <v>-1</v>
      </c>
      <c r="Z108">
        <v>-1</v>
      </c>
    </row>
    <row r="109" spans="1:26" x14ac:dyDescent="0.25">
      <c r="A109" t="s">
        <v>55</v>
      </c>
      <c r="B109" t="str" cm="1">
        <f t="array" ref="B109:F109">_xlfn.TEXTSPLIT(A109,"_")</f>
        <v>MVPRP</v>
      </c>
      <c r="C109" t="str">
        <v>C35</v>
      </c>
      <c r="D109" t="str">
        <v>P3</v>
      </c>
      <c r="E109" t="str">
        <v>V3</v>
      </c>
      <c r="F109" t="str">
        <v>I1</v>
      </c>
      <c r="G109" t="s">
        <v>101</v>
      </c>
      <c r="H109" t="s">
        <v>28</v>
      </c>
      <c r="I109" t="str">
        <f t="shared" si="6"/>
        <v>inf</v>
      </c>
      <c r="J109" t="s">
        <v>29</v>
      </c>
      <c r="K109">
        <f t="shared" si="7"/>
        <v>500000</v>
      </c>
      <c r="L109">
        <v>35171.026392687898</v>
      </c>
      <c r="M109" t="s">
        <v>29</v>
      </c>
      <c r="N109">
        <f>ABS(L109-K109)/K109</f>
        <v>0.92965794721462414</v>
      </c>
      <c r="O109">
        <v>14.5167479515076</v>
      </c>
      <c r="P109" t="s">
        <v>30</v>
      </c>
      <c r="Q109">
        <v>276</v>
      </c>
      <c r="S109">
        <v>3</v>
      </c>
      <c r="T109">
        <v>-1</v>
      </c>
      <c r="U109">
        <v>-1</v>
      </c>
      <c r="V109">
        <v>-1</v>
      </c>
      <c r="W109">
        <v>-1</v>
      </c>
      <c r="X109">
        <v>-1</v>
      </c>
      <c r="Y109">
        <v>-1</v>
      </c>
      <c r="Z109">
        <v>-1</v>
      </c>
    </row>
    <row r="110" spans="1:26" x14ac:dyDescent="0.25">
      <c r="A110" t="s">
        <v>56</v>
      </c>
      <c r="B110" t="str" cm="1">
        <f t="array" ref="B110:F110">_xlfn.TEXTSPLIT(A110,"_")</f>
        <v>MVPRP</v>
      </c>
      <c r="C110" t="str">
        <v>C50</v>
      </c>
      <c r="D110" t="str">
        <v>P3</v>
      </c>
      <c r="E110" t="str">
        <v>V3</v>
      </c>
      <c r="F110" t="str">
        <v>I1</v>
      </c>
      <c r="G110" t="s">
        <v>101</v>
      </c>
      <c r="H110" t="s">
        <v>28</v>
      </c>
      <c r="I110" t="str">
        <f t="shared" si="6"/>
        <v>inf</v>
      </c>
      <c r="J110" t="s">
        <v>29</v>
      </c>
      <c r="K110">
        <f t="shared" si="7"/>
        <v>500000</v>
      </c>
      <c r="L110">
        <v>46623.993224897</v>
      </c>
      <c r="M110" t="s">
        <v>29</v>
      </c>
      <c r="N110">
        <f>ABS(L110-K110)/K110</f>
        <v>0.90675201355020596</v>
      </c>
      <c r="O110">
        <v>33.110257148742697</v>
      </c>
      <c r="P110" t="s">
        <v>30</v>
      </c>
      <c r="Q110">
        <v>360</v>
      </c>
      <c r="S110">
        <v>3</v>
      </c>
      <c r="T110">
        <v>-1</v>
      </c>
      <c r="U110">
        <v>-1</v>
      </c>
      <c r="V110">
        <v>-1</v>
      </c>
      <c r="W110">
        <v>-1</v>
      </c>
      <c r="X110">
        <v>-1</v>
      </c>
      <c r="Y110">
        <v>-1</v>
      </c>
      <c r="Z110">
        <v>-1</v>
      </c>
    </row>
    <row r="111" spans="1:26" x14ac:dyDescent="0.25">
      <c r="A111" t="s">
        <v>57</v>
      </c>
      <c r="B111" t="str" cm="1">
        <f t="array" ref="B111:F111">_xlfn.TEXTSPLIT(A111,"_")</f>
        <v>MVPRP</v>
      </c>
      <c r="C111" t="str">
        <v>C30</v>
      </c>
      <c r="D111" t="str">
        <v>P6</v>
      </c>
      <c r="E111" t="str">
        <v>V3</v>
      </c>
      <c r="F111" t="str">
        <v>I1</v>
      </c>
      <c r="G111" t="s">
        <v>101</v>
      </c>
      <c r="H111" t="s">
        <v>28</v>
      </c>
      <c r="I111" t="str">
        <f t="shared" si="6"/>
        <v>inf</v>
      </c>
      <c r="J111" t="s">
        <v>29</v>
      </c>
      <c r="K111">
        <f t="shared" si="7"/>
        <v>500000</v>
      </c>
      <c r="L111">
        <v>60951.916503877401</v>
      </c>
      <c r="M111" t="s">
        <v>29</v>
      </c>
      <c r="N111">
        <f>ABS(L111-K111)/K111</f>
        <v>0.87809616699224524</v>
      </c>
      <c r="O111">
        <v>16.959041118621801</v>
      </c>
      <c r="P111" t="s">
        <v>30</v>
      </c>
      <c r="Q111">
        <v>228</v>
      </c>
      <c r="S111">
        <v>3</v>
      </c>
      <c r="T111">
        <v>-1</v>
      </c>
      <c r="U111">
        <v>-1</v>
      </c>
      <c r="V111">
        <v>-1</v>
      </c>
      <c r="W111">
        <v>-1</v>
      </c>
      <c r="X111">
        <v>-1</v>
      </c>
      <c r="Y111">
        <v>-1</v>
      </c>
      <c r="Z111">
        <v>-1</v>
      </c>
    </row>
    <row r="112" spans="1:26" x14ac:dyDescent="0.25">
      <c r="A112" t="s">
        <v>58</v>
      </c>
      <c r="B112" t="str" cm="1">
        <f t="array" ref="B112:F112">_xlfn.TEXTSPLIT(A112,"_")</f>
        <v>MVPRP</v>
      </c>
      <c r="C112" t="str">
        <v>C30</v>
      </c>
      <c r="D112" t="str">
        <v>P6</v>
      </c>
      <c r="E112" t="str">
        <v>V4</v>
      </c>
      <c r="F112" t="str">
        <v>I1</v>
      </c>
      <c r="G112" t="s">
        <v>101</v>
      </c>
      <c r="H112" t="s">
        <v>28</v>
      </c>
      <c r="I112" t="str">
        <f t="shared" si="6"/>
        <v>NODE_LIMIT</v>
      </c>
      <c r="J112">
        <v>62364</v>
      </c>
      <c r="K112">
        <f t="shared" si="7"/>
        <v>62364</v>
      </c>
      <c r="L112">
        <v>61161.558507935297</v>
      </c>
      <c r="M112">
        <v>1.92810193711873E-2</v>
      </c>
      <c r="N112">
        <f>ABS(L112-K112)/K112</f>
        <v>1.9281019371186953E-2</v>
      </c>
      <c r="O112">
        <v>57.422312974929802</v>
      </c>
      <c r="P112" t="s">
        <v>115</v>
      </c>
      <c r="Q112">
        <v>171</v>
      </c>
      <c r="S112">
        <v>3</v>
      </c>
      <c r="T112">
        <v>6000</v>
      </c>
      <c r="U112">
        <v>33150</v>
      </c>
      <c r="V112">
        <v>15531</v>
      </c>
      <c r="W112">
        <v>7683</v>
      </c>
      <c r="X112">
        <v>-1</v>
      </c>
      <c r="Y112">
        <v>-1</v>
      </c>
      <c r="Z112">
        <v>-1</v>
      </c>
    </row>
    <row r="113" spans="1:26" x14ac:dyDescent="0.25">
      <c r="A113" t="s">
        <v>59</v>
      </c>
      <c r="B113" t="str" cm="1">
        <f t="array" ref="B113:F113">_xlfn.TEXTSPLIT(A113,"_")</f>
        <v>MVPRP</v>
      </c>
      <c r="C113" t="str">
        <v>C25</v>
      </c>
      <c r="D113" t="str">
        <v>P9</v>
      </c>
      <c r="E113" t="str">
        <v>V3</v>
      </c>
      <c r="F113" t="str">
        <v>I1</v>
      </c>
      <c r="G113" t="s">
        <v>101</v>
      </c>
      <c r="H113" t="s">
        <v>28</v>
      </c>
      <c r="I113" t="str">
        <f t="shared" si="6"/>
        <v>inf</v>
      </c>
      <c r="J113" t="s">
        <v>29</v>
      </c>
      <c r="K113">
        <f t="shared" si="7"/>
        <v>500000</v>
      </c>
      <c r="L113">
        <v>100415.148124343</v>
      </c>
      <c r="M113" t="s">
        <v>29</v>
      </c>
      <c r="N113">
        <f>ABS(L113-K113)/K113</f>
        <v>0.79916970375131402</v>
      </c>
      <c r="O113">
        <v>31.9018008708954</v>
      </c>
      <c r="P113" t="s">
        <v>30</v>
      </c>
      <c r="Q113">
        <v>189</v>
      </c>
      <c r="S113">
        <v>3</v>
      </c>
      <c r="T113">
        <v>-1</v>
      </c>
      <c r="U113">
        <v>-1</v>
      </c>
      <c r="V113">
        <v>-1</v>
      </c>
      <c r="W113">
        <v>-1</v>
      </c>
      <c r="X113">
        <v>-1</v>
      </c>
      <c r="Y113">
        <v>-1</v>
      </c>
      <c r="Z113">
        <v>-1</v>
      </c>
    </row>
    <row r="114" spans="1:26" x14ac:dyDescent="0.25">
      <c r="A114" t="s">
        <v>60</v>
      </c>
      <c r="B114" t="str" cm="1">
        <f t="array" ref="B114:F114">_xlfn.TEXTSPLIT(A114,"_")</f>
        <v>MVPRP</v>
      </c>
      <c r="C114" t="str">
        <v>C20</v>
      </c>
      <c r="D114" t="str">
        <v>P6</v>
      </c>
      <c r="E114" t="str">
        <v>V2</v>
      </c>
      <c r="F114" t="str">
        <v>I1</v>
      </c>
      <c r="G114" t="s">
        <v>101</v>
      </c>
      <c r="H114" t="s">
        <v>28</v>
      </c>
      <c r="I114" t="str">
        <f t="shared" si="6"/>
        <v>NODE_LIMIT</v>
      </c>
      <c r="J114">
        <v>49849</v>
      </c>
      <c r="K114">
        <f t="shared" si="7"/>
        <v>49849</v>
      </c>
      <c r="L114">
        <v>48737.808304218699</v>
      </c>
      <c r="M114">
        <v>2.2291153198284699E-2</v>
      </c>
      <c r="N114">
        <f>ABS(L114-K114)/K114</f>
        <v>2.2291153198284838E-2</v>
      </c>
      <c r="O114">
        <v>11.512531995773299</v>
      </c>
      <c r="P114" t="s">
        <v>116</v>
      </c>
      <c r="Q114">
        <v>283</v>
      </c>
      <c r="S114">
        <v>3</v>
      </c>
      <c r="T114">
        <v>6000</v>
      </c>
      <c r="U114">
        <v>23820</v>
      </c>
      <c r="V114">
        <v>13024</v>
      </c>
      <c r="W114">
        <v>7005</v>
      </c>
      <c r="X114">
        <v>-1</v>
      </c>
      <c r="Y114">
        <v>-1</v>
      </c>
      <c r="Z114">
        <v>-1</v>
      </c>
    </row>
    <row r="115" spans="1:26" x14ac:dyDescent="0.25">
      <c r="A115" t="s">
        <v>61</v>
      </c>
      <c r="B115" t="str" cm="1">
        <f t="array" ref="B115:F115">_xlfn.TEXTSPLIT(A115,"_")</f>
        <v>MVPRP</v>
      </c>
      <c r="C115" t="str">
        <v>C15</v>
      </c>
      <c r="D115" t="str">
        <v>P6</v>
      </c>
      <c r="E115" t="str">
        <v>V3</v>
      </c>
      <c r="F115" t="str">
        <v>I1</v>
      </c>
      <c r="G115" t="s">
        <v>101</v>
      </c>
      <c r="H115" t="s">
        <v>28</v>
      </c>
      <c r="I115" t="str">
        <f t="shared" si="6"/>
        <v>inf</v>
      </c>
      <c r="J115" t="s">
        <v>29</v>
      </c>
      <c r="K115">
        <f t="shared" si="7"/>
        <v>500000</v>
      </c>
      <c r="L115">
        <v>41190.0755913709</v>
      </c>
      <c r="M115" t="s">
        <v>29</v>
      </c>
      <c r="N115">
        <f>ABS(L115-K115)/K115</f>
        <v>0.91761984881725811</v>
      </c>
      <c r="O115">
        <v>3.4742062091827401</v>
      </c>
      <c r="P115" t="s">
        <v>30</v>
      </c>
      <c r="Q115">
        <v>132</v>
      </c>
      <c r="S115">
        <v>3</v>
      </c>
      <c r="T115">
        <v>-1</v>
      </c>
      <c r="U115">
        <v>-1</v>
      </c>
      <c r="V115">
        <v>-1</v>
      </c>
      <c r="W115">
        <v>-1</v>
      </c>
      <c r="X115">
        <v>-1</v>
      </c>
      <c r="Y115">
        <v>-1</v>
      </c>
      <c r="Z115">
        <v>-1</v>
      </c>
    </row>
    <row r="116" spans="1:26" x14ac:dyDescent="0.25">
      <c r="A116" t="s">
        <v>62</v>
      </c>
      <c r="B116" t="str" cm="1">
        <f t="array" ref="B116:F116">_xlfn.TEXTSPLIT(A116,"_")</f>
        <v>MVPRP</v>
      </c>
      <c r="C116" t="str">
        <v>C15</v>
      </c>
      <c r="D116" t="str">
        <v>P3</v>
      </c>
      <c r="E116" t="str">
        <v>V3</v>
      </c>
      <c r="F116" t="str">
        <v>I1</v>
      </c>
      <c r="G116" t="s">
        <v>101</v>
      </c>
      <c r="H116" t="s">
        <v>28</v>
      </c>
      <c r="I116" t="str">
        <f t="shared" si="6"/>
        <v>NODE_LIMIT</v>
      </c>
      <c r="J116">
        <v>22194.299999999901</v>
      </c>
      <c r="K116">
        <f t="shared" si="7"/>
        <v>22194.299999999901</v>
      </c>
      <c r="L116">
        <v>19340.8087018027</v>
      </c>
      <c r="M116">
        <v>0.12856865493379799</v>
      </c>
      <c r="N116">
        <f>ABS(L116-K116)/K116</f>
        <v>0.12856865493379893</v>
      </c>
      <c r="O116">
        <v>2.2189478874206499</v>
      </c>
      <c r="P116" t="s">
        <v>117</v>
      </c>
      <c r="Q116">
        <v>132</v>
      </c>
      <c r="S116">
        <v>3</v>
      </c>
      <c r="T116">
        <v>3000</v>
      </c>
      <c r="U116">
        <v>9960</v>
      </c>
      <c r="V116">
        <v>3820</v>
      </c>
      <c r="W116">
        <v>5414.3</v>
      </c>
      <c r="X116">
        <v>-1</v>
      </c>
      <c r="Y116">
        <v>-1</v>
      </c>
      <c r="Z116">
        <v>-1</v>
      </c>
    </row>
    <row r="117" spans="1:26" x14ac:dyDescent="0.25">
      <c r="A117" t="s">
        <v>63</v>
      </c>
      <c r="B117" t="str" cm="1">
        <f t="array" ref="B117:F117">_xlfn.TEXTSPLIT(A117,"_")</f>
        <v>MVPRP</v>
      </c>
      <c r="C117" t="str">
        <v>C25</v>
      </c>
      <c r="D117" t="str">
        <v>P9</v>
      </c>
      <c r="E117" t="str">
        <v>V2</v>
      </c>
      <c r="F117" t="str">
        <v>I1</v>
      </c>
      <c r="G117" t="s">
        <v>101</v>
      </c>
      <c r="H117" t="s">
        <v>28</v>
      </c>
      <c r="I117" t="str">
        <f t="shared" si="6"/>
        <v>inf</v>
      </c>
      <c r="J117" t="s">
        <v>29</v>
      </c>
      <c r="K117">
        <f t="shared" si="7"/>
        <v>500000</v>
      </c>
      <c r="L117">
        <v>104956.262693686</v>
      </c>
      <c r="M117" t="s">
        <v>29</v>
      </c>
      <c r="N117">
        <f>ABS(L117-K117)/K117</f>
        <v>0.79008747461262796</v>
      </c>
      <c r="O117">
        <v>23.198307037353501</v>
      </c>
      <c r="P117" t="s">
        <v>30</v>
      </c>
      <c r="Q117">
        <v>283</v>
      </c>
      <c r="S117">
        <v>3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-1</v>
      </c>
    </row>
    <row r="118" spans="1:26" x14ac:dyDescent="0.25">
      <c r="A118" t="s">
        <v>64</v>
      </c>
      <c r="B118" t="str" cm="1">
        <f t="array" ref="B118:F118">_xlfn.TEXTSPLIT(A118,"_")</f>
        <v>MVPRP</v>
      </c>
      <c r="C118" t="str">
        <v>C35</v>
      </c>
      <c r="D118" t="str">
        <v>P3</v>
      </c>
      <c r="E118" t="str">
        <v>V4</v>
      </c>
      <c r="F118" t="str">
        <v>I1</v>
      </c>
      <c r="G118" t="s">
        <v>101</v>
      </c>
      <c r="H118" t="s">
        <v>28</v>
      </c>
      <c r="I118" t="str">
        <f t="shared" si="6"/>
        <v>NODE_LIMIT</v>
      </c>
      <c r="J118">
        <v>35896</v>
      </c>
      <c r="K118">
        <f t="shared" si="7"/>
        <v>35896</v>
      </c>
      <c r="L118">
        <v>35274.410497894401</v>
      </c>
      <c r="M118">
        <v>1.7316400214665999E-2</v>
      </c>
      <c r="N118">
        <f>ABS(L118-K118)/K118</f>
        <v>1.7316400214664546E-2</v>
      </c>
      <c r="O118">
        <v>54.766975879669197</v>
      </c>
      <c r="P118" t="s">
        <v>118</v>
      </c>
      <c r="Q118">
        <v>207</v>
      </c>
      <c r="S118">
        <v>3</v>
      </c>
      <c r="T118">
        <v>3000</v>
      </c>
      <c r="U118">
        <v>21600</v>
      </c>
      <c r="V118">
        <v>6543</v>
      </c>
      <c r="W118">
        <v>4753</v>
      </c>
      <c r="X118">
        <v>-1</v>
      </c>
      <c r="Y118">
        <v>-1</v>
      </c>
      <c r="Z118">
        <v>-1</v>
      </c>
    </row>
    <row r="119" spans="1:26" x14ac:dyDescent="0.25">
      <c r="A119" t="s">
        <v>65</v>
      </c>
      <c r="B119" t="str" cm="1">
        <f t="array" ref="B119:F119">_xlfn.TEXTSPLIT(A119,"_")</f>
        <v>MVPRP</v>
      </c>
      <c r="C119" t="str">
        <v>C25</v>
      </c>
      <c r="D119" t="str">
        <v>P3</v>
      </c>
      <c r="E119" t="str">
        <v>V2</v>
      </c>
      <c r="F119" t="str">
        <v>I1</v>
      </c>
      <c r="G119" t="s">
        <v>101</v>
      </c>
      <c r="H119" t="s">
        <v>28</v>
      </c>
      <c r="I119" t="str">
        <f t="shared" si="6"/>
        <v>inf</v>
      </c>
      <c r="J119" t="s">
        <v>29</v>
      </c>
      <c r="K119">
        <f t="shared" si="7"/>
        <v>500000</v>
      </c>
      <c r="L119">
        <v>27521.174999999999</v>
      </c>
      <c r="M119" t="s">
        <v>29</v>
      </c>
      <c r="N119">
        <f>ABS(L119-K119)/K119</f>
        <v>0.94495764999999998</v>
      </c>
      <c r="O119">
        <v>1.8292889595031701</v>
      </c>
      <c r="P119" t="s">
        <v>30</v>
      </c>
      <c r="Q119">
        <v>283</v>
      </c>
      <c r="S119">
        <v>3</v>
      </c>
      <c r="T119">
        <v>-1</v>
      </c>
      <c r="U119">
        <v>-1</v>
      </c>
      <c r="V119">
        <v>-1</v>
      </c>
      <c r="W119">
        <v>-1</v>
      </c>
      <c r="X119">
        <v>-1</v>
      </c>
      <c r="Y119">
        <v>-1</v>
      </c>
      <c r="Z119">
        <v>-1</v>
      </c>
    </row>
    <row r="120" spans="1:26" x14ac:dyDescent="0.25">
      <c r="A120" t="s">
        <v>66</v>
      </c>
      <c r="B120" t="str" cm="1">
        <f t="array" ref="B120:F120">_xlfn.TEXTSPLIT(A120,"_")</f>
        <v>MVPRP</v>
      </c>
      <c r="C120" t="str">
        <v>C20</v>
      </c>
      <c r="D120" t="str">
        <v>P9</v>
      </c>
      <c r="E120" t="str">
        <v>V3</v>
      </c>
      <c r="F120" t="str">
        <v>I1</v>
      </c>
      <c r="G120" t="s">
        <v>101</v>
      </c>
      <c r="H120" t="s">
        <v>28</v>
      </c>
      <c r="I120" t="str">
        <f t="shared" si="6"/>
        <v>inf</v>
      </c>
      <c r="J120" t="s">
        <v>29</v>
      </c>
      <c r="K120">
        <f t="shared" si="7"/>
        <v>500000</v>
      </c>
      <c r="L120">
        <v>82142.652773001799</v>
      </c>
      <c r="M120" t="s">
        <v>29</v>
      </c>
      <c r="N120">
        <f>ABS(L120-K120)/K120</f>
        <v>0.83571469445399638</v>
      </c>
      <c r="O120">
        <v>15.8631920814514</v>
      </c>
      <c r="P120" t="s">
        <v>30</v>
      </c>
      <c r="Q120">
        <v>189</v>
      </c>
      <c r="S120">
        <v>3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</row>
    <row r="121" spans="1:26" x14ac:dyDescent="0.25">
      <c r="A121" t="s">
        <v>67</v>
      </c>
      <c r="B121" t="str" cm="1">
        <f t="array" ref="B121:F121">_xlfn.TEXTSPLIT(A121,"_")</f>
        <v>MVPRP</v>
      </c>
      <c r="C121" t="str">
        <v>C40</v>
      </c>
      <c r="D121" t="str">
        <v>P6</v>
      </c>
      <c r="E121" t="str">
        <v>V4</v>
      </c>
      <c r="F121" t="str">
        <v>I1</v>
      </c>
      <c r="G121" t="s">
        <v>101</v>
      </c>
      <c r="H121" t="s">
        <v>28</v>
      </c>
      <c r="I121" t="str">
        <f t="shared" si="6"/>
        <v>NODE_LIMIT</v>
      </c>
      <c r="J121">
        <v>96950.6</v>
      </c>
      <c r="K121">
        <f t="shared" si="7"/>
        <v>96950.6</v>
      </c>
      <c r="L121">
        <v>95929.192018910893</v>
      </c>
      <c r="M121">
        <v>1.053534460941E-2</v>
      </c>
      <c r="N121">
        <f>ABS(L121-K121)/K121</f>
        <v>1.0535344609410489E-2</v>
      </c>
      <c r="O121">
        <v>96.842208862304702</v>
      </c>
      <c r="P121" t="s">
        <v>119</v>
      </c>
      <c r="Q121">
        <v>270</v>
      </c>
      <c r="S121">
        <v>3</v>
      </c>
      <c r="T121">
        <v>6000</v>
      </c>
      <c r="U121">
        <v>55170</v>
      </c>
      <c r="V121">
        <v>25858</v>
      </c>
      <c r="W121">
        <v>9922.6</v>
      </c>
      <c r="X121">
        <v>-1</v>
      </c>
      <c r="Y121">
        <v>-1</v>
      </c>
      <c r="Z121">
        <v>-1</v>
      </c>
    </row>
    <row r="122" spans="1:26" x14ac:dyDescent="0.25">
      <c r="A122" t="s">
        <v>72</v>
      </c>
      <c r="B122" t="str" cm="1">
        <f t="array" ref="B122:F122">_xlfn.TEXTSPLIT(A122,"_")</f>
        <v>MVPRP</v>
      </c>
      <c r="C122" t="str">
        <v>C30</v>
      </c>
      <c r="D122" t="str">
        <v>P9</v>
      </c>
      <c r="E122" t="str">
        <v>V3</v>
      </c>
      <c r="F122" t="str">
        <v>I1</v>
      </c>
      <c r="G122" t="s">
        <v>101</v>
      </c>
      <c r="H122" t="s">
        <v>28</v>
      </c>
      <c r="I122" t="str">
        <f t="shared" si="6"/>
        <v>inf</v>
      </c>
      <c r="J122" t="s">
        <v>29</v>
      </c>
      <c r="K122">
        <f t="shared" si="7"/>
        <v>500000</v>
      </c>
      <c r="L122">
        <v>108620.693250878</v>
      </c>
      <c r="M122" t="s">
        <v>29</v>
      </c>
      <c r="N122">
        <f>ABS(L122-K122)/K122</f>
        <v>0.78275861349824394</v>
      </c>
      <c r="O122">
        <v>68.532445907592802</v>
      </c>
      <c r="P122" t="s">
        <v>30</v>
      </c>
      <c r="Q122">
        <v>228</v>
      </c>
      <c r="S122">
        <v>3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</row>
    <row r="123" spans="1:26" x14ac:dyDescent="0.25">
      <c r="A123" t="s">
        <v>73</v>
      </c>
      <c r="B123" t="str" cm="1">
        <f t="array" ref="B123:F123">_xlfn.TEXTSPLIT(A123,"_")</f>
        <v>MVPRP</v>
      </c>
      <c r="C123" t="str">
        <v>C25</v>
      </c>
      <c r="D123" t="str">
        <v>P6</v>
      </c>
      <c r="E123" t="str">
        <v>V2</v>
      </c>
      <c r="F123" t="str">
        <v>I1</v>
      </c>
      <c r="G123" t="s">
        <v>101</v>
      </c>
      <c r="H123" t="s">
        <v>28</v>
      </c>
      <c r="I123" t="str">
        <f t="shared" si="6"/>
        <v>inf</v>
      </c>
      <c r="J123" t="s">
        <v>29</v>
      </c>
      <c r="K123">
        <f t="shared" si="7"/>
        <v>500000</v>
      </c>
      <c r="L123">
        <v>58430.950652498002</v>
      </c>
      <c r="M123" t="s">
        <v>29</v>
      </c>
      <c r="N123">
        <f>ABS(L123-K123)/K123</f>
        <v>0.88313809869500404</v>
      </c>
      <c r="O123">
        <v>10.74991106987</v>
      </c>
      <c r="P123" t="s">
        <v>30</v>
      </c>
      <c r="Q123">
        <v>283</v>
      </c>
      <c r="S123">
        <v>3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</row>
    <row r="124" spans="1:26" x14ac:dyDescent="0.25">
      <c r="A124" t="s">
        <v>74</v>
      </c>
      <c r="B124" t="str" cm="1">
        <f t="array" ref="B124:F124">_xlfn.TEXTSPLIT(A124,"_")</f>
        <v>MVPRP</v>
      </c>
      <c r="C124" t="str">
        <v>C10</v>
      </c>
      <c r="D124" t="str">
        <v>P9</v>
      </c>
      <c r="E124" t="str">
        <v>V3</v>
      </c>
      <c r="F124" t="str">
        <v>I1</v>
      </c>
      <c r="G124" t="s">
        <v>101</v>
      </c>
      <c r="H124" t="s">
        <v>28</v>
      </c>
      <c r="I124" t="str">
        <f t="shared" si="6"/>
        <v>inf</v>
      </c>
      <c r="J124" t="s">
        <v>29</v>
      </c>
      <c r="K124">
        <f t="shared" si="7"/>
        <v>500000</v>
      </c>
      <c r="L124">
        <v>51243.0209239865</v>
      </c>
      <c r="M124" t="s">
        <v>29</v>
      </c>
      <c r="N124">
        <f>ABS(L124-K124)/K124</f>
        <v>0.89751395815202695</v>
      </c>
      <c r="O124">
        <v>3.7158751487731898</v>
      </c>
      <c r="P124" t="s">
        <v>30</v>
      </c>
      <c r="Q124">
        <v>132</v>
      </c>
      <c r="S124">
        <v>3</v>
      </c>
      <c r="T124">
        <v>-1</v>
      </c>
      <c r="U124">
        <v>-1</v>
      </c>
      <c r="V124">
        <v>-1</v>
      </c>
      <c r="W124">
        <v>-1</v>
      </c>
      <c r="X124">
        <v>-1</v>
      </c>
      <c r="Y124">
        <v>-1</v>
      </c>
      <c r="Z124">
        <v>-1</v>
      </c>
    </row>
    <row r="125" spans="1:26" x14ac:dyDescent="0.25">
      <c r="A125" t="s">
        <v>75</v>
      </c>
      <c r="B125" t="str" cm="1">
        <f t="array" ref="B125:F125">_xlfn.TEXTSPLIT(A125,"_")</f>
        <v>MVPRP</v>
      </c>
      <c r="C125" t="str">
        <v>C20</v>
      </c>
      <c r="D125" t="str">
        <v>P9</v>
      </c>
      <c r="E125" t="str">
        <v>V2</v>
      </c>
      <c r="F125" t="str">
        <v>I1</v>
      </c>
      <c r="G125" t="s">
        <v>101</v>
      </c>
      <c r="H125" t="s">
        <v>28</v>
      </c>
      <c r="I125" t="str">
        <f t="shared" si="6"/>
        <v>inf</v>
      </c>
      <c r="J125" t="s">
        <v>29</v>
      </c>
      <c r="K125">
        <f t="shared" si="7"/>
        <v>500000</v>
      </c>
      <c r="L125">
        <v>85884.495900861293</v>
      </c>
      <c r="M125" t="s">
        <v>29</v>
      </c>
      <c r="N125">
        <f>ABS(L125-K125)/K125</f>
        <v>0.82823100819827744</v>
      </c>
      <c r="O125">
        <v>14.148878812789899</v>
      </c>
      <c r="P125" t="s">
        <v>30</v>
      </c>
      <c r="Q125">
        <v>283</v>
      </c>
      <c r="S125">
        <v>3</v>
      </c>
      <c r="T125">
        <v>-1</v>
      </c>
      <c r="U125">
        <v>-1</v>
      </c>
      <c r="V125">
        <v>-1</v>
      </c>
      <c r="W125">
        <v>-1</v>
      </c>
      <c r="X125">
        <v>-1</v>
      </c>
      <c r="Y125">
        <v>-1</v>
      </c>
      <c r="Z125">
        <v>-1</v>
      </c>
    </row>
    <row r="126" spans="1:26" x14ac:dyDescent="0.25">
      <c r="A126" t="s">
        <v>76</v>
      </c>
      <c r="B126" t="str" cm="1">
        <f t="array" ref="B126:F126">_xlfn.TEXTSPLIT(A126,"_")</f>
        <v>MVPRP</v>
      </c>
      <c r="C126" t="str">
        <v>C30</v>
      </c>
      <c r="D126" t="str">
        <v>P3</v>
      </c>
      <c r="E126" t="str">
        <v>V3</v>
      </c>
      <c r="F126" t="str">
        <v>I1</v>
      </c>
      <c r="G126" t="s">
        <v>101</v>
      </c>
      <c r="H126" t="s">
        <v>28</v>
      </c>
      <c r="I126" t="str">
        <f t="shared" si="6"/>
        <v>inf</v>
      </c>
      <c r="J126" t="s">
        <v>29</v>
      </c>
      <c r="K126">
        <f t="shared" si="7"/>
        <v>500000</v>
      </c>
      <c r="L126">
        <v>28532.996757765999</v>
      </c>
      <c r="M126" t="s">
        <v>29</v>
      </c>
      <c r="N126">
        <f>ABS(L126-K126)/K126</f>
        <v>0.94293400648446801</v>
      </c>
      <c r="O126">
        <v>7.5364928245544398</v>
      </c>
      <c r="P126" t="s">
        <v>30</v>
      </c>
      <c r="Q126">
        <v>228</v>
      </c>
      <c r="S126">
        <v>3</v>
      </c>
      <c r="T126">
        <v>-1</v>
      </c>
      <c r="U126">
        <v>-1</v>
      </c>
      <c r="V126">
        <v>-1</v>
      </c>
      <c r="W126">
        <v>-1</v>
      </c>
      <c r="X126">
        <v>-1</v>
      </c>
      <c r="Y126">
        <v>-1</v>
      </c>
      <c r="Z126">
        <v>-1</v>
      </c>
    </row>
    <row r="127" spans="1:26" x14ac:dyDescent="0.25">
      <c r="A127" t="s">
        <v>77</v>
      </c>
      <c r="B127" t="str" cm="1">
        <f t="array" ref="B127:F127">_xlfn.TEXTSPLIT(A127,"_")</f>
        <v>MVPRP</v>
      </c>
      <c r="C127" t="str">
        <v>C50</v>
      </c>
      <c r="D127" t="str">
        <v>P3</v>
      </c>
      <c r="E127" t="str">
        <v>V4</v>
      </c>
      <c r="F127" t="str">
        <v>I1</v>
      </c>
      <c r="G127" t="s">
        <v>101</v>
      </c>
      <c r="H127" t="s">
        <v>28</v>
      </c>
      <c r="I127" t="str">
        <f t="shared" si="6"/>
        <v>NODE_LIMIT</v>
      </c>
      <c r="J127">
        <v>47465</v>
      </c>
      <c r="K127">
        <f t="shared" si="7"/>
        <v>47465</v>
      </c>
      <c r="L127">
        <v>46694.230595632398</v>
      </c>
      <c r="M127">
        <v>1.6238689652746701E-2</v>
      </c>
      <c r="N127">
        <f>ABS(L127-K127)/K127</f>
        <v>1.6238689652746274E-2</v>
      </c>
      <c r="O127">
        <v>285.88621282577498</v>
      </c>
      <c r="P127" t="s">
        <v>120</v>
      </c>
      <c r="Q127">
        <v>270</v>
      </c>
      <c r="S127">
        <v>3</v>
      </c>
      <c r="T127">
        <v>6000</v>
      </c>
      <c r="U127">
        <v>29580</v>
      </c>
      <c r="V127">
        <v>5621</v>
      </c>
      <c r="W127">
        <v>6264</v>
      </c>
      <c r="X127">
        <v>-1</v>
      </c>
      <c r="Y127">
        <v>-1</v>
      </c>
      <c r="Z127">
        <v>-1</v>
      </c>
    </row>
    <row r="128" spans="1:26" x14ac:dyDescent="0.25">
      <c r="I128">
        <f t="shared" ref="I128:I152" si="8">IF(J128="inf","inf",H128)</f>
        <v>0</v>
      </c>
    </row>
    <row r="129" spans="9:9" x14ac:dyDescent="0.25">
      <c r="I129">
        <f t="shared" si="8"/>
        <v>0</v>
      </c>
    </row>
    <row r="130" spans="9:9" x14ac:dyDescent="0.25">
      <c r="I130">
        <f t="shared" si="8"/>
        <v>0</v>
      </c>
    </row>
    <row r="131" spans="9:9" x14ac:dyDescent="0.25">
      <c r="I131">
        <f t="shared" si="8"/>
        <v>0</v>
      </c>
    </row>
    <row r="132" spans="9:9" x14ac:dyDescent="0.25">
      <c r="I132">
        <f t="shared" si="8"/>
        <v>0</v>
      </c>
    </row>
    <row r="133" spans="9:9" x14ac:dyDescent="0.25">
      <c r="I133">
        <f t="shared" si="8"/>
        <v>0</v>
      </c>
    </row>
    <row r="134" spans="9:9" x14ac:dyDescent="0.25">
      <c r="I134">
        <f t="shared" si="8"/>
        <v>0</v>
      </c>
    </row>
    <row r="135" spans="9:9" x14ac:dyDescent="0.25">
      <c r="I135">
        <f t="shared" si="8"/>
        <v>0</v>
      </c>
    </row>
    <row r="136" spans="9:9" x14ac:dyDescent="0.25">
      <c r="I136">
        <f t="shared" si="8"/>
        <v>0</v>
      </c>
    </row>
    <row r="137" spans="9:9" x14ac:dyDescent="0.25">
      <c r="I137">
        <f t="shared" si="8"/>
        <v>0</v>
      </c>
    </row>
    <row r="138" spans="9:9" x14ac:dyDescent="0.25">
      <c r="I138">
        <f t="shared" si="8"/>
        <v>0</v>
      </c>
    </row>
    <row r="139" spans="9:9" x14ac:dyDescent="0.25">
      <c r="I139">
        <f t="shared" si="8"/>
        <v>0</v>
      </c>
    </row>
    <row r="140" spans="9:9" x14ac:dyDescent="0.25">
      <c r="I140">
        <f t="shared" si="8"/>
        <v>0</v>
      </c>
    </row>
    <row r="141" spans="9:9" x14ac:dyDescent="0.25">
      <c r="I141">
        <f t="shared" si="8"/>
        <v>0</v>
      </c>
    </row>
    <row r="142" spans="9:9" x14ac:dyDescent="0.25">
      <c r="I142">
        <f t="shared" si="8"/>
        <v>0</v>
      </c>
    </row>
    <row r="143" spans="9:9" x14ac:dyDescent="0.25">
      <c r="I143">
        <f t="shared" si="8"/>
        <v>0</v>
      </c>
    </row>
    <row r="144" spans="9:9" x14ac:dyDescent="0.25">
      <c r="I144">
        <f t="shared" si="8"/>
        <v>0</v>
      </c>
    </row>
    <row r="145" spans="9:9" x14ac:dyDescent="0.25">
      <c r="I145">
        <f t="shared" si="8"/>
        <v>0</v>
      </c>
    </row>
    <row r="146" spans="9:9" x14ac:dyDescent="0.25">
      <c r="I146">
        <f t="shared" si="8"/>
        <v>0</v>
      </c>
    </row>
    <row r="147" spans="9:9" x14ac:dyDescent="0.25">
      <c r="I147">
        <f t="shared" si="8"/>
        <v>0</v>
      </c>
    </row>
    <row r="148" spans="9:9" x14ac:dyDescent="0.25">
      <c r="I148">
        <f t="shared" si="8"/>
        <v>0</v>
      </c>
    </row>
    <row r="149" spans="9:9" x14ac:dyDescent="0.25">
      <c r="I149">
        <f t="shared" si="8"/>
        <v>0</v>
      </c>
    </row>
    <row r="150" spans="9:9" x14ac:dyDescent="0.25">
      <c r="I150">
        <f t="shared" si="8"/>
        <v>0</v>
      </c>
    </row>
    <row r="151" spans="9:9" x14ac:dyDescent="0.25">
      <c r="I151">
        <f t="shared" si="8"/>
        <v>0</v>
      </c>
    </row>
    <row r="152" spans="9:9" x14ac:dyDescent="0.25">
      <c r="I152">
        <f t="shared" si="8"/>
        <v>0</v>
      </c>
    </row>
    <row r="153" spans="9:9" x14ac:dyDescent="0.25">
      <c r="I153">
        <f t="shared" ref="I153:I215" si="9">IF(J153="inf","inf",H153)</f>
        <v>0</v>
      </c>
    </row>
    <row r="154" spans="9:9" x14ac:dyDescent="0.25">
      <c r="I154">
        <f t="shared" si="9"/>
        <v>0</v>
      </c>
    </row>
    <row r="155" spans="9:9" x14ac:dyDescent="0.25">
      <c r="I155">
        <f t="shared" si="9"/>
        <v>0</v>
      </c>
    </row>
    <row r="156" spans="9:9" x14ac:dyDescent="0.25">
      <c r="I156">
        <f t="shared" si="9"/>
        <v>0</v>
      </c>
    </row>
    <row r="157" spans="9:9" x14ac:dyDescent="0.25">
      <c r="I157">
        <f t="shared" si="9"/>
        <v>0</v>
      </c>
    </row>
    <row r="158" spans="9:9" x14ac:dyDescent="0.25">
      <c r="I158">
        <f t="shared" si="9"/>
        <v>0</v>
      </c>
    </row>
    <row r="159" spans="9:9" x14ac:dyDescent="0.25">
      <c r="I159">
        <f t="shared" si="9"/>
        <v>0</v>
      </c>
    </row>
    <row r="160" spans="9:9" x14ac:dyDescent="0.25">
      <c r="I160">
        <f t="shared" si="9"/>
        <v>0</v>
      </c>
    </row>
    <row r="161" spans="9:9" x14ac:dyDescent="0.25">
      <c r="I161">
        <f t="shared" si="9"/>
        <v>0</v>
      </c>
    </row>
    <row r="162" spans="9:9" x14ac:dyDescent="0.25">
      <c r="I162">
        <f t="shared" si="9"/>
        <v>0</v>
      </c>
    </row>
    <row r="163" spans="9:9" x14ac:dyDescent="0.25">
      <c r="I163">
        <f t="shared" si="9"/>
        <v>0</v>
      </c>
    </row>
    <row r="164" spans="9:9" x14ac:dyDescent="0.25">
      <c r="I164">
        <f t="shared" si="9"/>
        <v>0</v>
      </c>
    </row>
    <row r="165" spans="9:9" x14ac:dyDescent="0.25">
      <c r="I165">
        <f t="shared" si="9"/>
        <v>0</v>
      </c>
    </row>
    <row r="166" spans="9:9" x14ac:dyDescent="0.25">
      <c r="I166">
        <f t="shared" si="9"/>
        <v>0</v>
      </c>
    </row>
    <row r="167" spans="9:9" x14ac:dyDescent="0.25">
      <c r="I167">
        <f t="shared" si="9"/>
        <v>0</v>
      </c>
    </row>
    <row r="168" spans="9:9" x14ac:dyDescent="0.25">
      <c r="I168">
        <f t="shared" si="9"/>
        <v>0</v>
      </c>
    </row>
    <row r="169" spans="9:9" x14ac:dyDescent="0.25">
      <c r="I169">
        <f t="shared" si="9"/>
        <v>0</v>
      </c>
    </row>
    <row r="170" spans="9:9" x14ac:dyDescent="0.25">
      <c r="I170">
        <f t="shared" si="9"/>
        <v>0</v>
      </c>
    </row>
    <row r="171" spans="9:9" x14ac:dyDescent="0.25">
      <c r="I171">
        <f t="shared" si="9"/>
        <v>0</v>
      </c>
    </row>
    <row r="172" spans="9:9" x14ac:dyDescent="0.25">
      <c r="I172">
        <f t="shared" si="9"/>
        <v>0</v>
      </c>
    </row>
    <row r="173" spans="9:9" x14ac:dyDescent="0.25">
      <c r="I173">
        <f t="shared" si="9"/>
        <v>0</v>
      </c>
    </row>
    <row r="174" spans="9:9" x14ac:dyDescent="0.25">
      <c r="I174">
        <f t="shared" si="9"/>
        <v>0</v>
      </c>
    </row>
    <row r="175" spans="9:9" x14ac:dyDescent="0.25">
      <c r="I175">
        <f t="shared" si="9"/>
        <v>0</v>
      </c>
    </row>
    <row r="176" spans="9:9" x14ac:dyDescent="0.25">
      <c r="I176">
        <f t="shared" si="9"/>
        <v>0</v>
      </c>
    </row>
    <row r="177" spans="9:9" x14ac:dyDescent="0.25">
      <c r="I177">
        <f t="shared" si="9"/>
        <v>0</v>
      </c>
    </row>
    <row r="178" spans="9:9" x14ac:dyDescent="0.25">
      <c r="I178">
        <f t="shared" si="9"/>
        <v>0</v>
      </c>
    </row>
    <row r="179" spans="9:9" x14ac:dyDescent="0.25">
      <c r="I179">
        <f t="shared" si="9"/>
        <v>0</v>
      </c>
    </row>
    <row r="180" spans="9:9" x14ac:dyDescent="0.25">
      <c r="I180">
        <f t="shared" si="9"/>
        <v>0</v>
      </c>
    </row>
    <row r="181" spans="9:9" x14ac:dyDescent="0.25">
      <c r="I181">
        <f t="shared" si="9"/>
        <v>0</v>
      </c>
    </row>
    <row r="182" spans="9:9" x14ac:dyDescent="0.25">
      <c r="I182">
        <f t="shared" si="9"/>
        <v>0</v>
      </c>
    </row>
    <row r="183" spans="9:9" x14ac:dyDescent="0.25">
      <c r="I183">
        <f t="shared" si="9"/>
        <v>0</v>
      </c>
    </row>
    <row r="184" spans="9:9" x14ac:dyDescent="0.25">
      <c r="I184">
        <f t="shared" si="9"/>
        <v>0</v>
      </c>
    </row>
    <row r="185" spans="9:9" x14ac:dyDescent="0.25">
      <c r="I185">
        <f t="shared" si="9"/>
        <v>0</v>
      </c>
    </row>
    <row r="186" spans="9:9" x14ac:dyDescent="0.25">
      <c r="I186">
        <f t="shared" si="9"/>
        <v>0</v>
      </c>
    </row>
    <row r="187" spans="9:9" x14ac:dyDescent="0.25">
      <c r="I187">
        <f t="shared" si="9"/>
        <v>0</v>
      </c>
    </row>
    <row r="188" spans="9:9" x14ac:dyDescent="0.25">
      <c r="I188">
        <f t="shared" si="9"/>
        <v>0</v>
      </c>
    </row>
    <row r="189" spans="9:9" x14ac:dyDescent="0.25">
      <c r="I189">
        <f t="shared" si="9"/>
        <v>0</v>
      </c>
    </row>
    <row r="190" spans="9:9" x14ac:dyDescent="0.25">
      <c r="I190">
        <f t="shared" si="9"/>
        <v>0</v>
      </c>
    </row>
    <row r="191" spans="9:9" x14ac:dyDescent="0.25">
      <c r="I191">
        <f t="shared" si="9"/>
        <v>0</v>
      </c>
    </row>
    <row r="192" spans="9:9" x14ac:dyDescent="0.25">
      <c r="I192">
        <f t="shared" si="9"/>
        <v>0</v>
      </c>
    </row>
    <row r="193" spans="9:9" x14ac:dyDescent="0.25">
      <c r="I193">
        <f t="shared" si="9"/>
        <v>0</v>
      </c>
    </row>
    <row r="194" spans="9:9" x14ac:dyDescent="0.25">
      <c r="I194">
        <f t="shared" si="9"/>
        <v>0</v>
      </c>
    </row>
    <row r="195" spans="9:9" x14ac:dyDescent="0.25">
      <c r="I195">
        <f t="shared" si="9"/>
        <v>0</v>
      </c>
    </row>
    <row r="196" spans="9:9" x14ac:dyDescent="0.25">
      <c r="I196">
        <f t="shared" si="9"/>
        <v>0</v>
      </c>
    </row>
    <row r="197" spans="9:9" x14ac:dyDescent="0.25">
      <c r="I197">
        <f t="shared" si="9"/>
        <v>0</v>
      </c>
    </row>
    <row r="198" spans="9:9" x14ac:dyDescent="0.25">
      <c r="I198">
        <f t="shared" si="9"/>
        <v>0</v>
      </c>
    </row>
    <row r="199" spans="9:9" x14ac:dyDescent="0.25">
      <c r="I199">
        <f t="shared" si="9"/>
        <v>0</v>
      </c>
    </row>
    <row r="200" spans="9:9" x14ac:dyDescent="0.25">
      <c r="I200">
        <f t="shared" si="9"/>
        <v>0</v>
      </c>
    </row>
    <row r="201" spans="9:9" x14ac:dyDescent="0.25">
      <c r="I201">
        <f t="shared" si="9"/>
        <v>0</v>
      </c>
    </row>
    <row r="202" spans="9:9" x14ac:dyDescent="0.25">
      <c r="I202">
        <f t="shared" si="9"/>
        <v>0</v>
      </c>
    </row>
    <row r="203" spans="9:9" x14ac:dyDescent="0.25">
      <c r="I203">
        <f t="shared" si="9"/>
        <v>0</v>
      </c>
    </row>
    <row r="204" spans="9:9" x14ac:dyDescent="0.25">
      <c r="I204">
        <f t="shared" si="9"/>
        <v>0</v>
      </c>
    </row>
    <row r="205" spans="9:9" x14ac:dyDescent="0.25">
      <c r="I205">
        <f t="shared" si="9"/>
        <v>0</v>
      </c>
    </row>
    <row r="206" spans="9:9" x14ac:dyDescent="0.25">
      <c r="I206">
        <f t="shared" si="9"/>
        <v>0</v>
      </c>
    </row>
    <row r="207" spans="9:9" x14ac:dyDescent="0.25">
      <c r="I207">
        <f t="shared" si="9"/>
        <v>0</v>
      </c>
    </row>
    <row r="208" spans="9:9" x14ac:dyDescent="0.25">
      <c r="I208">
        <f t="shared" si="9"/>
        <v>0</v>
      </c>
    </row>
    <row r="209" spans="9:9" x14ac:dyDescent="0.25">
      <c r="I209">
        <f t="shared" si="9"/>
        <v>0</v>
      </c>
    </row>
    <row r="210" spans="9:9" x14ac:dyDescent="0.25">
      <c r="I210">
        <f t="shared" si="9"/>
        <v>0</v>
      </c>
    </row>
    <row r="211" spans="9:9" x14ac:dyDescent="0.25">
      <c r="I211">
        <f t="shared" si="9"/>
        <v>0</v>
      </c>
    </row>
    <row r="212" spans="9:9" x14ac:dyDescent="0.25">
      <c r="I212">
        <f t="shared" si="9"/>
        <v>0</v>
      </c>
    </row>
    <row r="213" spans="9:9" x14ac:dyDescent="0.25">
      <c r="I213">
        <f t="shared" si="9"/>
        <v>0</v>
      </c>
    </row>
    <row r="214" spans="9:9" x14ac:dyDescent="0.25">
      <c r="I214">
        <f t="shared" si="9"/>
        <v>0</v>
      </c>
    </row>
    <row r="215" spans="9:9" x14ac:dyDescent="0.25">
      <c r="I215">
        <f t="shared" si="9"/>
        <v>0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Tabelle2</vt:lpstr>
      <vt:lpstr>Tabelle5</vt:lpstr>
      <vt:lpstr>benders_bc_ParetoOpt_DelayedSol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Rocha, Luis</cp:lastModifiedBy>
  <cp:revision>1</cp:revision>
  <dcterms:created xsi:type="dcterms:W3CDTF">2026-02-04T16:10:37Z</dcterms:created>
  <dcterms:modified xsi:type="dcterms:W3CDTF">2026-02-04T16:11:16Z</dcterms:modified>
  <dc:language>en-US</dc:language>
</cp:coreProperties>
</file>