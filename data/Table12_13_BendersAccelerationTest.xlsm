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C:\Users\un_po\Dropbox\Canada documents\04_ComputationalExperiments\BendersTest\"/>
    </mc:Choice>
  </mc:AlternateContent>
  <xr:revisionPtr revIDLastSave="0" documentId="13_ncr:1_{82CBB854-1B91-4CCD-BBE0-2136642581C0}" xr6:coauthVersionLast="47" xr6:coauthVersionMax="47" xr10:uidLastSave="{00000000-0000-0000-0000-000000000000}"/>
  <bookViews>
    <workbookView xWindow="-120" yWindow="-120" windowWidth="38640" windowHeight="21120" tabRatio="500" activeTab="1" xr2:uid="{00000000-000D-0000-FFFF-FFFF00000000}"/>
  </bookViews>
  <sheets>
    <sheet name="Sheet1" sheetId="4" r:id="rId1"/>
    <sheet name="Table Paper" sheetId="5" r:id="rId2"/>
    <sheet name="benders_bc_ParetoOpt_DelayedSol" sheetId="1" r:id="rId3"/>
    <sheet name="Pivot Table_benders_bc_ParetoOp" sheetId="2" r:id="rId4"/>
    <sheet name="Pivot Table_benders_bc_Pareto-1" sheetId="3" r:id="rId5"/>
  </sheets>
  <definedNames>
    <definedName name="_xlnm._FilterDatabase" localSheetId="2" hidden="1">benders_bc_ParetoOpt_DelayedSol!$A$1:$A$145</definedName>
  </definedNames>
  <calcPr calcId="191029"/>
  <pivotCaches>
    <pivotCache cacheId="1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3" i="1" l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B86" i="1" a="1"/>
  <c r="B86" i="1" s="1"/>
  <c r="B87" i="1" a="1"/>
  <c r="B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B93" i="1" a="1"/>
  <c r="B93" i="1" s="1"/>
  <c r="B94" i="1" a="1"/>
  <c r="B94" i="1" s="1"/>
  <c r="B95" i="1" a="1"/>
  <c r="B95" i="1" s="1"/>
  <c r="B96" i="1" a="1"/>
  <c r="B96" i="1" s="1"/>
  <c r="B97" i="1" a="1"/>
  <c r="B97" i="1" s="1"/>
  <c r="B98" i="1" a="1"/>
  <c r="B98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4" i="1" a="1"/>
  <c r="B104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2" i="1" a="1"/>
  <c r="B112" i="1" s="1"/>
  <c r="B113" i="1" a="1"/>
  <c r="B113" i="1" s="1"/>
  <c r="B114" i="1" a="1"/>
  <c r="B114" i="1" s="1"/>
  <c r="B115" i="1" a="1"/>
  <c r="B115" i="1" s="1"/>
  <c r="B116" i="1" a="1"/>
  <c r="B116" i="1" s="1"/>
  <c r="B117" i="1" a="1"/>
  <c r="B117" i="1" s="1"/>
  <c r="B118" i="1" a="1"/>
  <c r="B118" i="1" s="1"/>
  <c r="B119" i="1" a="1"/>
  <c r="B119" i="1" s="1"/>
  <c r="B120" i="1" a="1"/>
  <c r="B120" i="1" s="1"/>
  <c r="B121" i="1" a="1"/>
  <c r="B121" i="1" s="1"/>
  <c r="B122" i="1" a="1"/>
  <c r="B122" i="1" s="1"/>
  <c r="B123" i="1" a="1"/>
  <c r="B123" i="1" s="1"/>
  <c r="B124" i="1" a="1"/>
  <c r="B124" i="1" s="1"/>
  <c r="B125" i="1" a="1"/>
  <c r="B125" i="1" s="1"/>
  <c r="B126" i="1" a="1"/>
  <c r="B126" i="1" s="1"/>
  <c r="B127" i="1" a="1"/>
  <c r="B127" i="1" s="1"/>
  <c r="B128" i="1" a="1"/>
  <c r="B128" i="1" s="1"/>
  <c r="B129" i="1" a="1"/>
  <c r="B129" i="1" s="1"/>
  <c r="B130" i="1" a="1"/>
  <c r="B130" i="1" s="1"/>
  <c r="B131" i="1" a="1"/>
  <c r="B131" i="1" s="1"/>
  <c r="B132" i="1" a="1"/>
  <c r="B132" i="1" s="1"/>
  <c r="B133" i="1" a="1"/>
  <c r="B133" i="1" s="1"/>
  <c r="B134" i="1" a="1"/>
  <c r="B134" i="1" s="1"/>
  <c r="B135" i="1" a="1"/>
  <c r="B135" i="1" s="1"/>
  <c r="B136" i="1" a="1"/>
  <c r="B136" i="1" s="1"/>
  <c r="B137" i="1" a="1"/>
  <c r="B137" i="1" s="1"/>
  <c r="B138" i="1" a="1"/>
  <c r="B138" i="1" s="1"/>
  <c r="B139" i="1" a="1"/>
  <c r="B139" i="1" s="1"/>
  <c r="B140" i="1" a="1"/>
  <c r="B140" i="1" s="1"/>
  <c r="B141" i="1" a="1"/>
  <c r="B141" i="1" s="1"/>
  <c r="B142" i="1" a="1"/>
  <c r="B142" i="1" s="1"/>
  <c r="B143" i="1" a="1"/>
  <c r="B143" i="1" s="1"/>
  <c r="B144" i="1" a="1"/>
  <c r="B144" i="1" s="1"/>
  <c r="B145" i="1" a="1"/>
  <c r="B145" i="1" s="1"/>
  <c r="B2" i="1" a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<sst xmlns="http://schemas.openxmlformats.org/spreadsheetml/2006/main" count="717" uniqueCount="78">
  <si>
    <t>instance</t>
  </si>
  <si>
    <t>Model</t>
  </si>
  <si>
    <t>status</t>
  </si>
  <si>
    <t>ObjVal</t>
  </si>
  <si>
    <t>ObjBound</t>
  </si>
  <si>
    <t>Gap</t>
  </si>
  <si>
    <t>runtime</t>
  </si>
  <si>
    <t>period_vehicle</t>
  </si>
  <si>
    <t>Q</t>
  </si>
  <si>
    <t>error</t>
  </si>
  <si>
    <t>fixed_prod_cost</t>
  </si>
  <si>
    <t>variable_prod_cost</t>
  </si>
  <si>
    <t>inv_hold_cost</t>
  </si>
  <si>
    <t>routing_cost</t>
  </si>
  <si>
    <t>recourse_cost</t>
  </si>
  <si>
    <t>unused_routing_cost</t>
  </si>
  <si>
    <t>expected_cost_diff</t>
  </si>
  <si>
    <t>benders_cuts</t>
  </si>
  <si>
    <t>lfcc</t>
  </si>
  <si>
    <t>ufcc</t>
  </si>
  <si>
    <t>lsec</t>
  </si>
  <si>
    <t>usec</t>
  </si>
  <si>
    <t>l_st_time</t>
  </si>
  <si>
    <t>u_st_time</t>
  </si>
  <si>
    <t>l_fcc_time</t>
  </si>
  <si>
    <t>u_fcc_time</t>
  </si>
  <si>
    <t>l_benders</t>
  </si>
  <si>
    <t>MVPRP_C20_P3_V2_I1.dat</t>
  </si>
  <si>
    <t>benders_bc_disaggregate_MW_paretoOpt_delayedPool_rg3_MIPstart_NoNorm</t>
  </si>
  <si>
    <t>OPTIMAL</t>
  </si>
  <si>
    <t>[]</t>
  </si>
  <si>
    <t>MVPRP_C10_P9_V2_I1.dat</t>
  </si>
  <si>
    <t>MVPRP_C15_P3_V2_I1.dat</t>
  </si>
  <si>
    <t>MVPRP_C10_P3_V2_I1.dat</t>
  </si>
  <si>
    <t>MVPRP_C15_P9_V2_I1.dat</t>
  </si>
  <si>
    <t>TIME_LIMIT</t>
  </si>
  <si>
    <t>MVPRP_C10_P6_V2_I1.dat</t>
  </si>
  <si>
    <t>MVPRP_C15_P6_V2_I1.dat</t>
  </si>
  <si>
    <t>MVPRP_C20_P6_V2_I1.dat</t>
  </si>
  <si>
    <t>MVPRP_C25_P9_V2_I1.dat</t>
  </si>
  <si>
    <t>MVPRP_C25_P3_V2_I1.dat</t>
  </si>
  <si>
    <t>MVPRP_C25_P6_V2_I1.dat</t>
  </si>
  <si>
    <t>MVPRP_C20_P9_V2_I1.dat</t>
  </si>
  <si>
    <t>benders_bc_disaggregate_MW_paretoOpt_delayedPool_rg3_MIPstart_withNorm</t>
  </si>
  <si>
    <t>benders_bc_disaggregate_MW_paretoOpt_noSOlInj_rg3_MIPstart</t>
  </si>
  <si>
    <t>benders_bc_disaggregate_MW_delayedPool_rg3_MIPstart_noPareto</t>
  </si>
  <si>
    <t>Average - Gap</t>
  </si>
  <si>
    <t>Average - runtime</t>
  </si>
  <si>
    <t>Average - benders_cuts</t>
  </si>
  <si>
    <t>Average - l_benders</t>
  </si>
  <si>
    <t>Values</t>
  </si>
  <si>
    <t>Grand Total</t>
  </si>
  <si>
    <t>Ins String</t>
  </si>
  <si>
    <t>Customers</t>
  </si>
  <si>
    <t>Periods</t>
  </si>
  <si>
    <t>MED</t>
  </si>
  <si>
    <t>Inst Type</t>
  </si>
  <si>
    <t>Count - status*</t>
  </si>
  <si>
    <t>Row Labels</t>
  </si>
  <si>
    <t>V2</t>
  </si>
  <si>
    <t>P3</t>
  </si>
  <si>
    <t>P6</t>
  </si>
  <si>
    <t>P9</t>
  </si>
  <si>
    <t>Column Labels</t>
  </si>
  <si>
    <t>Average of ObjVal</t>
  </si>
  <si>
    <t>Average of ObjBound</t>
  </si>
  <si>
    <t>Average of Gap</t>
  </si>
  <si>
    <t>Average of runtime</t>
  </si>
  <si>
    <t>Average of benders_cuts</t>
  </si>
  <si>
    <t>Accelerated Benders</t>
  </si>
  <si>
    <t>No Pareto Opt Cut</t>
  </si>
  <si>
    <t>No Cut Scaling</t>
  </si>
  <si>
    <t>No Sol Inject</t>
  </si>
  <si>
    <t>Period</t>
  </si>
  <si>
    <t>UB</t>
  </si>
  <si>
    <t>LB</t>
  </si>
  <si>
    <t>CT[s]</t>
  </si>
  <si>
    <t>Opt Cuts [#]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</si>
</sst>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1"/>
    </font>
    <font>
      <b/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Border="0" applyProtection="0">
      <alignment horizontal="left"/>
    </xf>
    <xf numFmtId="0" fontId="2" fillId="0" borderId="0" applyBorder="0" applyProtection="0"/>
    <xf numFmtId="0" fontId="2" fillId="0" borderId="0" applyBorder="0" applyProtection="0"/>
    <xf numFmtId="0" fontId="1" fillId="0" borderId="0" applyBorder="0" applyProtection="0"/>
    <xf numFmtId="0" fontId="1" fillId="0" borderId="0" applyBorder="0" applyProtection="0">
      <alignment horizontal="left"/>
    </xf>
    <xf numFmtId="0" fontId="2" fillId="0" borderId="0" applyBorder="0" applyProtection="0"/>
  </cellStyleXfs>
  <cellXfs count="11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2" fontId="0" fillId="0" borderId="0" xfId="0" applyNumberFormat="1"/>
    <xf numFmtId="0" fontId="3" fillId="0" borderId="0" xfId="0" applyFont="1"/>
    <xf numFmtId="1" fontId="3" fillId="0" borderId="0" xfId="0" applyNumberFormat="1" applyFont="1"/>
    <xf numFmtId="2" fontId="3" fillId="0" borderId="0" xfId="0" applyNumberFormat="1" applyFont="1"/>
    <xf numFmtId="0" fontId="3" fillId="0" borderId="0" xfId="0" applyFont="1" applyAlignment="1">
      <alignment horizontal="center"/>
    </xf>
  </cellXfs>
  <cellStyles count="7">
    <cellStyle name="Normal" xfId="0" builtinId="0"/>
    <cellStyle name="Pivot Table Category" xfId="1" xr:uid="{00000000-0005-0000-0000-000006000000}"/>
    <cellStyle name="Pivot Table Corner" xfId="2" xr:uid="{00000000-0005-0000-0000-000007000000}"/>
    <cellStyle name="Pivot Table Field" xfId="3" xr:uid="{00000000-0005-0000-0000-000008000000}"/>
    <cellStyle name="Pivot Table Result" xfId="4" xr:uid="{00000000-0005-0000-0000-000009000000}"/>
    <cellStyle name="Pivot Table Title" xfId="5" xr:uid="{00000000-0005-0000-0000-00000A000000}"/>
    <cellStyle name="Pivot Table Value" xfId="6" xr:uid="{00000000-0005-0000-0000-00000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[benders_bc_ParetoOpt_DelayedSolInjection_TestAcc_Average.xlsm]Sheet1!PivotTable1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Sheet1!$B$1:$B$3</c:f>
              <c:strCache>
                <c:ptCount val="1"/>
                <c:pt idx="0">
                  <c:v>benders_bc_disaggregate_MW_delayedPool_rg3_MIPstart_noPareto - Average of ObjVal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Sheet1!$B$4:$B$8</c:f>
              <c:numCache>
                <c:formatCode>General</c:formatCode>
                <c:ptCount val="3"/>
                <c:pt idx="0">
                  <c:v>21530.12794464075</c:v>
                </c:pt>
                <c:pt idx="1">
                  <c:v>45527.999993831116</c:v>
                </c:pt>
                <c:pt idx="2">
                  <c:v>81811.824940304665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B-43FE-8EC8-6DAFF6CAF68C}"/>
            </c:ext>
          </c:extLst>
        </c:ser>
        <c:ser>
          <c:idx val="1"/>
          <c:order val="1"/>
          <c:tx>
            <c:strRef>
              <c:f>Sheet1!$C$1:$C$3</c:f>
              <c:strCache>
                <c:ptCount val="1"/>
                <c:pt idx="0">
                  <c:v>benders_bc_disaggregate_MW_delayedPool_rg3_MIPstart_noPareto - Average of ObjBound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Sheet1!$C$4:$C$8</c:f>
              <c:numCache>
                <c:formatCode>General</c:formatCode>
                <c:ptCount val="3"/>
                <c:pt idx="0">
                  <c:v>21530.046262305503</c:v>
                </c:pt>
                <c:pt idx="1">
                  <c:v>45505.106358900703</c:v>
                </c:pt>
                <c:pt idx="2">
                  <c:v>79381.321424486465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B-43FE-8EC8-6DAFF6CAF68C}"/>
            </c:ext>
          </c:extLst>
        </c:ser>
        <c:ser>
          <c:idx val="2"/>
          <c:order val="2"/>
          <c:tx>
            <c:strRef>
              <c:f>Sheet1!$D$1:$D$3</c:f>
              <c:strCache>
                <c:ptCount val="1"/>
                <c:pt idx="0">
                  <c:v>benders_bc_disaggregate_MW_delayedPool_rg3_MIPstart_noPareto - Average of Gap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Sheet1!$D$4:$D$8</c:f>
              <c:numCache>
                <c:formatCode>General</c:formatCode>
                <c:ptCount val="3"/>
                <c:pt idx="0">
                  <c:v>3.4780770172815166E-6</c:v>
                </c:pt>
                <c:pt idx="1">
                  <c:v>3.8771531651918327E-4</c:v>
                </c:pt>
                <c:pt idx="2">
                  <c:v>2.5089737589023397E-2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1B-43FE-8EC8-6DAFF6CAF68C}"/>
            </c:ext>
          </c:extLst>
        </c:ser>
        <c:ser>
          <c:idx val="3"/>
          <c:order val="3"/>
          <c:tx>
            <c:strRef>
              <c:f>Sheet1!$E$1:$E$3</c:f>
              <c:strCache>
                <c:ptCount val="1"/>
                <c:pt idx="0">
                  <c:v>benders_bc_disaggregate_MW_delayedPool_rg3_MIPstart_noPareto - Average of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Sheet1!$E$4:$E$8</c:f>
              <c:numCache>
                <c:formatCode>General</c:formatCode>
                <c:ptCount val="3"/>
                <c:pt idx="0">
                  <c:v>3.948994100093842</c:v>
                </c:pt>
                <c:pt idx="1">
                  <c:v>1023.4346227447201</c:v>
                </c:pt>
                <c:pt idx="2">
                  <c:v>2723.0850069324165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1B-43FE-8EC8-6DAFF6CAF68C}"/>
            </c:ext>
          </c:extLst>
        </c:ser>
        <c:ser>
          <c:idx val="4"/>
          <c:order val="4"/>
          <c:tx>
            <c:strRef>
              <c:f>Sheet1!$F$1:$F$3</c:f>
              <c:strCache>
                <c:ptCount val="1"/>
                <c:pt idx="0">
                  <c:v>benders_bc_disaggregate_MW_delayedPool_rg3_MIPstart_noPareto - Average of benders_cuts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Sheet1!$F$4:$F$8</c:f>
              <c:numCache>
                <c:formatCode>General</c:formatCode>
                <c:ptCount val="3"/>
                <c:pt idx="0">
                  <c:v>17.25</c:v>
                </c:pt>
                <c:pt idx="1">
                  <c:v>441.58333333333331</c:v>
                </c:pt>
                <c:pt idx="2">
                  <c:v>1774.25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1B-43FE-8EC8-6DAFF6CAF68C}"/>
            </c:ext>
          </c:extLst>
        </c:ser>
        <c:ser>
          <c:idx val="5"/>
          <c:order val="5"/>
          <c:tx>
            <c:strRef>
              <c:f>Sheet1!$G$1:$G$3</c:f>
              <c:strCache>
                <c:ptCount val="1"/>
                <c:pt idx="0">
                  <c:v>benders_bc_disaggregate_MW_paretoOpt_delayedPool_rg3_MIPstart_NoNorm - Average of ObjVal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Sheet1!$G$4:$G$8</c:f>
              <c:numCache>
                <c:formatCode>General</c:formatCode>
                <c:ptCount val="3"/>
                <c:pt idx="0">
                  <c:v>21530.127944640753</c:v>
                </c:pt>
                <c:pt idx="1">
                  <c:v>45527.999993319616</c:v>
                </c:pt>
                <c:pt idx="2">
                  <c:v>81758.574973702707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1B-43FE-8EC8-6DAFF6CAF68C}"/>
            </c:ext>
          </c:extLst>
        </c:ser>
        <c:ser>
          <c:idx val="6"/>
          <c:order val="6"/>
          <c:tx>
            <c:strRef>
              <c:f>Sheet1!$H$1:$H$3</c:f>
              <c:strCache>
                <c:ptCount val="1"/>
                <c:pt idx="0">
                  <c:v>benders_bc_disaggregate_MW_paretoOpt_delayedPool_rg3_MIPstart_NoNorm - Average of ObjBound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Sheet1!$H$4:$H$8</c:f>
              <c:numCache>
                <c:formatCode>General</c:formatCode>
                <c:ptCount val="3"/>
                <c:pt idx="0">
                  <c:v>21530.098498233212</c:v>
                </c:pt>
                <c:pt idx="1">
                  <c:v>45507.666199149891</c:v>
                </c:pt>
                <c:pt idx="2">
                  <c:v>79409.720426411586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1B-43FE-8EC8-6DAFF6CAF68C}"/>
            </c:ext>
          </c:extLst>
        </c:ser>
        <c:ser>
          <c:idx val="7"/>
          <c:order val="7"/>
          <c:tx>
            <c:strRef>
              <c:f>Sheet1!$I$1:$I$3</c:f>
              <c:strCache>
                <c:ptCount val="1"/>
                <c:pt idx="0">
                  <c:v>benders_bc_disaggregate_MW_paretoOpt_delayedPool_rg3_MIPstart_NoNorm - Average of Gap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Sheet1!$I$4:$I$8</c:f>
              <c:numCache>
                <c:formatCode>General</c:formatCode>
                <c:ptCount val="3"/>
                <c:pt idx="0">
                  <c:v>1.2538423937114335E-6</c:v>
                </c:pt>
                <c:pt idx="1">
                  <c:v>3.515800548765569E-4</c:v>
                </c:pt>
                <c:pt idx="2">
                  <c:v>2.4256893533796859E-2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1B-43FE-8EC8-6DAFF6CAF68C}"/>
            </c:ext>
          </c:extLst>
        </c:ser>
        <c:ser>
          <c:idx val="8"/>
          <c:order val="8"/>
          <c:tx>
            <c:strRef>
              <c:f>Sheet1!$J$1:$J$3</c:f>
              <c:strCache>
                <c:ptCount val="1"/>
                <c:pt idx="0">
                  <c:v>benders_bc_disaggregate_MW_paretoOpt_delayedPool_rg3_MIPstart_NoNorm - Average of runtime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Sheet1!$J$4:$J$8</c:f>
              <c:numCache>
                <c:formatCode>General</c:formatCode>
                <c:ptCount val="3"/>
                <c:pt idx="0">
                  <c:v>5.0713348388671866</c:v>
                </c:pt>
                <c:pt idx="1">
                  <c:v>974.04857514301909</c:v>
                </c:pt>
                <c:pt idx="2">
                  <c:v>2714.2417554656672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1B-43FE-8EC8-6DAFF6CAF68C}"/>
            </c:ext>
          </c:extLst>
        </c:ser>
        <c:ser>
          <c:idx val="9"/>
          <c:order val="9"/>
          <c:tx>
            <c:strRef>
              <c:f>Sheet1!$K$1:$K$3</c:f>
              <c:strCache>
                <c:ptCount val="1"/>
                <c:pt idx="0">
                  <c:v>benders_bc_disaggregate_MW_paretoOpt_delayedPool_rg3_MIPstart_NoNorm - Average of benders_cuts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Sheet1!$K$4:$K$8</c:f>
              <c:numCache>
                <c:formatCode>General</c:formatCode>
                <c:ptCount val="3"/>
                <c:pt idx="0">
                  <c:v>19.833333333333332</c:v>
                </c:pt>
                <c:pt idx="1">
                  <c:v>204.75</c:v>
                </c:pt>
                <c:pt idx="2">
                  <c:v>1122.75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1B-43FE-8EC8-6DAFF6CAF68C}"/>
            </c:ext>
          </c:extLst>
        </c:ser>
        <c:ser>
          <c:idx val="10"/>
          <c:order val="10"/>
          <c:tx>
            <c:strRef>
              <c:f>Sheet1!$L$1:$L$3</c:f>
              <c:strCache>
                <c:ptCount val="1"/>
                <c:pt idx="0">
                  <c:v>benders_bc_disaggregate_MW_paretoOpt_delayedPool_rg3_MIPstart_withNorm - Average of ObjVal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Sheet1!$L$4:$L$8</c:f>
              <c:numCache>
                <c:formatCode>General</c:formatCode>
                <c:ptCount val="3"/>
                <c:pt idx="0">
                  <c:v>21530.125000000011</c:v>
                </c:pt>
                <c:pt idx="1">
                  <c:v>45527.999985810311</c:v>
                </c:pt>
                <c:pt idx="2">
                  <c:v>81680.958300538288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1B-43FE-8EC8-6DAFF6CAF68C}"/>
            </c:ext>
          </c:extLst>
        </c:ser>
        <c:ser>
          <c:idx val="11"/>
          <c:order val="11"/>
          <c:tx>
            <c:strRef>
              <c:f>Sheet1!$M$1:$M$3</c:f>
              <c:strCache>
                <c:ptCount val="1"/>
                <c:pt idx="0">
                  <c:v>benders_bc_disaggregate_MW_paretoOpt_delayedPool_rg3_MIPstart_withNorm - Average of ObjBound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Sheet1!$M$4:$M$8</c:f>
              <c:numCache>
                <c:formatCode>General</c:formatCode>
                <c:ptCount val="3"/>
                <c:pt idx="0">
                  <c:v>21529.902369639811</c:v>
                </c:pt>
                <c:pt idx="1">
                  <c:v>45526.992131917206</c:v>
                </c:pt>
                <c:pt idx="2">
                  <c:v>79408.652310678954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1B-43FE-8EC8-6DAFF6CAF68C}"/>
            </c:ext>
          </c:extLst>
        </c:ser>
        <c:ser>
          <c:idx val="12"/>
          <c:order val="12"/>
          <c:tx>
            <c:strRef>
              <c:f>Sheet1!$N$1:$N$3</c:f>
              <c:strCache>
                <c:ptCount val="1"/>
                <c:pt idx="0">
                  <c:v>benders_bc_disaggregate_MW_paretoOpt_delayedPool_rg3_MIPstart_withNorm - Average of Gap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Sheet1!$N$4:$N$8</c:f>
              <c:numCache>
                <c:formatCode>General</c:formatCode>
                <c:ptCount val="3"/>
                <c:pt idx="0">
                  <c:v>9.0322952406431424E-6</c:v>
                </c:pt>
                <c:pt idx="1">
                  <c:v>1.7061073160454699E-5</c:v>
                </c:pt>
                <c:pt idx="2">
                  <c:v>2.3540314569137428E-2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D1B-43FE-8EC8-6DAFF6CAF68C}"/>
            </c:ext>
          </c:extLst>
        </c:ser>
        <c:ser>
          <c:idx val="13"/>
          <c:order val="13"/>
          <c:tx>
            <c:strRef>
              <c:f>Sheet1!$O$1:$O$3</c:f>
              <c:strCache>
                <c:ptCount val="1"/>
                <c:pt idx="0">
                  <c:v>benders_bc_disaggregate_MW_paretoOpt_delayedPool_rg3_MIPstart_withNorm - Average of runtime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Sheet1!$O$4:$O$8</c:f>
              <c:numCache>
                <c:formatCode>General</c:formatCode>
                <c:ptCount val="3"/>
                <c:pt idx="0">
                  <c:v>4.8083333969116202</c:v>
                </c:pt>
                <c:pt idx="1">
                  <c:v>720.5886314511298</c:v>
                </c:pt>
                <c:pt idx="2">
                  <c:v>2715.4956399997072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D1B-43FE-8EC8-6DAFF6CAF68C}"/>
            </c:ext>
          </c:extLst>
        </c:ser>
        <c:ser>
          <c:idx val="14"/>
          <c:order val="14"/>
          <c:tx>
            <c:strRef>
              <c:f>Sheet1!$P$1:$P$3</c:f>
              <c:strCache>
                <c:ptCount val="1"/>
                <c:pt idx="0">
                  <c:v>benders_bc_disaggregate_MW_paretoOpt_delayedPool_rg3_MIPstart_withNorm - Average of benders_cuts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Sheet1!$P$4:$P$8</c:f>
              <c:numCache>
                <c:formatCode>General</c:formatCode>
                <c:ptCount val="3"/>
                <c:pt idx="0">
                  <c:v>18.916666666666668</c:v>
                </c:pt>
                <c:pt idx="1">
                  <c:v>214.83333333333334</c:v>
                </c:pt>
                <c:pt idx="2">
                  <c:v>1034.1666666666667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D1B-43FE-8EC8-6DAFF6CAF68C}"/>
            </c:ext>
          </c:extLst>
        </c:ser>
        <c:ser>
          <c:idx val="15"/>
          <c:order val="15"/>
          <c:tx>
            <c:strRef>
              <c:f>Sheet1!$Q$1:$Q$3</c:f>
              <c:strCache>
                <c:ptCount val="1"/>
                <c:pt idx="0">
                  <c:v>benders_bc_disaggregate_MW_paretoOpt_noSOlInj_rg3_MIPstart - Average of ObjVal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Sheet1!$Q$4:$Q$8</c:f>
              <c:numCache>
                <c:formatCode>General</c:formatCode>
                <c:ptCount val="3"/>
                <c:pt idx="0">
                  <c:v>21530.125</c:v>
                </c:pt>
                <c:pt idx="1">
                  <c:v>45527.999998758554</c:v>
                </c:pt>
                <c:pt idx="2">
                  <c:v>81938.924835704995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1B-43FE-8EC8-6DAFF6CAF68C}"/>
            </c:ext>
          </c:extLst>
        </c:ser>
        <c:ser>
          <c:idx val="16"/>
          <c:order val="16"/>
          <c:tx>
            <c:strRef>
              <c:f>Sheet1!$R$1:$R$3</c:f>
              <c:strCache>
                <c:ptCount val="1"/>
                <c:pt idx="0">
                  <c:v>benders_bc_disaggregate_MW_paretoOpt_noSOlInj_rg3_MIPstart - Average of ObjBound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Sheet1!$R$4:$R$8</c:f>
              <c:numCache>
                <c:formatCode>General</c:formatCode>
                <c:ptCount val="3"/>
                <c:pt idx="0">
                  <c:v>21529.815788442629</c:v>
                </c:pt>
                <c:pt idx="1">
                  <c:v>45502.342628537626</c:v>
                </c:pt>
                <c:pt idx="2">
                  <c:v>79397.302499941346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D1B-43FE-8EC8-6DAFF6CAF68C}"/>
            </c:ext>
          </c:extLst>
        </c:ser>
        <c:ser>
          <c:idx val="17"/>
          <c:order val="17"/>
          <c:tx>
            <c:strRef>
              <c:f>Sheet1!$S$1:$S$3</c:f>
              <c:strCache>
                <c:ptCount val="1"/>
                <c:pt idx="0">
                  <c:v>benders_bc_disaggregate_MW_paretoOpt_noSOlInj_rg3_MIPstart - Average of Gap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Sheet1!$S$4:$S$8</c:f>
              <c:numCache>
                <c:formatCode>General</c:formatCode>
                <c:ptCount val="3"/>
                <c:pt idx="0">
                  <c:v>1.3166398723252966E-5</c:v>
                </c:pt>
                <c:pt idx="1">
                  <c:v>4.3433108058902491E-4</c:v>
                </c:pt>
                <c:pt idx="2">
                  <c:v>2.6010071692609851E-2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D1B-43FE-8EC8-6DAFF6CAF68C}"/>
            </c:ext>
          </c:extLst>
        </c:ser>
        <c:ser>
          <c:idx val="18"/>
          <c:order val="18"/>
          <c:tx>
            <c:strRef>
              <c:f>Sheet1!$T$1:$T$3</c:f>
              <c:strCache>
                <c:ptCount val="1"/>
                <c:pt idx="0">
                  <c:v>benders_bc_disaggregate_MW_paretoOpt_noSOlInj_rg3_MIPstart - Average of runtime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Sheet1!$T$4:$T$8</c:f>
              <c:numCache>
                <c:formatCode>General</c:formatCode>
                <c:ptCount val="3"/>
                <c:pt idx="0">
                  <c:v>4.6934296290079756</c:v>
                </c:pt>
                <c:pt idx="1">
                  <c:v>988.76728121439635</c:v>
                </c:pt>
                <c:pt idx="2">
                  <c:v>2715.0984187523522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D1B-43FE-8EC8-6DAFF6CAF68C}"/>
            </c:ext>
          </c:extLst>
        </c:ser>
        <c:ser>
          <c:idx val="19"/>
          <c:order val="19"/>
          <c:tx>
            <c:strRef>
              <c:f>Sheet1!$U$1:$U$3</c:f>
              <c:strCache>
                <c:ptCount val="1"/>
                <c:pt idx="0">
                  <c:v>benders_bc_disaggregate_MW_paretoOpt_noSOlInj_rg3_MIPstart - Average of benders_cuts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Sheet1!$A$4:$A$8</c:f>
              <c:multiLvlStrCache>
                <c:ptCount val="3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</c:lvl>
                <c:lvl>
                  <c:pt idx="0">
                    <c:v>V2</c:v>
                  </c:pt>
                </c:lvl>
              </c:multiLvlStrCache>
            </c:multiLvlStrRef>
          </c:cat>
          <c:val>
            <c:numRef>
              <c:f>Sheet1!$U$4:$U$8</c:f>
              <c:numCache>
                <c:formatCode>General</c:formatCode>
                <c:ptCount val="3"/>
                <c:pt idx="0">
                  <c:v>16.583333333333332</c:v>
                </c:pt>
                <c:pt idx="1">
                  <c:v>196.58333333333334</c:v>
                </c:pt>
                <c:pt idx="2">
                  <c:v>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D1B-43FE-8EC8-6DAFF6CAF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421360"/>
        <c:axId val="499421840"/>
      </c:barChart>
      <c:catAx>
        <c:axId val="49942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21840"/>
        <c:crosses val="autoZero"/>
        <c:auto val="1"/>
        <c:lblAlgn val="ctr"/>
        <c:lblOffset val="100"/>
        <c:noMultiLvlLbl val="0"/>
      </c:catAx>
      <c:valAx>
        <c:axId val="49942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2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55</xdr:row>
      <xdr:rowOff>0</xdr:rowOff>
    </xdr:from>
    <xdr:to>
      <xdr:col>11</xdr:col>
      <xdr:colOff>4867275</xdr:colOff>
      <xdr:row>71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05F27E-32A4-99DA-FC49-410F0A3F9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Rocha" refreshedDate="45909.828699537036" createdVersion="3" refreshedVersion="8" recordCount="144" xr:uid="{00000000-000A-0000-FFFF-FFFF01000000}">
  <cacheSource type="worksheet">
    <worksheetSource ref="A1:AF145" sheet="benders_bc_ParetoOpt_DelayedSol"/>
  </cacheSource>
  <cacheFields count="32">
    <cacheField name="instance" numFmtId="0">
      <sharedItems count="12">
        <s v="MVPRP_C20_P3_V2_I1.dat"/>
        <s v="MVPRP_C10_P9_V2_I1.dat"/>
        <s v="MVPRP_C15_P3_V2_I1.dat"/>
        <s v="MVPRP_C10_P3_V2_I1.dat"/>
        <s v="MVPRP_C15_P9_V2_I1.dat"/>
        <s v="MVPRP_C10_P6_V2_I1.dat"/>
        <s v="MVPRP_C15_P6_V2_I1.dat"/>
        <s v="MVPRP_C20_P6_V2_I1.dat"/>
        <s v="MVPRP_C25_P9_V2_I1.dat"/>
        <s v="MVPRP_C25_P3_V2_I1.dat"/>
        <s v="MVPRP_C25_P6_V2_I1.dat"/>
        <s v="MVPRP_C20_P9_V2_I1.dat"/>
      </sharedItems>
    </cacheField>
    <cacheField name="Ins String" numFmtId="0">
      <sharedItems/>
    </cacheField>
    <cacheField name="Customers" numFmtId="0">
      <sharedItems/>
    </cacheField>
    <cacheField name="Periods" numFmtId="0">
      <sharedItems count="3">
        <s v="P3"/>
        <s v="P9"/>
        <s v="P6"/>
      </sharedItems>
    </cacheField>
    <cacheField name="MED" numFmtId="0">
      <sharedItems count="1">
        <s v="V2"/>
      </sharedItems>
    </cacheField>
    <cacheField name="Inst Type" numFmtId="0">
      <sharedItems/>
    </cacheField>
    <cacheField name="Model" numFmtId="0">
      <sharedItems count="4">
        <s v="benders_bc_disaggregate_MW_paretoOpt_delayedPool_rg3_MIPstart_NoNorm"/>
        <s v="benders_bc_disaggregate_MW_paretoOpt_delayedPool_rg3_MIPstart_withNorm"/>
        <s v="benders_bc_disaggregate_MW_paretoOpt_noSOlInj_rg3_MIPstart"/>
        <s v="benders_bc_disaggregate_MW_delayedPool_rg3_MIPstart_noPareto"/>
      </sharedItems>
    </cacheField>
    <cacheField name="status" numFmtId="0">
      <sharedItems count="2">
        <s v="OPTIMAL"/>
        <s v="TIME_LIMIT"/>
      </sharedItems>
    </cacheField>
    <cacheField name="ObjVal" numFmtId="0">
      <sharedItems containsSemiMixedTypes="0" containsString="0" containsNumber="1" minValue="14480.9" maxValue="112536.2"/>
    </cacheField>
    <cacheField name="ObjBound" numFmtId="0">
      <sharedItems containsSemiMixedTypes="0" containsString="0" containsNumber="1" minValue="14480.9" maxValue="103740.00311643"/>
    </cacheField>
    <cacheField name="Gap" numFmtId="0">
      <sharedItems containsSemiMixedTypes="0" containsString="0" containsNumber="1" minValue="0" maxValue="7.8421413155132902E-2"/>
    </cacheField>
    <cacheField name="runtime" numFmtId="0">
      <sharedItems containsSemiMixedTypes="0" containsString="0" containsNumber="1" minValue="0.503878593444824" maxValue="3604.5631558895102"/>
    </cacheField>
    <cacheField name="period_vehicle" numFmtId="0">
      <sharedItems/>
    </cacheField>
    <cacheField name="Q" numFmtId="0">
      <sharedItems containsSemiMixedTypes="0" containsString="0" containsNumber="1" containsInteger="1" minValue="198" maxValue="283"/>
    </cacheField>
    <cacheField name="error" numFmtId="0">
      <sharedItems containsNonDate="0" containsString="0" containsBlank="1"/>
    </cacheField>
    <cacheField name="fixed_prod_cost" numFmtId="0">
      <sharedItems containsSemiMixedTypes="0" containsString="0" containsNumber="1" containsInteger="1" minValue="3000" maxValue="12000"/>
    </cacheField>
    <cacheField name="variable_prod_cost" numFmtId="0">
      <sharedItems containsSemiMixedTypes="0" containsString="0" containsNumber="1" minValue="6390" maxValue="59880"/>
    </cacheField>
    <cacheField name="inv_hold_cost" numFmtId="0">
      <sharedItems containsSemiMixedTypes="0" containsString="0" containsNumber="1" minValue="2999" maxValue="25812"/>
    </cacheField>
    <cacheField name="routing_cost" numFmtId="0">
      <sharedItems containsSemiMixedTypes="0" containsString="0" containsNumber="1" minValue="1535" maxValue="11126"/>
    </cacheField>
    <cacheField name="recourse_cost" numFmtId="0">
      <sharedItems containsSemiMixedTypes="0" containsString="0" containsNumber="1" containsInteger="1" minValue="0" maxValue="0"/>
    </cacheField>
    <cacheField name="unused_routing_cost" numFmtId="0">
      <sharedItems containsSemiMixedTypes="0" containsString="0" containsNumber="1" containsInteger="1" minValue="0" maxValue="0"/>
    </cacheField>
    <cacheField name="expected_cost_diff" numFmtId="0">
      <sharedItems containsSemiMixedTypes="0" containsString="0" containsNumber="1" minValue="556.9" maxValue="7627.9"/>
    </cacheField>
    <cacheField name="benders_cuts" numFmtId="0">
      <sharedItems containsSemiMixedTypes="0" containsString="0" containsNumber="1" containsInteger="1" minValue="3" maxValue="3016"/>
    </cacheField>
    <cacheField name="lfcc" numFmtId="0">
      <sharedItems containsSemiMixedTypes="0" containsString="0" containsNumber="1" containsInteger="1" minValue="2" maxValue="4869"/>
    </cacheField>
    <cacheField name="ufcc" numFmtId="0">
      <sharedItems containsSemiMixedTypes="0" containsString="0" containsNumber="1" containsInteger="1" minValue="0" maxValue="0"/>
    </cacheField>
    <cacheField name="lsec" numFmtId="0">
      <sharedItems containsSemiMixedTypes="0" containsString="0" containsNumber="1" containsInteger="1" minValue="10" maxValue="1592"/>
    </cacheField>
    <cacheField name="usec" numFmtId="0">
      <sharedItems containsSemiMixedTypes="0" containsString="0" containsNumber="1" containsInteger="1" minValue="0" maxValue="0"/>
    </cacheField>
    <cacheField name="l_st_time" numFmtId="0">
      <sharedItems containsSemiMixedTypes="0" containsString="0" containsNumber="1" minValue="3.9100126028929197E-5" maxValue="2.0622363132713099E-4"/>
    </cacheField>
    <cacheField name="u_st_time" numFmtId="0">
      <sharedItems containsSemiMixedTypes="0" containsString="0" containsNumber="1" minValue="8.9058356168186795E-5" maxValue="3.9026472303602399E-4"/>
    </cacheField>
    <cacheField name="l_fcc_time" numFmtId="0">
      <sharedItems containsSemiMixedTypes="0" containsString="0" containsNumber="1" minValue="2.9971968959754602E-3" maxValue="8.93655873961368E-3"/>
    </cacheField>
    <cacheField name="u_fcc_time" numFmtId="0">
      <sharedItems containsSemiMixedTypes="0" containsString="0" containsNumber="1" minValue="3.43097959245954E-3" maxValue="1.35840177536011E-2"/>
    </cacheField>
    <cacheField name="l_benders" numFmtId="0">
      <sharedItems containsSemiMixedTypes="0" containsString="0" containsNumber="1" minValue="1.3475179672241201E-2" maxValue="0.7251521029123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s v="MVPRP"/>
    <s v="C20"/>
    <x v="0"/>
    <x v="0"/>
    <s v="I1.dat"/>
    <x v="0"/>
    <x v="0"/>
    <n v="23484.9"/>
    <n v="23484.9"/>
    <n v="0"/>
    <n v="3.91613793373108"/>
    <s v="[]"/>
    <n v="283"/>
    <m/>
    <n v="3000"/>
    <n v="12030"/>
    <n v="4509"/>
    <n v="2671"/>
    <n v="0"/>
    <n v="0"/>
    <n v="1274.9000000000001"/>
    <n v="15"/>
    <n v="42"/>
    <n v="0"/>
    <n v="31"/>
    <n v="0"/>
    <n v="9.0738705226353197E-5"/>
    <n v="2.1266246187514199E-4"/>
    <n v="5.7927390276375501E-3"/>
    <n v="8.3769736466584397E-3"/>
    <n v="0.10221773035386"/>
  </r>
  <r>
    <x v="1"/>
    <s v="MVPRP"/>
    <s v="C10"/>
    <x v="1"/>
    <x v="0"/>
    <s v="I1.dat"/>
    <x v="0"/>
    <x v="0"/>
    <n v="52882.899942292897"/>
    <n v="52882.899942292897"/>
    <n v="0"/>
    <n v="46.708426713943503"/>
    <s v="[]"/>
    <n v="198"/>
    <m/>
    <n v="9000"/>
    <n v="26370"/>
    <n v="10335.999711475601"/>
    <n v="5223.0002825050396"/>
    <n v="0"/>
    <n v="0"/>
    <n v="1953.89994831224"/>
    <n v="94"/>
    <n v="102"/>
    <n v="0"/>
    <n v="26"/>
    <n v="0"/>
    <n v="4.12791224023382E-5"/>
    <n v="8.9058356168186795E-5"/>
    <n v="3.21671016280115E-3"/>
    <n v="4.7080103219029803E-3"/>
    <n v="5.4758666575640103E-2"/>
  </r>
  <r>
    <x v="2"/>
    <s v="MVPRP"/>
    <s v="C15"/>
    <x v="0"/>
    <x v="0"/>
    <s v="I1.dat"/>
    <x v="0"/>
    <x v="0"/>
    <n v="20511.5"/>
    <n v="20511.5"/>
    <n v="0"/>
    <n v="6.9002583026886004"/>
    <s v="[]"/>
    <n v="198"/>
    <m/>
    <n v="3000"/>
    <n v="9960"/>
    <n v="3896"/>
    <n v="2762"/>
    <n v="0"/>
    <n v="0"/>
    <n v="893.5"/>
    <n v="10"/>
    <n v="134"/>
    <n v="0"/>
    <n v="40"/>
    <n v="0"/>
    <n v="8.4085229002399202E-5"/>
    <n v="1.4817488214100799E-4"/>
    <n v="6.0272519550626201E-3"/>
    <n v="7.4612778775832202E-3"/>
    <n v="6.0986902978685198E-2"/>
  </r>
  <r>
    <x v="3"/>
    <s v="MVPRP"/>
    <s v="C10"/>
    <x v="0"/>
    <x v="0"/>
    <s v="I1.dat"/>
    <x v="0"/>
    <x v="0"/>
    <n v="14480.9"/>
    <n v="14480.9"/>
    <n v="0"/>
    <n v="0.70611643791198697"/>
    <s v="[]"/>
    <n v="198"/>
    <m/>
    <n v="3000"/>
    <n v="6390"/>
    <n v="2999"/>
    <n v="1535"/>
    <n v="0"/>
    <n v="0"/>
    <n v="556.9"/>
    <n v="7"/>
    <n v="2"/>
    <n v="0"/>
    <n v="11"/>
    <n v="0"/>
    <n v="6.1456547227016701E-5"/>
    <n v="1.3607343037923199E-4"/>
    <n v="4.82041305965847E-3"/>
    <n v="3.43097959245954E-3"/>
    <n v="3.0021476745605499E-2"/>
  </r>
  <r>
    <x v="4"/>
    <s v="MVPRP"/>
    <s v="C15"/>
    <x v="1"/>
    <x v="0"/>
    <s v="I1.dat"/>
    <x v="0"/>
    <x v="1"/>
    <n v="77798.799985128702"/>
    <n v="75899.617827899594"/>
    <n v="2.44114582434703E-2"/>
    <n v="3600.6441190242799"/>
    <s v="[]"/>
    <n v="198"/>
    <m/>
    <n v="9000"/>
    <n v="40950"/>
    <n v="14517.000054288799"/>
    <n v="8972.9999464723496"/>
    <n v="0"/>
    <n v="0"/>
    <n v="4358.7999843675698"/>
    <n v="1505"/>
    <n v="2866"/>
    <n v="0"/>
    <n v="221"/>
    <n v="0"/>
    <n v="6.3389578372742602E-5"/>
    <n v="1.521476187398E-4"/>
    <n v="4.2690917069042097E-3"/>
    <n v="7.0619970682500501E-3"/>
    <n v="8.2734632277273901E-2"/>
  </r>
  <r>
    <x v="5"/>
    <s v="MVPRP"/>
    <s v="C10"/>
    <x v="2"/>
    <x v="0"/>
    <s v="I1.dat"/>
    <x v="0"/>
    <x v="0"/>
    <n v="30459.9"/>
    <n v="30456.875"/>
    <n v="9.9310897277033594E-5"/>
    <n v="3.4311637878418"/>
    <s v="[]"/>
    <n v="198"/>
    <m/>
    <n v="6000"/>
    <n v="12690"/>
    <n v="8163"/>
    <n v="2706"/>
    <n v="0"/>
    <n v="0"/>
    <n v="900.9"/>
    <n v="15"/>
    <n v="28"/>
    <n v="0"/>
    <n v="14"/>
    <n v="0"/>
    <n v="4.2722775385929998E-5"/>
    <n v="1.39644116531184E-4"/>
    <n v="3.4680347288808498E-3"/>
    <n v="6.3098121333766601E-3"/>
    <n v="5.3760792079724798E-2"/>
  </r>
  <r>
    <x v="6"/>
    <s v="MVPRP"/>
    <s v="C15"/>
    <x v="2"/>
    <x v="0"/>
    <s v="I1.dat"/>
    <x v="0"/>
    <x v="0"/>
    <n v="43302.1"/>
    <n v="43302.1"/>
    <n v="0"/>
    <n v="245.18031334877"/>
    <s v="[]"/>
    <n v="198"/>
    <m/>
    <n v="6000"/>
    <n v="19800"/>
    <n v="10877"/>
    <n v="5023"/>
    <n v="0"/>
    <n v="0"/>
    <n v="1602.1"/>
    <n v="277"/>
    <n v="334"/>
    <n v="0"/>
    <n v="53"/>
    <n v="0"/>
    <n v="5.0346199943741999E-5"/>
    <n v="1.0451752594794199E-4"/>
    <n v="3.3005812616171801E-3"/>
    <n v="4.6064125091483102E-3"/>
    <n v="4.3978368082354197E-2"/>
  </r>
  <r>
    <x v="7"/>
    <s v="MVPRP"/>
    <s v="C20"/>
    <x v="2"/>
    <x v="0"/>
    <s v="I1.dat"/>
    <x v="0"/>
    <x v="0"/>
    <n v="49276.7"/>
    <n v="49272.419081272099"/>
    <n v="8.68751098978904E-5"/>
    <n v="26.4562327861786"/>
    <s v="[]"/>
    <n v="283"/>
    <m/>
    <n v="6000"/>
    <n v="23820"/>
    <n v="12905"/>
    <n v="4842"/>
    <n v="0"/>
    <n v="0"/>
    <n v="1709.7"/>
    <n v="50"/>
    <n v="179"/>
    <n v="0"/>
    <n v="61"/>
    <n v="0"/>
    <n v="6.1204125573327201E-5"/>
    <n v="1.31218846327339E-4"/>
    <n v="3.7345122976271601E-3"/>
    <n v="5.2054115529760201E-3"/>
    <n v="0.16777977347374001"/>
  </r>
  <r>
    <x v="8"/>
    <s v="MVPRP"/>
    <s v="C25"/>
    <x v="1"/>
    <x v="0"/>
    <s v="I1.dat"/>
    <x v="0"/>
    <x v="1"/>
    <n v="108129.299999"/>
    <n v="103740.00311643"/>
    <n v="4.0593038913692002E-2"/>
    <n v="3600.65135574341"/>
    <s v="[]"/>
    <n v="283"/>
    <m/>
    <n v="9000"/>
    <n v="59880"/>
    <n v="22519"/>
    <n v="10133"/>
    <n v="0"/>
    <n v="0"/>
    <n v="6597.2999989999898"/>
    <n v="787"/>
    <n v="4360"/>
    <n v="0"/>
    <n v="938"/>
    <n v="0"/>
    <n v="8.6822883689500403E-5"/>
    <n v="1.8538894476713999E-4"/>
    <n v="4.1859786740391196E-3"/>
    <n v="6.9326931308493298E-3"/>
    <n v="0.30661671765645299"/>
  </r>
  <r>
    <x v="9"/>
    <s v="MVPRP"/>
    <s v="C25"/>
    <x v="0"/>
    <x v="0"/>
    <s v="I1.dat"/>
    <x v="0"/>
    <x v="0"/>
    <n v="27643.200000000001"/>
    <n v="27643.200000000001"/>
    <n v="0"/>
    <n v="8.3822224140167201"/>
    <s v="[]"/>
    <n v="283"/>
    <m/>
    <n v="3000"/>
    <n v="14340"/>
    <n v="5901"/>
    <n v="2865"/>
    <n v="0"/>
    <n v="0"/>
    <n v="1537.2"/>
    <n v="54"/>
    <n v="27"/>
    <n v="0"/>
    <n v="38"/>
    <n v="0"/>
    <n v="1.4773484702422201E-4"/>
    <n v="3.5701627316682199E-4"/>
    <n v="8.1998487062092101E-3"/>
    <n v="1.0579986392327099E-2"/>
    <n v="0.24992146275260199"/>
  </r>
  <r>
    <x v="10"/>
    <s v="MVPRP"/>
    <s v="C25"/>
    <x v="2"/>
    <x v="0"/>
    <s v="I1.dat"/>
    <x v="0"/>
    <x v="1"/>
    <n v="59073.3"/>
    <n v="59004.917441954203"/>
    <n v="1.1575882513041101E-3"/>
    <n v="3600.3624830245999"/>
    <s v="[]"/>
    <n v="283"/>
    <m/>
    <n v="6000"/>
    <n v="28380"/>
    <n v="17067"/>
    <n v="5583"/>
    <n v="0"/>
    <n v="0"/>
    <n v="2043.3"/>
    <n v="462"/>
    <n v="1070"/>
    <n v="0"/>
    <n v="92"/>
    <n v="0"/>
    <n v="6.7425792952651795E-5"/>
    <n v="1.5653753846618499E-4"/>
    <n v="3.5728633500382002E-3"/>
    <n v="6.1122466502152297E-3"/>
    <n v="0.131345809006891"/>
  </r>
  <r>
    <x v="11"/>
    <s v="MVPRP"/>
    <s v="C20"/>
    <x v="1"/>
    <x v="0"/>
    <s v="I1.dat"/>
    <x v="0"/>
    <x v="1"/>
    <n v="86838.499997999999"/>
    <n v="85167.985213527601"/>
    <n v="1.9237029480136999E-2"/>
    <n v="3600.8165321350102"/>
    <s v="[]"/>
    <n v="283"/>
    <m/>
    <n v="9000"/>
    <n v="48120"/>
    <n v="17811"/>
    <n v="7464"/>
    <n v="0"/>
    <n v="0"/>
    <n v="4443.4999979999502"/>
    <n v="1860"/>
    <n v="3585"/>
    <n v="0"/>
    <n v="577"/>
    <n v="0"/>
    <n v="6.68951795999521E-5"/>
    <n v="1.48960774785338E-4"/>
    <n v="3.5124947846499298E-3"/>
    <n v="5.8607354470532301E-3"/>
    <n v="0.120793697475055"/>
  </r>
  <r>
    <x v="0"/>
    <s v="MVPRP"/>
    <s v="C20"/>
    <x v="0"/>
    <x v="0"/>
    <s v="I1.dat"/>
    <x v="1"/>
    <x v="0"/>
    <n v="23484.9"/>
    <n v="23483.066670971701"/>
    <n v="7.8064161580763502E-5"/>
    <n v="3.5383272171020499"/>
    <s v="[]"/>
    <n v="283"/>
    <m/>
    <n v="3000"/>
    <n v="12030"/>
    <n v="4509"/>
    <n v="2671"/>
    <n v="0"/>
    <n v="0"/>
    <n v="1274.9000000000001"/>
    <n v="22"/>
    <n v="15"/>
    <n v="0"/>
    <n v="20"/>
    <n v="0"/>
    <n v="1.0010470514712099E-4"/>
    <n v="2.8695000542534698E-4"/>
    <n v="6.3119208226438397E-3"/>
    <n v="1.0006666183471701E-2"/>
    <n v="0.10553317320974299"/>
  </r>
  <r>
    <x v="1"/>
    <s v="MVPRP"/>
    <s v="C10"/>
    <x v="1"/>
    <x v="0"/>
    <s v="I1.dat"/>
    <x v="1"/>
    <x v="0"/>
    <n v="52882.899878246702"/>
    <n v="52882.899878246702"/>
    <n v="0"/>
    <n v="46.102028608322101"/>
    <s v="[]"/>
    <n v="198"/>
    <m/>
    <n v="9000"/>
    <n v="26369.999993726698"/>
    <n v="10335.9999943199"/>
    <n v="5223"/>
    <n v="0"/>
    <n v="0"/>
    <n v="1953.8998902000001"/>
    <n v="95"/>
    <n v="112"/>
    <n v="0"/>
    <n v="25"/>
    <n v="0"/>
    <n v="4.1972841199317503E-5"/>
    <n v="8.9714038353384205E-5"/>
    <n v="3.1854179170396602E-3"/>
    <n v="4.8458744691611596E-3"/>
    <n v="5.4077136663743003E-2"/>
  </r>
  <r>
    <x v="2"/>
    <s v="MVPRP"/>
    <s v="C15"/>
    <x v="0"/>
    <x v="0"/>
    <s v="I1.dat"/>
    <x v="1"/>
    <x v="0"/>
    <n v="20511.5"/>
    <n v="20511.5"/>
    <n v="0"/>
    <n v="6.8545236587524396"/>
    <s v="[]"/>
    <n v="198"/>
    <m/>
    <n v="3000"/>
    <n v="9960"/>
    <n v="3896"/>
    <n v="2762"/>
    <n v="0"/>
    <n v="0"/>
    <n v="893.5"/>
    <n v="10"/>
    <n v="147"/>
    <n v="0"/>
    <n v="26"/>
    <n v="0"/>
    <n v="8.18631587884365E-5"/>
    <n v="1.48557743814869E-4"/>
    <n v="5.93149472796728E-3"/>
    <n v="7.9497337341308608E-3"/>
    <n v="6.5470883720799497E-2"/>
  </r>
  <r>
    <x v="3"/>
    <s v="MVPRP"/>
    <s v="C10"/>
    <x v="0"/>
    <x v="0"/>
    <s v="I1.dat"/>
    <x v="1"/>
    <x v="0"/>
    <n v="14480.9"/>
    <n v="14480.9"/>
    <n v="0"/>
    <n v="0.78473758697509799"/>
    <s v="[]"/>
    <n v="198"/>
    <m/>
    <n v="3000"/>
    <n v="6390"/>
    <n v="2999"/>
    <n v="1535"/>
    <n v="0"/>
    <n v="0"/>
    <n v="556.9"/>
    <n v="4"/>
    <n v="5"/>
    <n v="0"/>
    <n v="14"/>
    <n v="0"/>
    <n v="6.7101584540473093E-5"/>
    <n v="1.4731619093153199E-4"/>
    <n v="4.8380295435587603E-3"/>
    <n v="6.0636997222900399E-3"/>
    <n v="3.0703830718994098E-2"/>
  </r>
  <r>
    <x v="4"/>
    <s v="MVPRP"/>
    <s v="C15"/>
    <x v="1"/>
    <x v="0"/>
    <s v="I1.dat"/>
    <x v="1"/>
    <x v="1"/>
    <n v="77610.499999000007"/>
    <n v="75839.533946259398"/>
    <n v="2.2818639910364799E-2"/>
    <n v="3601.0685608386998"/>
    <s v="[]"/>
    <n v="198"/>
    <m/>
    <n v="9000"/>
    <n v="40950"/>
    <n v="15070"/>
    <n v="8553"/>
    <n v="0"/>
    <n v="0"/>
    <n v="4037.5"/>
    <n v="1472"/>
    <n v="2626"/>
    <n v="0"/>
    <n v="214"/>
    <n v="0"/>
    <n v="6.1579771265138399E-5"/>
    <n v="1.58094513563462E-4"/>
    <n v="4.0705587267637899E-3"/>
    <n v="7.4780564941267199E-3"/>
    <n v="8.6058904522171006E-2"/>
  </r>
  <r>
    <x v="5"/>
    <s v="MVPRP"/>
    <s v="C10"/>
    <x v="2"/>
    <x v="0"/>
    <s v="I1.dat"/>
    <x v="1"/>
    <x v="0"/>
    <n v="30459.9"/>
    <n v="30459.9"/>
    <n v="0"/>
    <n v="3.4909033775329599"/>
    <s v="[]"/>
    <n v="198"/>
    <m/>
    <n v="6000"/>
    <n v="12690"/>
    <n v="8163"/>
    <n v="2706"/>
    <n v="0"/>
    <n v="0"/>
    <n v="900.9"/>
    <n v="11"/>
    <n v="32"/>
    <n v="0"/>
    <n v="11"/>
    <n v="0"/>
    <n v="4.5404831568400098E-5"/>
    <n v="9.1798545778259803E-5"/>
    <n v="3.7081262521576502E-3"/>
    <n v="4.81203804171182E-3"/>
    <n v="5.3873724407619901E-2"/>
  </r>
  <r>
    <x v="6"/>
    <s v="MVPRP"/>
    <s v="C15"/>
    <x v="2"/>
    <x v="0"/>
    <s v="I1.dat"/>
    <x v="1"/>
    <x v="0"/>
    <n v="43302.1"/>
    <n v="43302.1"/>
    <n v="0"/>
    <n v="296.776829719543"/>
    <s v="[]"/>
    <n v="198"/>
    <m/>
    <n v="6000"/>
    <n v="19800"/>
    <n v="10877"/>
    <n v="5023"/>
    <n v="0"/>
    <n v="0"/>
    <n v="1602.1"/>
    <n v="273"/>
    <n v="355"/>
    <n v="0"/>
    <n v="55"/>
    <n v="0"/>
    <n v="5.1868493966793601E-5"/>
    <n v="1.02781302606066E-4"/>
    <n v="3.2944569726450299E-3"/>
    <n v="4.7419476327457003E-3"/>
    <n v="4.6266022850485401E-2"/>
  </r>
  <r>
    <x v="7"/>
    <s v="MVPRP"/>
    <s v="C20"/>
    <x v="2"/>
    <x v="0"/>
    <s v="I1.dat"/>
    <x v="1"/>
    <x v="0"/>
    <n v="49276.7"/>
    <n v="49276.7"/>
    <n v="0"/>
    <n v="46.417540550231898"/>
    <s v="[]"/>
    <n v="283"/>
    <m/>
    <n v="6000"/>
    <n v="23820"/>
    <n v="12905"/>
    <n v="4842"/>
    <n v="0"/>
    <n v="0"/>
    <n v="1709.7"/>
    <n v="38"/>
    <n v="209"/>
    <n v="0"/>
    <n v="65"/>
    <n v="0"/>
    <n v="6.5144811357770695E-5"/>
    <n v="1.5015702417367499E-4"/>
    <n v="3.8037285067681601E-3"/>
    <n v="6.5132847058955202E-3"/>
    <n v="0.16343065749767199"/>
  </r>
  <r>
    <x v="8"/>
    <s v="MVPRP"/>
    <s v="C25"/>
    <x v="1"/>
    <x v="0"/>
    <s v="I1.dat"/>
    <x v="1"/>
    <x v="1"/>
    <n v="107957.6"/>
    <n v="103733.69657510699"/>
    <n v="3.91255773089937E-2"/>
    <n v="3600.9316496849101"/>
    <s v="[]"/>
    <n v="283"/>
    <m/>
    <n v="9000"/>
    <n v="59880"/>
    <n v="23094"/>
    <n v="10074"/>
    <n v="0"/>
    <n v="0"/>
    <n v="5909.6"/>
    <n v="777"/>
    <n v="4421"/>
    <n v="0"/>
    <n v="977"/>
    <n v="0"/>
    <n v="8.7484231981813294E-5"/>
    <n v="1.80554472494502E-4"/>
    <n v="4.2805454305557501E-3"/>
    <n v="6.7874260923166197E-3"/>
    <n v="0.34016061916177398"/>
  </r>
  <r>
    <x v="9"/>
    <s v="MVPRP"/>
    <s v="C25"/>
    <x v="0"/>
    <x v="0"/>
    <s v="I1.dat"/>
    <x v="1"/>
    <x v="0"/>
    <n v="27643.200000000001"/>
    <n v="27643.200000000001"/>
    <n v="0"/>
    <n v="5.9959840774536097"/>
    <s v="[]"/>
    <n v="283"/>
    <m/>
    <n v="3000"/>
    <n v="14340"/>
    <n v="5901"/>
    <n v="2865"/>
    <n v="0"/>
    <n v="0"/>
    <n v="1537.2"/>
    <n v="43"/>
    <n v="41"/>
    <n v="0"/>
    <n v="44"/>
    <n v="0"/>
    <n v="1.14264997463782E-4"/>
    <n v="2.3953956470154899E-4"/>
    <n v="6.3852948300978703E-3"/>
    <n v="8.8302791118621791E-3"/>
    <n v="0.255768244083111"/>
  </r>
  <r>
    <x v="10"/>
    <s v="MVPRP"/>
    <s v="C25"/>
    <x v="2"/>
    <x v="0"/>
    <s v="I1.dat"/>
    <x v="1"/>
    <x v="0"/>
    <n v="59073.3"/>
    <n v="59068.796518442199"/>
    <n v="7.6235482997565694E-5"/>
    <n v="2361.9304001331302"/>
    <s v="[]"/>
    <n v="283"/>
    <m/>
    <n v="6000"/>
    <n v="28380"/>
    <n v="17067"/>
    <n v="5583"/>
    <n v="0"/>
    <n v="0"/>
    <n v="2043.3"/>
    <n v="618"/>
    <n v="1289"/>
    <n v="0"/>
    <n v="272"/>
    <n v="0"/>
    <n v="6.4777731284832799E-5"/>
    <n v="1.48378586103913E-4"/>
    <n v="3.3472926537357699E-3"/>
    <n v="6.2574896763062304E-3"/>
    <n v="0.13249350350368799"/>
  </r>
  <r>
    <x v="11"/>
    <s v="MVPRP"/>
    <s v="C20"/>
    <x v="1"/>
    <x v="0"/>
    <s v="I1.dat"/>
    <x v="1"/>
    <x v="1"/>
    <n v="86838.5"/>
    <n v="85177.787248064997"/>
    <n v="1.9124152903781701E-2"/>
    <n v="3600.6309173107102"/>
    <s v="[]"/>
    <n v="283"/>
    <m/>
    <n v="9000"/>
    <n v="48120"/>
    <n v="17811"/>
    <n v="7464"/>
    <n v="0"/>
    <n v="0"/>
    <n v="4443.5"/>
    <n v="1793"/>
    <n v="3445"/>
    <n v="0"/>
    <n v="514"/>
    <n v="0"/>
    <n v="6.2208036652199001E-5"/>
    <n v="1.39051527079122E-4"/>
    <n v="3.3480291566519E-3"/>
    <n v="5.7541839312902597E-3"/>
    <n v="0.117407903671265"/>
  </r>
  <r>
    <x v="0"/>
    <s v="MVPRP"/>
    <s v="C20"/>
    <x v="0"/>
    <x v="0"/>
    <s v="I1.dat"/>
    <x v="2"/>
    <x v="0"/>
    <n v="23484.9"/>
    <n v="23482.875408472799"/>
    <n v="8.6208224315230899E-5"/>
    <n v="3.7232596874237101"/>
    <s v="[]"/>
    <n v="283"/>
    <m/>
    <n v="3000"/>
    <n v="12030"/>
    <n v="4509"/>
    <n v="2671"/>
    <n v="0"/>
    <n v="0"/>
    <n v="1274.9000000000001"/>
    <n v="18"/>
    <n v="15"/>
    <n v="0"/>
    <n v="20"/>
    <n v="0"/>
    <n v="1.08660970415388E-4"/>
    <n v="3.5733836037771997E-4"/>
    <n v="7.0970058441162101E-3"/>
    <n v="1.35840177536011E-2"/>
    <n v="0.111748735109965"/>
  </r>
  <r>
    <x v="1"/>
    <s v="MVPRP"/>
    <s v="C10"/>
    <x v="1"/>
    <x v="0"/>
    <s v="I1.dat"/>
    <x v="2"/>
    <x v="0"/>
    <n v="52882.899587641798"/>
    <n v="52882.899587641798"/>
    <n v="0"/>
    <n v="48.8826711177826"/>
    <s v="[]"/>
    <n v="198"/>
    <m/>
    <n v="9000"/>
    <n v="26370"/>
    <n v="10336"/>
    <n v="5223.0000001710696"/>
    <n v="0"/>
    <n v="0"/>
    <n v="1953.8995874817999"/>
    <n v="82"/>
    <n v="90"/>
    <n v="0"/>
    <n v="21"/>
    <n v="0"/>
    <n v="4.6969055385327703E-5"/>
    <n v="9.7029396936678305E-5"/>
    <n v="3.3847483777508301E-3"/>
    <n v="4.7750190152960302E-3"/>
    <n v="5.40733156324942E-2"/>
  </r>
  <r>
    <x v="2"/>
    <s v="MVPRP"/>
    <s v="C15"/>
    <x v="0"/>
    <x v="0"/>
    <s v="I1.dat"/>
    <x v="2"/>
    <x v="0"/>
    <n v="20511.5"/>
    <n v="20511.5"/>
    <n v="0"/>
    <n v="7.6978039741516104"/>
    <s v="[]"/>
    <n v="198"/>
    <m/>
    <n v="3000"/>
    <n v="9960"/>
    <n v="3896"/>
    <n v="2762"/>
    <n v="0"/>
    <n v="0"/>
    <n v="893.5"/>
    <n v="10"/>
    <n v="117"/>
    <n v="0"/>
    <n v="24"/>
    <n v="0"/>
    <n v="8.4663839901194898E-5"/>
    <n v="1.6418350485218299E-4"/>
    <n v="6.0780743757883702E-3"/>
    <n v="8.5301833125932102E-3"/>
    <n v="6.3498449325561507E-2"/>
  </r>
  <r>
    <x v="3"/>
    <s v="MVPRP"/>
    <s v="C10"/>
    <x v="0"/>
    <x v="0"/>
    <s v="I1.dat"/>
    <x v="2"/>
    <x v="0"/>
    <n v="14480.9"/>
    <n v="14480.9"/>
    <n v="0"/>
    <n v="0.52627062797546398"/>
    <s v="[]"/>
    <n v="198"/>
    <m/>
    <n v="3000"/>
    <n v="6390"/>
    <n v="2999"/>
    <n v="1535"/>
    <n v="0"/>
    <n v="0"/>
    <n v="556.9"/>
    <n v="3"/>
    <n v="3"/>
    <n v="0"/>
    <n v="10"/>
    <n v="0"/>
    <n v="6.3214983258928604E-5"/>
    <n v="1.28646691640218E-4"/>
    <n v="4.9176432869651098E-3"/>
    <n v="3.60886255900065E-3"/>
    <n v="2.88317544119699E-2"/>
  </r>
  <r>
    <x v="4"/>
    <s v="MVPRP"/>
    <s v="C15"/>
    <x v="1"/>
    <x v="0"/>
    <s v="I1.dat"/>
    <x v="2"/>
    <x v="1"/>
    <n v="77791"/>
    <n v="75862.153697042697"/>
    <n v="2.4795237276256699E-2"/>
    <n v="3600.21104741097"/>
    <s v="[]"/>
    <n v="198"/>
    <m/>
    <n v="9000"/>
    <n v="40950"/>
    <n v="14484"/>
    <n v="9288"/>
    <n v="0"/>
    <n v="0"/>
    <n v="4069"/>
    <n v="1643"/>
    <n v="2858"/>
    <n v="0"/>
    <n v="249"/>
    <n v="0"/>
    <n v="7.1253788403000007E-5"/>
    <n v="1.6768425792994E-4"/>
    <n v="4.6662627751175604E-3"/>
    <n v="7.5219946361171804E-3"/>
    <n v="0.103163580917285"/>
  </r>
  <r>
    <x v="5"/>
    <s v="MVPRP"/>
    <s v="C10"/>
    <x v="2"/>
    <x v="0"/>
    <s v="I1.dat"/>
    <x v="2"/>
    <x v="0"/>
    <n v="30459.9"/>
    <n v="30459.9"/>
    <n v="0"/>
    <n v="3.3000903129577601"/>
    <s v="[]"/>
    <n v="198"/>
    <m/>
    <n v="6000"/>
    <n v="12690"/>
    <n v="8163"/>
    <n v="2706"/>
    <n v="0"/>
    <n v="0"/>
    <n v="900.9"/>
    <n v="16"/>
    <n v="23"/>
    <n v="0"/>
    <n v="14"/>
    <n v="0"/>
    <n v="7.4778706574242997E-5"/>
    <n v="1.5684631135728599E-4"/>
    <n v="4.3682098388671898E-3"/>
    <n v="6.30231698354085E-3"/>
    <n v="6.1492959658304903E-2"/>
  </r>
  <r>
    <x v="6"/>
    <s v="MVPRP"/>
    <s v="C15"/>
    <x v="2"/>
    <x v="0"/>
    <s v="I1.dat"/>
    <x v="2"/>
    <x v="0"/>
    <n v="43302.1"/>
    <n v="43302.1"/>
    <n v="0"/>
    <n v="337.12442708015402"/>
    <s v="[]"/>
    <n v="198"/>
    <m/>
    <n v="6000"/>
    <n v="19800"/>
    <n v="10877"/>
    <n v="5023"/>
    <n v="0"/>
    <n v="0"/>
    <n v="1602.1"/>
    <n v="255"/>
    <n v="329"/>
    <n v="0"/>
    <n v="35"/>
    <n v="0"/>
    <n v="6.2448700206682697E-5"/>
    <n v="1.2876731145212701E-4"/>
    <n v="3.7468142053679798E-3"/>
    <n v="5.5019352794791702E-3"/>
    <n v="5.2508191411275003E-2"/>
  </r>
  <r>
    <x v="7"/>
    <s v="MVPRP"/>
    <s v="C20"/>
    <x v="2"/>
    <x v="0"/>
    <s v="I1.dat"/>
    <x v="2"/>
    <x v="0"/>
    <n v="49276.7"/>
    <n v="49276.7"/>
    <n v="0"/>
    <n v="37.686814069747903"/>
    <s v="[]"/>
    <n v="283"/>
    <m/>
    <n v="6000"/>
    <n v="23820"/>
    <n v="12905"/>
    <n v="4842"/>
    <n v="0"/>
    <n v="0"/>
    <n v="1709.7"/>
    <n v="43"/>
    <n v="159"/>
    <n v="0"/>
    <n v="42"/>
    <n v="0"/>
    <n v="6.9317677898593394E-5"/>
    <n v="1.46230249284948E-4"/>
    <n v="4.0200255838111904E-3"/>
    <n v="5.4425754500936402E-3"/>
    <n v="0.16272019015418199"/>
  </r>
  <r>
    <x v="8"/>
    <s v="MVPRP"/>
    <s v="C25"/>
    <x v="1"/>
    <x v="0"/>
    <s v="I1.dat"/>
    <x v="2"/>
    <x v="1"/>
    <n v="112536.2"/>
    <n v="103710.952164891"/>
    <n v="7.8421413155132902E-2"/>
    <n v="3604.5631558895102"/>
    <s v="[]"/>
    <n v="283"/>
    <m/>
    <n v="12000"/>
    <n v="59880"/>
    <n v="25812"/>
    <n v="11126"/>
    <n v="0"/>
    <n v="0"/>
    <n v="3718.2"/>
    <n v="1395"/>
    <n v="4499"/>
    <n v="0"/>
    <n v="1592"/>
    <n v="0"/>
    <n v="1.07403132980482E-4"/>
    <n v="2.0766353530944799E-4"/>
    <n v="4.4166891767018898E-3"/>
    <n v="7.0671576519800499E-3"/>
    <n v="0.725152102912345"/>
  </r>
  <r>
    <x v="9"/>
    <s v="MVPRP"/>
    <s v="C25"/>
    <x v="0"/>
    <x v="0"/>
    <s v="I1.dat"/>
    <x v="2"/>
    <x v="0"/>
    <n v="27643.200000000001"/>
    <n v="27643.200000000001"/>
    <n v="0"/>
    <n v="6.6604814529418901"/>
    <s v="[]"/>
    <n v="283"/>
    <m/>
    <n v="3000"/>
    <n v="14340"/>
    <n v="5901"/>
    <n v="2865"/>
    <n v="0"/>
    <n v="0"/>
    <n v="1537.2"/>
    <n v="31"/>
    <n v="47"/>
    <n v="0"/>
    <n v="33"/>
    <n v="0"/>
    <n v="1.7964253660108199E-4"/>
    <n v="2.90959920638647E-4"/>
    <n v="8.0411183206658601E-3"/>
    <n v="1.07774535814921E-2"/>
    <n v="0.31213034523858002"/>
  </r>
  <r>
    <x v="10"/>
    <s v="MVPRP"/>
    <s v="C25"/>
    <x v="2"/>
    <x v="0"/>
    <s v="I1.dat"/>
    <x v="2"/>
    <x v="1"/>
    <n v="59073.3"/>
    <n v="58987.142589526004"/>
    <n v="1.45848311291213E-3"/>
    <n v="3601.7576711177799"/>
    <s v="[]"/>
    <n v="283"/>
    <m/>
    <n v="6000"/>
    <n v="28380"/>
    <n v="17067"/>
    <n v="5583"/>
    <n v="0"/>
    <n v="0"/>
    <n v="2043.3"/>
    <n v="556"/>
    <n v="1125"/>
    <n v="0"/>
    <n v="68"/>
    <n v="0"/>
    <n v="7.30219948633984E-5"/>
    <n v="1.7304220011921001E-4"/>
    <n v="3.73662193945491E-3"/>
    <n v="6.4790382416676498E-3"/>
    <n v="0.13065847898425301"/>
  </r>
  <r>
    <x v="11"/>
    <s v="MVPRP"/>
    <s v="C20"/>
    <x v="1"/>
    <x v="0"/>
    <s v="I1.dat"/>
    <x v="2"/>
    <x v="1"/>
    <n v="86942.999999000007"/>
    <n v="85162.673020282295"/>
    <n v="2.0476944420345401E-2"/>
    <n v="3601.7992267608602"/>
    <s v="[]"/>
    <n v="283"/>
    <m/>
    <n v="9000"/>
    <n v="48120"/>
    <n v="17441"/>
    <n v="7946"/>
    <n v="0"/>
    <n v="0"/>
    <n v="4435.9999989999496"/>
    <n v="2016"/>
    <n v="3749"/>
    <n v="0"/>
    <n v="738"/>
    <n v="0"/>
    <n v="7.2727442407075706E-5"/>
    <n v="1.5796999535378601E-4"/>
    <n v="3.7845086593810999E-3"/>
    <n v="6.26768721006578E-3"/>
    <n v="0.15567702560240801"/>
  </r>
  <r>
    <x v="0"/>
    <s v="MVPRP"/>
    <s v="C20"/>
    <x v="0"/>
    <x v="0"/>
    <s v="I1.dat"/>
    <x v="3"/>
    <x v="0"/>
    <n v="23484.9"/>
    <n v="23484.273168867399"/>
    <n v="2.6690815482531098E-5"/>
    <n v="2.6936521530151398"/>
    <s v="[]"/>
    <n v="283"/>
    <m/>
    <n v="3000"/>
    <n v="12030"/>
    <n v="4509"/>
    <n v="2671"/>
    <n v="0"/>
    <n v="0"/>
    <n v="1274.9000000000001"/>
    <n v="22"/>
    <n v="14"/>
    <n v="0"/>
    <n v="30"/>
    <n v="0"/>
    <n v="7.04305116520372E-5"/>
    <n v="2.5525427701180402E-4"/>
    <n v="5.5655968653691304E-3"/>
    <n v="8.5129908152988994E-3"/>
    <n v="4.5392303466796902E-2"/>
  </r>
  <r>
    <x v="1"/>
    <s v="MVPRP"/>
    <s v="C10"/>
    <x v="1"/>
    <x v="0"/>
    <s v="I1.dat"/>
    <x v="3"/>
    <x v="0"/>
    <n v="52882.899859256002"/>
    <n v="52882.899859256002"/>
    <n v="0"/>
    <n v="84.348108053207397"/>
    <s v="[]"/>
    <n v="198"/>
    <m/>
    <n v="9000"/>
    <n v="26370"/>
    <n v="10336"/>
    <n v="5223"/>
    <n v="0"/>
    <n v="0"/>
    <n v="1953.8998592988701"/>
    <n v="160"/>
    <n v="133"/>
    <n v="0"/>
    <n v="29"/>
    <n v="0"/>
    <n v="3.9100126028929197E-5"/>
    <n v="9.1178738521935297E-5"/>
    <n v="2.9971968959754602E-3"/>
    <n v="4.7232588763501098E-3"/>
    <n v="2.0548271966147301E-2"/>
  </r>
  <r>
    <x v="2"/>
    <s v="MVPRP"/>
    <s v="C15"/>
    <x v="0"/>
    <x v="0"/>
    <s v="I1.dat"/>
    <x v="3"/>
    <x v="0"/>
    <n v="20511.5"/>
    <n v="20511.5"/>
    <n v="0"/>
    <n v="5.4250066280364999"/>
    <s v="[]"/>
    <n v="198"/>
    <m/>
    <n v="3000"/>
    <n v="9960"/>
    <n v="3896"/>
    <n v="2762"/>
    <n v="0"/>
    <n v="0"/>
    <n v="893.5"/>
    <n v="14"/>
    <n v="97"/>
    <n v="0"/>
    <n v="32"/>
    <n v="0"/>
    <n v="7.5228802569500799E-5"/>
    <n v="1.5092102480141099E-4"/>
    <n v="5.6574461890048699E-3"/>
    <n v="7.6761071540449302E-3"/>
    <n v="2.8536915779113801E-2"/>
  </r>
  <r>
    <x v="3"/>
    <s v="MVPRP"/>
    <s v="C10"/>
    <x v="0"/>
    <x v="0"/>
    <s v="I1.dat"/>
    <x v="3"/>
    <x v="0"/>
    <n v="14480.9"/>
    <n v="14480.9"/>
    <n v="0"/>
    <n v="0.503878593444824"/>
    <s v="[]"/>
    <n v="198"/>
    <m/>
    <n v="3000"/>
    <n v="6390"/>
    <n v="2999"/>
    <n v="1535"/>
    <n v="0"/>
    <n v="0"/>
    <n v="556.9"/>
    <n v="7"/>
    <n v="2"/>
    <n v="0"/>
    <n v="12"/>
    <n v="0"/>
    <n v="5.6010920826981703E-5"/>
    <n v="1.42971674601237E-4"/>
    <n v="4.76691302131204E-3"/>
    <n v="3.4339087350027898E-3"/>
    <n v="1.3475179672241201E-2"/>
  </r>
  <r>
    <x v="4"/>
    <s v="MVPRP"/>
    <s v="C15"/>
    <x v="1"/>
    <x v="0"/>
    <s v="I1.dat"/>
    <x v="3"/>
    <x v="1"/>
    <n v="77613.8"/>
    <n v="75798.371260638101"/>
    <n v="2.3390540591516899E-2"/>
    <n v="3601.3080041408498"/>
    <s v="[]"/>
    <n v="198"/>
    <m/>
    <n v="9000"/>
    <n v="40950"/>
    <n v="15121"/>
    <n v="8366"/>
    <n v="0"/>
    <n v="0"/>
    <n v="4176.8"/>
    <n v="3016"/>
    <n v="2986"/>
    <n v="0"/>
    <n v="283"/>
    <n v="0"/>
    <n v="5.6727299430762297E-5"/>
    <n v="1.3353994052664499E-4"/>
    <n v="3.9877178005011202E-3"/>
    <n v="6.3591438191812804E-3"/>
    <n v="4.5774515319920203E-2"/>
  </r>
  <r>
    <x v="5"/>
    <s v="MVPRP"/>
    <s v="C10"/>
    <x v="2"/>
    <x v="0"/>
    <s v="I1.dat"/>
    <x v="3"/>
    <x v="0"/>
    <n v="30459.9"/>
    <n v="30459.9"/>
    <n v="0"/>
    <n v="2.48281621932983"/>
    <s v="[]"/>
    <n v="198"/>
    <m/>
    <n v="6000"/>
    <n v="12690"/>
    <n v="8163"/>
    <n v="2706"/>
    <n v="0"/>
    <n v="0"/>
    <n v="900.9"/>
    <n v="13"/>
    <n v="26"/>
    <n v="0"/>
    <n v="12"/>
    <n v="0"/>
    <n v="7.0051919846307695E-5"/>
    <n v="1.05095166032032E-4"/>
    <n v="4.0416416368986401E-3"/>
    <n v="4.9839874223477597E-3"/>
    <n v="2.5035491356482899E-2"/>
  </r>
  <r>
    <x v="6"/>
    <s v="MVPRP"/>
    <s v="C15"/>
    <x v="2"/>
    <x v="0"/>
    <s v="I1.dat"/>
    <x v="3"/>
    <x v="0"/>
    <n v="43302.099999999802"/>
    <n v="43301.770909090803"/>
    <n v="7.5998833543686603E-6"/>
    <n v="482.79911684989901"/>
    <s v="[]"/>
    <n v="198"/>
    <m/>
    <n v="6000"/>
    <n v="19800"/>
    <n v="10877"/>
    <n v="5023"/>
    <n v="0"/>
    <n v="0"/>
    <n v="1602.1"/>
    <n v="1005"/>
    <n v="449"/>
    <n v="0"/>
    <n v="47"/>
    <n v="0"/>
    <n v="5.28512321518783E-5"/>
    <n v="1.1760511516052999E-4"/>
    <n v="3.5608700405206002E-3"/>
    <n v="4.8974889591647999E-3"/>
    <n v="2.1255774564477099E-2"/>
  </r>
  <r>
    <x v="7"/>
    <s v="MVPRP"/>
    <s v="C20"/>
    <x v="2"/>
    <x v="0"/>
    <s v="I1.dat"/>
    <x v="3"/>
    <x v="0"/>
    <n v="49276.7"/>
    <n v="49276.7"/>
    <n v="0"/>
    <n v="37.821426153182998"/>
    <s v="[]"/>
    <n v="283"/>
    <m/>
    <n v="6000"/>
    <n v="23820"/>
    <n v="12905"/>
    <n v="4842"/>
    <n v="0"/>
    <n v="0"/>
    <n v="1709.7"/>
    <n v="34"/>
    <n v="202"/>
    <n v="0"/>
    <n v="51"/>
    <n v="0"/>
    <n v="7.4174541693467397E-5"/>
    <n v="1.7924031252583499E-4"/>
    <n v="4.0128999720505697E-3"/>
    <n v="7.01067114577574E-3"/>
    <n v="7.71025848388672E-2"/>
  </r>
  <r>
    <x v="8"/>
    <s v="MVPRP"/>
    <s v="C25"/>
    <x v="1"/>
    <x v="0"/>
    <s v="I1.dat"/>
    <x v="3"/>
    <x v="1"/>
    <n v="109514.7"/>
    <n v="103729.999759874"/>
    <n v="5.2821221627104301E-2"/>
    <n v="3603.4065866470301"/>
    <s v="[]"/>
    <n v="283"/>
    <m/>
    <n v="12000"/>
    <n v="59880"/>
    <n v="23138"/>
    <n v="8848"/>
    <n v="0"/>
    <n v="0"/>
    <n v="5648.7"/>
    <n v="1850"/>
    <n v="4551"/>
    <n v="0"/>
    <n v="1348"/>
    <n v="0"/>
    <n v="9.6308436602099594E-5"/>
    <n v="1.9433807949810101E-4"/>
    <n v="4.2479677379829803E-3"/>
    <n v="6.5951767509625399E-3"/>
    <n v="0.23030257391471901"/>
  </r>
  <r>
    <x v="9"/>
    <s v="MVPRP"/>
    <s v="C25"/>
    <x v="0"/>
    <x v="0"/>
    <s v="I1.dat"/>
    <x v="3"/>
    <x v="0"/>
    <n v="27643.200000000001"/>
    <n v="27643.200000000001"/>
    <n v="0"/>
    <n v="6.0773780345916801"/>
    <s v="[]"/>
    <n v="283"/>
    <m/>
    <n v="3000"/>
    <n v="14340"/>
    <n v="5901"/>
    <n v="2865"/>
    <n v="0"/>
    <n v="0"/>
    <n v="1537.2"/>
    <n v="20"/>
    <n v="53"/>
    <n v="0"/>
    <n v="39"/>
    <n v="0"/>
    <n v="1.6993977302728701E-4"/>
    <n v="2.5126574531434098E-4"/>
    <n v="8.93655873961368E-3"/>
    <n v="8.6186454019833002E-3"/>
    <n v="0.115150108933449"/>
  </r>
  <r>
    <x v="10"/>
    <s v="MVPRP"/>
    <s v="C25"/>
    <x v="2"/>
    <x v="0"/>
    <s v="I1.dat"/>
    <x v="3"/>
    <x v="1"/>
    <n v="59073.3"/>
    <n v="59000.772645108198"/>
    <n v="1.2277518759196001E-3"/>
    <n v="3600.2036778926899"/>
    <s v="[]"/>
    <n v="283"/>
    <m/>
    <n v="6000"/>
    <n v="28380"/>
    <n v="17067"/>
    <n v="5583"/>
    <n v="0"/>
    <n v="0"/>
    <n v="2043.3"/>
    <n v="813"/>
    <n v="1083"/>
    <n v="0"/>
    <n v="99"/>
    <n v="0"/>
    <n v="7.6034642033210001E-5"/>
    <n v="1.7567718070690501E-4"/>
    <n v="3.9381016400510801E-3"/>
    <n v="6.4824837095597198E-3"/>
    <n v="7.3500526662865995E-2"/>
  </r>
  <r>
    <x v="11"/>
    <s v="MVPRP"/>
    <s v="C20"/>
    <x v="1"/>
    <x v="0"/>
    <s v="I1.dat"/>
    <x v="3"/>
    <x v="1"/>
    <n v="86989.1"/>
    <n v="85172.135764155493"/>
    <n v="2.0887263299017099E-2"/>
    <n v="3602.3014893531799"/>
    <s v="[]"/>
    <n v="283"/>
    <m/>
    <n v="9000"/>
    <n v="48120"/>
    <n v="17820"/>
    <n v="7610"/>
    <n v="0"/>
    <n v="0"/>
    <n v="4439.1000000000004"/>
    <n v="2362"/>
    <n v="3639"/>
    <n v="0"/>
    <n v="618"/>
    <n v="0"/>
    <n v="7.2648997730437602E-5"/>
    <n v="1.5561970763392901E-4"/>
    <n v="3.69170599691541E-3"/>
    <n v="5.8224681790947199E-3"/>
    <n v="6.6044172069262594E-2"/>
  </r>
  <r>
    <x v="0"/>
    <s v="MVPRP"/>
    <s v="C20"/>
    <x v="0"/>
    <x v="0"/>
    <s v="I1.dat"/>
    <x v="3"/>
    <x v="0"/>
    <n v="23484.9"/>
    <n v="23484.9"/>
    <n v="0"/>
    <n v="2.1241505146026598"/>
    <s v="[]"/>
    <n v="283"/>
    <m/>
    <n v="3000"/>
    <n v="12030"/>
    <n v="4509"/>
    <n v="2671"/>
    <n v="0"/>
    <n v="0"/>
    <n v="1274.9000000000001"/>
    <n v="19"/>
    <n v="8"/>
    <n v="0"/>
    <n v="26"/>
    <n v="0"/>
    <n v="1.00642107845692E-4"/>
    <n v="3.1228292556036098E-4"/>
    <n v="6.3432819313473197E-3"/>
    <n v="1.04429986741808E-2"/>
    <n v="4.3658653895060198E-2"/>
  </r>
  <r>
    <x v="1"/>
    <s v="MVPRP"/>
    <s v="C10"/>
    <x v="1"/>
    <x v="0"/>
    <s v="I1.dat"/>
    <x v="3"/>
    <x v="0"/>
    <n v="52882.8998399911"/>
    <n v="52882.8998399911"/>
    <n v="0"/>
    <n v="78.458086252212496"/>
    <s v="[]"/>
    <n v="198"/>
    <m/>
    <n v="9000"/>
    <n v="26370"/>
    <n v="10336"/>
    <n v="5223"/>
    <n v="0"/>
    <n v="0"/>
    <n v="1953.89983999111"/>
    <n v="169"/>
    <n v="116"/>
    <n v="0"/>
    <n v="23"/>
    <n v="0"/>
    <n v="4.2701447690213402E-5"/>
    <n v="9.8999814741410993E-5"/>
    <n v="3.1401331537898101E-3"/>
    <n v="4.7284330465330697E-3"/>
    <n v="2.26562236672017E-2"/>
  </r>
  <r>
    <x v="2"/>
    <s v="MVPRP"/>
    <s v="C15"/>
    <x v="0"/>
    <x v="0"/>
    <s v="I1.dat"/>
    <x v="3"/>
    <x v="0"/>
    <n v="20511.5"/>
    <n v="20511.5"/>
    <n v="0"/>
    <n v="6.1423096656799299"/>
    <s v="[]"/>
    <n v="198"/>
    <m/>
    <n v="3000"/>
    <n v="9960"/>
    <n v="3896"/>
    <n v="2762"/>
    <n v="0"/>
    <n v="0"/>
    <n v="893.5"/>
    <n v="21"/>
    <n v="112"/>
    <n v="0"/>
    <n v="22"/>
    <n v="0"/>
    <n v="8.7144699963656296E-5"/>
    <n v="1.5044212341308599E-4"/>
    <n v="6.13233290220562E-3"/>
    <n v="7.3096090150110904E-3"/>
    <n v="2.9833233874777099E-2"/>
  </r>
  <r>
    <x v="3"/>
    <s v="MVPRP"/>
    <s v="C10"/>
    <x v="0"/>
    <x v="0"/>
    <s v="I1.dat"/>
    <x v="3"/>
    <x v="0"/>
    <n v="14480.9"/>
    <n v="14480.9"/>
    <n v="0"/>
    <n v="0.60386419296264704"/>
    <s v="[]"/>
    <n v="198"/>
    <m/>
    <n v="3000"/>
    <n v="6390"/>
    <n v="2999"/>
    <n v="1535"/>
    <n v="0"/>
    <n v="0"/>
    <n v="556.9"/>
    <n v="6"/>
    <n v="4"/>
    <n v="0"/>
    <n v="11"/>
    <n v="0"/>
    <n v="6.9958823067801303E-5"/>
    <n v="1.44322713216146E-4"/>
    <n v="4.9808886316087498E-3"/>
    <n v="5.2747726440429696E-3"/>
    <n v="1.3585307381369901E-2"/>
  </r>
  <r>
    <x v="4"/>
    <s v="MVPRP"/>
    <s v="C15"/>
    <x v="1"/>
    <x v="0"/>
    <s v="I1.dat"/>
    <x v="3"/>
    <x v="1"/>
    <n v="77616.399971046994"/>
    <n v="75749.753424936702"/>
    <n v="2.40496408852592E-2"/>
    <n v="3600.5980393886598"/>
    <s v="[]"/>
    <n v="198"/>
    <m/>
    <n v="9000"/>
    <n v="40950"/>
    <n v="14767"/>
    <n v="8770"/>
    <n v="0"/>
    <n v="0"/>
    <n v="4129.3999710470398"/>
    <n v="2909"/>
    <n v="3061"/>
    <n v="0"/>
    <n v="344"/>
    <n v="0"/>
    <n v="7.1918071126843996E-5"/>
    <n v="1.5891866293884401E-4"/>
    <n v="4.73169567093807E-3"/>
    <n v="6.9081497683810798E-3"/>
    <n v="6.4481183417938001E-2"/>
  </r>
  <r>
    <x v="5"/>
    <s v="MVPRP"/>
    <s v="C10"/>
    <x v="2"/>
    <x v="0"/>
    <s v="I1.dat"/>
    <x v="3"/>
    <x v="0"/>
    <n v="30459.9"/>
    <n v="30459.9"/>
    <n v="0"/>
    <n v="2.53425097465515"/>
    <s v="[]"/>
    <n v="198"/>
    <m/>
    <n v="6000"/>
    <n v="12690"/>
    <n v="8163"/>
    <n v="2706"/>
    <n v="0"/>
    <n v="0"/>
    <n v="900.9"/>
    <n v="11"/>
    <n v="26"/>
    <n v="0"/>
    <n v="12"/>
    <n v="0"/>
    <n v="5.7975086597127702E-5"/>
    <n v="1.162674691942E-4"/>
    <n v="3.9330744275859796E-3"/>
    <n v="5.2442508336354998E-3"/>
    <n v="2.4826955795288101E-2"/>
  </r>
  <r>
    <x v="6"/>
    <s v="MVPRP"/>
    <s v="C15"/>
    <x v="2"/>
    <x v="0"/>
    <s v="I1.dat"/>
    <x v="3"/>
    <x v="0"/>
    <n v="43302.1"/>
    <n v="43302.1"/>
    <n v="0"/>
    <n v="470.04147410392801"/>
    <s v="[]"/>
    <n v="198"/>
    <m/>
    <n v="6000"/>
    <n v="19800"/>
    <n v="10877"/>
    <n v="5023"/>
    <n v="0"/>
    <n v="0"/>
    <n v="1602.1"/>
    <n v="894"/>
    <n v="441"/>
    <n v="0"/>
    <n v="52"/>
    <n v="0"/>
    <n v="5.0456325707594602E-5"/>
    <n v="1.119158971004E-4"/>
    <n v="3.47983689804156E-3"/>
    <n v="5.0001522531593103E-3"/>
    <n v="2.1620880595237198E-2"/>
  </r>
  <r>
    <x v="7"/>
    <s v="MVPRP"/>
    <s v="C20"/>
    <x v="2"/>
    <x v="0"/>
    <s v="I1.dat"/>
    <x v="3"/>
    <x v="0"/>
    <n v="49276.7"/>
    <n v="49276.7"/>
    <n v="0"/>
    <n v="36.237851858139003"/>
    <s v="[]"/>
    <n v="283"/>
    <m/>
    <n v="6000"/>
    <n v="23820"/>
    <n v="12905"/>
    <n v="4842"/>
    <n v="0"/>
    <n v="0"/>
    <n v="1709.7"/>
    <n v="46"/>
    <n v="206"/>
    <n v="0"/>
    <n v="47"/>
    <n v="0"/>
    <n v="6.8198650255115798E-5"/>
    <n v="1.3244655770315301E-4"/>
    <n v="3.8728460003829902E-3"/>
    <n v="5.4157160636785001E-3"/>
    <n v="9.0326925118764195E-2"/>
  </r>
  <r>
    <x v="8"/>
    <s v="MVPRP"/>
    <s v="C25"/>
    <x v="1"/>
    <x v="0"/>
    <s v="I1.dat"/>
    <x v="3"/>
    <x v="1"/>
    <n v="109941.8"/>
    <n v="103702.578385368"/>
    <n v="5.67502225234819E-2"/>
    <n v="3602.3090198039999"/>
    <s v="[]"/>
    <n v="283"/>
    <m/>
    <n v="9000"/>
    <n v="59880"/>
    <n v="23703"/>
    <n v="10282"/>
    <n v="0"/>
    <n v="0"/>
    <n v="7076.8"/>
    <n v="2185"/>
    <n v="4869"/>
    <n v="0"/>
    <n v="1477"/>
    <n v="0"/>
    <n v="8.9711623554780397E-5"/>
    <n v="1.8414079795833399E-4"/>
    <n v="4.2463476134434004E-3"/>
    <n v="6.5396125162474799E-3"/>
    <n v="0.25328712605954801"/>
  </r>
  <r>
    <x v="9"/>
    <s v="MVPRP"/>
    <s v="C25"/>
    <x v="0"/>
    <x v="0"/>
    <s v="I1.dat"/>
    <x v="3"/>
    <x v="0"/>
    <n v="27643.200000000001"/>
    <n v="27643.200000000001"/>
    <n v="0"/>
    <n v="6.93424272537231"/>
    <s v="[]"/>
    <n v="283"/>
    <m/>
    <n v="3000"/>
    <n v="14340"/>
    <n v="5901"/>
    <n v="2865"/>
    <n v="0"/>
    <n v="0"/>
    <n v="1537.2"/>
    <n v="10"/>
    <n v="129"/>
    <n v="0"/>
    <n v="46"/>
    <n v="0"/>
    <n v="1.3291835784912101E-4"/>
    <n v="2.6433608111213198E-4"/>
    <n v="6.3800752162933398E-3"/>
    <n v="9.7953912190028598E-3"/>
    <n v="0.132366538047791"/>
  </r>
  <r>
    <x v="10"/>
    <s v="MVPRP"/>
    <s v="C25"/>
    <x v="2"/>
    <x v="0"/>
    <s v="I1.dat"/>
    <x v="3"/>
    <x v="1"/>
    <n v="59073.299983710698"/>
    <n v="58966.552991327997"/>
    <n v="1.807026057663E-3"/>
    <n v="3601.5513525009201"/>
    <s v="[]"/>
    <n v="283"/>
    <m/>
    <n v="6000"/>
    <n v="28380"/>
    <n v="17067.0000037467"/>
    <n v="5582.9999786506896"/>
    <n v="0"/>
    <n v="0"/>
    <n v="2043.3000013133701"/>
    <n v="708"/>
    <n v="952"/>
    <n v="0"/>
    <n v="89"/>
    <n v="0"/>
    <n v="6.9237045977792497E-5"/>
    <n v="1.5784455824268E-4"/>
    <n v="3.7130469496584801E-3"/>
    <n v="6.2537253200635797E-3"/>
    <n v="6.6824463047139002E-2"/>
  </r>
  <r>
    <x v="11"/>
    <s v="MVPRP"/>
    <s v="C20"/>
    <x v="1"/>
    <x v="0"/>
    <s v="I1.dat"/>
    <x v="3"/>
    <x v="1"/>
    <n v="86838.5"/>
    <n v="85173.456282500498"/>
    <n v="1.9174026698982001E-2"/>
    <n v="3601.3531141281101"/>
    <s v="[]"/>
    <n v="283"/>
    <m/>
    <n v="9000"/>
    <n v="48120"/>
    <n v="17811"/>
    <n v="7464"/>
    <n v="0"/>
    <n v="0"/>
    <n v="4443.5"/>
    <n v="2193"/>
    <n v="3328"/>
    <n v="0"/>
    <n v="515"/>
    <n v="0"/>
    <n v="7.5597790371057002E-5"/>
    <n v="1.7191678720425001E-4"/>
    <n v="3.81578554783121E-3"/>
    <n v="6.5004859564913803E-3"/>
    <n v="6.8586226681183096E-2"/>
  </r>
  <r>
    <x v="0"/>
    <s v="MVPRP"/>
    <s v="C20"/>
    <x v="0"/>
    <x v="0"/>
    <s v="I1.dat"/>
    <x v="3"/>
    <x v="0"/>
    <n v="23484.935335688999"/>
    <n v="23484.5819787986"/>
    <n v="1.50461087248471E-5"/>
    <n v="2.31983494758606"/>
    <s v="[]"/>
    <n v="283"/>
    <m/>
    <n v="3000"/>
    <n v="12030"/>
    <n v="4509"/>
    <n v="2671"/>
    <n v="0"/>
    <n v="0"/>
    <n v="1274.9353356890499"/>
    <n v="21"/>
    <n v="12"/>
    <n v="0"/>
    <n v="23"/>
    <n v="0"/>
    <n v="1.05416774749756E-4"/>
    <n v="3.3688545227050798E-4"/>
    <n v="6.4901569310356604E-3"/>
    <n v="1.01902325948079E-2"/>
    <n v="4.811931848526E-2"/>
  </r>
  <r>
    <x v="1"/>
    <s v="MVPRP"/>
    <s v="C10"/>
    <x v="1"/>
    <x v="0"/>
    <s v="I1.dat"/>
    <x v="3"/>
    <x v="0"/>
    <n v="52882.8996133619"/>
    <n v="52882.8996133619"/>
    <n v="0"/>
    <n v="99.843696594238295"/>
    <s v="[]"/>
    <n v="198"/>
    <m/>
    <n v="9000"/>
    <n v="26370"/>
    <n v="10336"/>
    <n v="5223"/>
    <n v="0"/>
    <n v="0"/>
    <n v="1953.89961336187"/>
    <n v="166"/>
    <n v="121"/>
    <n v="0"/>
    <n v="22"/>
    <n v="0"/>
    <n v="4.9100709586680803E-5"/>
    <n v="1.1946585933858E-4"/>
    <n v="3.4452234683786799E-3"/>
    <n v="5.4403412893184898E-3"/>
    <n v="2.5304679212899001E-2"/>
  </r>
  <r>
    <x v="2"/>
    <s v="MVPRP"/>
    <s v="C15"/>
    <x v="0"/>
    <x v="0"/>
    <s v="I1.dat"/>
    <x v="3"/>
    <x v="0"/>
    <n v="20511.5"/>
    <n v="20511.5"/>
    <n v="0"/>
    <n v="7.5994932651519802"/>
    <s v="[]"/>
    <n v="198"/>
    <m/>
    <n v="3000"/>
    <n v="9960"/>
    <n v="3896"/>
    <n v="2762"/>
    <n v="0"/>
    <n v="0"/>
    <n v="893.5"/>
    <n v="16"/>
    <n v="118"/>
    <n v="0"/>
    <n v="28"/>
    <n v="0"/>
    <n v="1.06016794840495E-4"/>
    <n v="1.810485481197E-4"/>
    <n v="6.64146928226247E-3"/>
    <n v="8.3927592487199904E-3"/>
    <n v="3.1059265136718799E-2"/>
  </r>
  <r>
    <x v="3"/>
    <s v="MVPRP"/>
    <s v="C10"/>
    <x v="0"/>
    <x v="0"/>
    <s v="I1.dat"/>
    <x v="3"/>
    <x v="0"/>
    <n v="14480.9"/>
    <n v="14480.9"/>
    <n v="0"/>
    <n v="0.67783951759338401"/>
    <s v="[]"/>
    <n v="198"/>
    <m/>
    <n v="3000"/>
    <n v="6390"/>
    <n v="2999"/>
    <n v="1535"/>
    <n v="0"/>
    <n v="0"/>
    <n v="556.9"/>
    <n v="7"/>
    <n v="5"/>
    <n v="0"/>
    <n v="10"/>
    <n v="0"/>
    <n v="8.8877794219226406E-5"/>
    <n v="1.6628901163736999E-4"/>
    <n v="5.84442747963799E-3"/>
    <n v="5.3318142890930202E-3"/>
    <n v="1.47781372070313E-2"/>
  </r>
  <r>
    <x v="4"/>
    <s v="MVPRP"/>
    <s v="C15"/>
    <x v="1"/>
    <x v="0"/>
    <s v="I1.dat"/>
    <x v="3"/>
    <x v="1"/>
    <n v="78089"/>
    <n v="75737.653136297304"/>
    <n v="3.0111115057212701E-2"/>
    <n v="3600.33223938942"/>
    <s v="[]"/>
    <n v="198"/>
    <m/>
    <n v="9000"/>
    <n v="40950"/>
    <n v="15269"/>
    <n v="8590"/>
    <n v="0"/>
    <n v="0"/>
    <n v="4280"/>
    <n v="2558"/>
    <n v="2945"/>
    <n v="0"/>
    <n v="324"/>
    <n v="0"/>
    <n v="8.6387975992454496E-5"/>
    <n v="1.83460105289548E-4"/>
    <n v="5.0133485737908802E-3"/>
    <n v="7.30447064643265E-3"/>
    <n v="6.3974950386053595E-2"/>
  </r>
  <r>
    <x v="5"/>
    <s v="MVPRP"/>
    <s v="C10"/>
    <x v="2"/>
    <x v="0"/>
    <s v="I1.dat"/>
    <x v="3"/>
    <x v="0"/>
    <n v="30459.9"/>
    <n v="30459.9"/>
    <n v="0"/>
    <n v="3.5169930458068799"/>
    <s v="[]"/>
    <n v="198"/>
    <m/>
    <n v="6000"/>
    <n v="12690"/>
    <n v="8163"/>
    <n v="2706"/>
    <n v="0"/>
    <n v="0"/>
    <n v="900.9"/>
    <n v="10"/>
    <n v="28"/>
    <n v="0"/>
    <n v="15"/>
    <n v="0"/>
    <n v="7.6505602622518699E-5"/>
    <n v="1.34951029068384E-4"/>
    <n v="4.3620136049058698E-3"/>
    <n v="5.6698555881912601E-3"/>
    <n v="2.6275726465078499E-2"/>
  </r>
  <r>
    <x v="6"/>
    <s v="MVPRP"/>
    <s v="C15"/>
    <x v="2"/>
    <x v="0"/>
    <s v="I1.dat"/>
    <x v="3"/>
    <x v="0"/>
    <n v="43302.0999505"/>
    <n v="43302.0999505"/>
    <n v="0"/>
    <n v="412.19820618629501"/>
    <s v="[]"/>
    <n v="198"/>
    <m/>
    <n v="6000"/>
    <n v="19800"/>
    <n v="10877"/>
    <n v="5022.9998775000004"/>
    <n v="0"/>
    <n v="0"/>
    <n v="1602.1000730000001"/>
    <n v="941"/>
    <n v="384"/>
    <n v="0"/>
    <n v="51"/>
    <n v="0"/>
    <n v="5.7153888807249201E-5"/>
    <n v="1.3317397178912201E-4"/>
    <n v="3.7170301898772199E-3"/>
    <n v="5.4425991218508699E-3"/>
    <n v="2.26094053146687E-2"/>
  </r>
  <r>
    <x v="7"/>
    <s v="MVPRP"/>
    <s v="C20"/>
    <x v="2"/>
    <x v="0"/>
    <s v="I1.dat"/>
    <x v="3"/>
    <x v="0"/>
    <n v="49276.699999999597"/>
    <n v="49276.699999999597"/>
    <n v="0"/>
    <n v="31.435534238815301"/>
    <s v="[]"/>
    <n v="283"/>
    <m/>
    <n v="6000"/>
    <n v="23820"/>
    <n v="12905"/>
    <n v="4842"/>
    <n v="0"/>
    <n v="0"/>
    <n v="1709.7"/>
    <n v="55"/>
    <n v="122"/>
    <n v="0"/>
    <n v="44"/>
    <n v="0"/>
    <n v="7.4914523533412404E-5"/>
    <n v="1.2620891012796501E-4"/>
    <n v="4.0971396262185602E-3"/>
    <n v="4.6219404771238202E-3"/>
    <n v="0.102562420708793"/>
  </r>
  <r>
    <x v="8"/>
    <s v="MVPRP"/>
    <s v="C25"/>
    <x v="1"/>
    <x v="0"/>
    <s v="I1.dat"/>
    <x v="3"/>
    <x v="1"/>
    <n v="109558"/>
    <n v="103732.71774413"/>
    <n v="5.3170761202926603E-2"/>
    <n v="3600.92423868179"/>
    <s v="[]"/>
    <n v="283"/>
    <m/>
    <n v="9000"/>
    <n v="59880"/>
    <n v="22765"/>
    <n v="10880"/>
    <n v="0"/>
    <n v="0"/>
    <n v="7033"/>
    <n v="1429"/>
    <n v="3786"/>
    <n v="0"/>
    <n v="1047"/>
    <n v="0"/>
    <n v="1.0817832436126799E-4"/>
    <n v="2.23463917699989E-4"/>
    <n v="4.9236907706523697E-3"/>
    <n v="7.78373763427786E-3"/>
    <n v="0.280958838539211"/>
  </r>
  <r>
    <x v="9"/>
    <s v="MVPRP"/>
    <s v="C25"/>
    <x v="0"/>
    <x v="0"/>
    <s v="I1.dat"/>
    <x v="3"/>
    <x v="0"/>
    <n v="27643.200000000001"/>
    <n v="27643.200000000001"/>
    <n v="0"/>
    <n v="6.2862789630889901"/>
    <s v="[]"/>
    <n v="283"/>
    <m/>
    <n v="3000"/>
    <n v="14340"/>
    <n v="5901"/>
    <n v="2865"/>
    <n v="0"/>
    <n v="0"/>
    <n v="1537.2"/>
    <n v="44"/>
    <n v="67"/>
    <n v="0"/>
    <n v="42"/>
    <n v="0"/>
    <n v="1.28350538365981E-4"/>
    <n v="2.9377346364860897E-4"/>
    <n v="7.4375766818806296E-3"/>
    <n v="1.15870197423908E-2"/>
    <n v="0.12595210756574399"/>
  </r>
  <r>
    <x v="10"/>
    <s v="MVPRP"/>
    <s v="C25"/>
    <x v="2"/>
    <x v="0"/>
    <s v="I1.dat"/>
    <x v="3"/>
    <x v="1"/>
    <n v="59073.299991763299"/>
    <n v="58978.179810781803"/>
    <n v="1.61020598129323E-3"/>
    <n v="3600.39277291298"/>
    <s v="[]"/>
    <n v="283"/>
    <m/>
    <n v="6000"/>
    <n v="28379.999995288599"/>
    <n v="17067.000000993499"/>
    <n v="5582.9999949868497"/>
    <n v="0"/>
    <n v="0"/>
    <n v="2043.3000004943201"/>
    <n v="769"/>
    <n v="1018"/>
    <n v="0"/>
    <n v="114"/>
    <n v="0"/>
    <n v="7.9776931406664906E-5"/>
    <n v="1.8759518406077599E-4"/>
    <n v="4.0815343587135003E-3"/>
    <n v="7.2174761142745399E-3"/>
    <n v="7.5083649500854305E-2"/>
  </r>
  <r>
    <x v="11"/>
    <s v="MVPRP"/>
    <s v="C20"/>
    <x v="1"/>
    <x v="0"/>
    <s v="I1.dat"/>
    <x v="3"/>
    <x v="1"/>
    <n v="86931.9"/>
    <n v="85130.492023328494"/>
    <n v="2.072205918278E-2"/>
    <n v="3601.8374607563001"/>
    <s v="[]"/>
    <n v="283"/>
    <m/>
    <n v="9000"/>
    <n v="48120"/>
    <n v="17933"/>
    <n v="7368"/>
    <n v="0"/>
    <n v="0"/>
    <n v="4510.8999999999996"/>
    <n v="2294"/>
    <n v="3275"/>
    <n v="0"/>
    <n v="935"/>
    <n v="0"/>
    <n v="9.22053795000727E-5"/>
    <n v="1.89867971607688E-4"/>
    <n v="4.2449239038208899E-3"/>
    <n v="6.8046348934732697E-3"/>
    <n v="0.141556371923686"/>
  </r>
  <r>
    <x v="0"/>
    <s v="MVPRP"/>
    <s v="C20"/>
    <x v="0"/>
    <x v="0"/>
    <s v="I1.dat"/>
    <x v="2"/>
    <x v="0"/>
    <n v="23484.9"/>
    <n v="23484.9"/>
    <n v="0"/>
    <n v="4.2927539348602304"/>
    <s v="[]"/>
    <n v="283"/>
    <m/>
    <n v="3000"/>
    <n v="12030"/>
    <n v="4509"/>
    <n v="2671"/>
    <n v="0"/>
    <n v="0"/>
    <n v="1274.9000000000001"/>
    <n v="15"/>
    <n v="55"/>
    <n v="0"/>
    <n v="27"/>
    <n v="0"/>
    <n v="8.85804494222005E-5"/>
    <n v="2.0811121950867399E-4"/>
    <n v="6.10154750300389E-3"/>
    <n v="8.2251744240707508E-3"/>
    <n v="0.105196073651314"/>
  </r>
  <r>
    <x v="1"/>
    <s v="MVPRP"/>
    <s v="C10"/>
    <x v="1"/>
    <x v="0"/>
    <s v="I1.dat"/>
    <x v="2"/>
    <x v="0"/>
    <n v="52882.899877381104"/>
    <n v="52882.899877381104"/>
    <n v="0"/>
    <n v="54.109435558319099"/>
    <s v="[]"/>
    <n v="198"/>
    <m/>
    <n v="9000"/>
    <n v="26370"/>
    <n v="10336.0000142599"/>
    <n v="5222.9999423885502"/>
    <n v="0"/>
    <n v="0"/>
    <n v="1953.89991505694"/>
    <n v="94"/>
    <n v="137"/>
    <n v="0"/>
    <n v="24"/>
    <n v="0"/>
    <n v="4.4383018122993501E-5"/>
    <n v="1.0430138297532299E-4"/>
    <n v="3.4984350204467799E-3"/>
    <n v="5.1310543494154596E-3"/>
    <n v="6.0155612544009598E-2"/>
  </r>
  <r>
    <x v="2"/>
    <s v="MVPRP"/>
    <s v="C15"/>
    <x v="0"/>
    <x v="0"/>
    <s v="I1.dat"/>
    <x v="2"/>
    <x v="0"/>
    <n v="20511.5"/>
    <n v="20511.5"/>
    <n v="0"/>
    <n v="6.8995060920715297"/>
    <s v="[]"/>
    <n v="198"/>
    <m/>
    <n v="3000"/>
    <n v="9960"/>
    <n v="3896"/>
    <n v="2762"/>
    <n v="0"/>
    <n v="0"/>
    <n v="893.5"/>
    <n v="9"/>
    <n v="114"/>
    <n v="0"/>
    <n v="28"/>
    <n v="0"/>
    <n v="8.1665721940405594E-5"/>
    <n v="1.6259214731568101E-4"/>
    <n v="6.0283342997233102E-3"/>
    <n v="8.0320311981497503E-3"/>
    <n v="5.7550631071391897E-2"/>
  </r>
  <r>
    <x v="3"/>
    <s v="MVPRP"/>
    <s v="C10"/>
    <x v="0"/>
    <x v="0"/>
    <s v="I1.dat"/>
    <x v="2"/>
    <x v="0"/>
    <n v="14480.9"/>
    <n v="14480.9"/>
    <n v="0"/>
    <n v="0.85931992530822798"/>
    <s v="[]"/>
    <n v="198"/>
    <m/>
    <n v="3000"/>
    <n v="6390"/>
    <n v="2999"/>
    <n v="1535"/>
    <n v="0"/>
    <n v="0"/>
    <n v="556.9"/>
    <n v="4"/>
    <n v="8"/>
    <n v="0"/>
    <n v="13"/>
    <n v="0"/>
    <n v="7.1769668942406103E-5"/>
    <n v="1.6559163729349801E-4"/>
    <n v="5.28455461774554E-3"/>
    <n v="6.9639046986897796E-3"/>
    <n v="2.9034304618835501E-2"/>
  </r>
  <r>
    <x v="4"/>
    <s v="MVPRP"/>
    <s v="C15"/>
    <x v="1"/>
    <x v="0"/>
    <s v="I1.dat"/>
    <x v="2"/>
    <x v="1"/>
    <n v="77960"/>
    <n v="75849.186864563904"/>
    <n v="2.7075591783429401E-2"/>
    <n v="3600.3418192863501"/>
    <s v="[]"/>
    <n v="198"/>
    <m/>
    <n v="9000"/>
    <n v="40950"/>
    <n v="15679"/>
    <n v="8480"/>
    <n v="0"/>
    <n v="0"/>
    <n v="3851"/>
    <n v="1647"/>
    <n v="3104"/>
    <n v="0"/>
    <n v="256"/>
    <n v="0"/>
    <n v="7.8302986232548302E-5"/>
    <n v="1.8255186583680599E-4"/>
    <n v="4.7680002238760502E-3"/>
    <n v="7.5960492093166999E-3"/>
    <n v="0.107949912326487"/>
  </r>
  <r>
    <x v="5"/>
    <s v="MVPRP"/>
    <s v="C10"/>
    <x v="2"/>
    <x v="0"/>
    <s v="I1.dat"/>
    <x v="2"/>
    <x v="0"/>
    <n v="30459.9"/>
    <n v="30459.9"/>
    <n v="0"/>
    <n v="3.59976029396057"/>
    <s v="[]"/>
    <n v="198"/>
    <m/>
    <n v="6000"/>
    <n v="12690"/>
    <n v="8163"/>
    <n v="2706"/>
    <n v="0"/>
    <n v="0"/>
    <n v="900.9"/>
    <n v="12"/>
    <n v="26"/>
    <n v="0"/>
    <n v="12"/>
    <n v="0"/>
    <n v="6.8838156542731706E-5"/>
    <n v="1.5872612334134301E-4"/>
    <n v="4.21223640441895E-3"/>
    <n v="6.2547072216316496E-3"/>
    <n v="6.01080145154681E-2"/>
  </r>
  <r>
    <x v="6"/>
    <s v="MVPRP"/>
    <s v="C15"/>
    <x v="2"/>
    <x v="0"/>
    <s v="I1.dat"/>
    <x v="2"/>
    <x v="0"/>
    <n v="43302.1"/>
    <n v="43302.1"/>
    <n v="0"/>
    <n v="285.23405027389498"/>
    <s v="[]"/>
    <n v="198"/>
    <m/>
    <n v="6000"/>
    <n v="19800"/>
    <n v="10877"/>
    <n v="5023"/>
    <n v="0"/>
    <n v="0"/>
    <n v="1602.1"/>
    <n v="263"/>
    <n v="330"/>
    <n v="0"/>
    <n v="49"/>
    <n v="0"/>
    <n v="6.6224564897253196E-5"/>
    <n v="1.4053192736892099E-4"/>
    <n v="3.83063205781596E-3"/>
    <n v="5.7302975353702599E-3"/>
    <n v="5.1540712053461599E-2"/>
  </r>
  <r>
    <x v="7"/>
    <s v="MVPRP"/>
    <s v="C20"/>
    <x v="2"/>
    <x v="0"/>
    <s v="I1.dat"/>
    <x v="2"/>
    <x v="0"/>
    <n v="49276.7"/>
    <n v="49276.7"/>
    <n v="0"/>
    <n v="46.991875171661398"/>
    <s v="[]"/>
    <n v="283"/>
    <m/>
    <n v="6000"/>
    <n v="23820"/>
    <n v="12905"/>
    <n v="4842"/>
    <n v="0"/>
    <n v="0"/>
    <n v="1709.7"/>
    <n v="40"/>
    <n v="190"/>
    <n v="0"/>
    <n v="55"/>
    <n v="0"/>
    <n v="6.7607247720735802E-5"/>
    <n v="1.4373906161807001E-4"/>
    <n v="3.85283447369781E-3"/>
    <n v="5.6074282835107602E-3"/>
    <n v="0.17287336758204899"/>
  </r>
  <r>
    <x v="8"/>
    <s v="MVPRP"/>
    <s v="C25"/>
    <x v="1"/>
    <x v="0"/>
    <s v="I1.dat"/>
    <x v="2"/>
    <x v="1"/>
    <n v="108574.7"/>
    <n v="103716.242404925"/>
    <n v="4.4747603217649701E-2"/>
    <n v="3601.1329326629598"/>
    <s v="[]"/>
    <n v="283"/>
    <m/>
    <n v="9000"/>
    <n v="59880"/>
    <n v="23208"/>
    <n v="10847"/>
    <n v="0"/>
    <n v="0"/>
    <n v="5639.7"/>
    <n v="965"/>
    <n v="4267"/>
    <n v="0"/>
    <n v="1212"/>
    <n v="0"/>
    <n v="1.03626015405666E-4"/>
    <n v="2.1167985047138301E-4"/>
    <n v="4.7004539268863804E-3"/>
    <n v="7.2808763194705398E-3"/>
    <n v="0.40198851718033501"/>
  </r>
  <r>
    <x v="9"/>
    <s v="MVPRP"/>
    <s v="C25"/>
    <x v="0"/>
    <x v="0"/>
    <s v="I1.dat"/>
    <x v="2"/>
    <x v="0"/>
    <n v="27643.200000000001"/>
    <n v="27643.200000000001"/>
    <n v="0"/>
    <n v="8.4752888679504395"/>
    <s v="[]"/>
    <n v="283"/>
    <m/>
    <n v="3000"/>
    <n v="14340"/>
    <n v="5901"/>
    <n v="2865"/>
    <n v="0"/>
    <n v="0"/>
    <n v="1537.2"/>
    <n v="48"/>
    <n v="49"/>
    <n v="0"/>
    <n v="42"/>
    <n v="0"/>
    <n v="1.6698837280273399E-4"/>
    <n v="2.3453541291065699E-4"/>
    <n v="8.0807105354640807E-3"/>
    <n v="9.0519749657225201E-3"/>
    <n v="0.297286227345467"/>
  </r>
  <r>
    <x v="10"/>
    <s v="MVPRP"/>
    <s v="C25"/>
    <x v="2"/>
    <x v="0"/>
    <s v="I1.dat"/>
    <x v="2"/>
    <x v="1"/>
    <n v="59073.3"/>
    <n v="58955.107366672702"/>
    <n v="2.00077925775737E-3"/>
    <n v="3601.8189318180098"/>
    <s v="[]"/>
    <n v="283"/>
    <m/>
    <n v="6000"/>
    <n v="28380"/>
    <n v="17067"/>
    <n v="5583"/>
    <n v="0"/>
    <n v="0"/>
    <n v="2043.3"/>
    <n v="441"/>
    <n v="1052"/>
    <n v="0"/>
    <n v="89"/>
    <n v="0"/>
    <n v="8.2111636209684504E-5"/>
    <n v="1.8665942402393599E-4"/>
    <n v="3.9741029870796803E-3"/>
    <n v="6.9193786168379101E-3"/>
    <n v="0.15357339773449399"/>
  </r>
  <r>
    <x v="11"/>
    <s v="MVPRP"/>
    <s v="C20"/>
    <x v="1"/>
    <x v="0"/>
    <s v="I1.dat"/>
    <x v="2"/>
    <x v="1"/>
    <n v="86864.399261354396"/>
    <n v="85166.920189371696"/>
    <n v="1.95417119834728E-2"/>
    <n v="3602.38801884651"/>
    <s v="[]"/>
    <n v="283"/>
    <m/>
    <n v="9000"/>
    <n v="48120"/>
    <n v="17441"/>
    <n v="7622.00015775869"/>
    <n v="0"/>
    <n v="0"/>
    <n v="4681.3991035957597"/>
    <n v="1750"/>
    <n v="3268"/>
    <n v="0"/>
    <n v="566"/>
    <n v="0"/>
    <n v="7.5505672036566197E-5"/>
    <n v="1.6376992429099999E-4"/>
    <n v="3.7809561530591199E-3"/>
    <n v="6.4511622997154303E-3"/>
    <n v="0.14153862589239699"/>
  </r>
  <r>
    <x v="0"/>
    <s v="MVPRP"/>
    <s v="C20"/>
    <x v="0"/>
    <x v="0"/>
    <s v="I1.dat"/>
    <x v="2"/>
    <x v="0"/>
    <n v="23484.9"/>
    <n v="23483.214052838699"/>
    <n v="7.1788560363804699E-5"/>
    <n v="2.83452248573303"/>
    <s v="[]"/>
    <n v="283"/>
    <m/>
    <n v="3000"/>
    <n v="12030"/>
    <n v="4509"/>
    <n v="2671"/>
    <n v="0"/>
    <n v="0"/>
    <n v="1274.9000000000001"/>
    <n v="10"/>
    <n v="14"/>
    <n v="0"/>
    <n v="25"/>
    <n v="0"/>
    <n v="1.35854438499168E-4"/>
    <n v="3.9026472303602399E-4"/>
    <n v="7.6264256522769001E-3"/>
    <n v="1.25923016492058E-2"/>
    <n v="0.12652343511581399"/>
  </r>
  <r>
    <x v="1"/>
    <s v="MVPRP"/>
    <s v="C10"/>
    <x v="1"/>
    <x v="0"/>
    <s v="I1.dat"/>
    <x v="2"/>
    <x v="0"/>
    <n v="52882.899306082698"/>
    <n v="52882.899306082698"/>
    <n v="0"/>
    <n v="63.8819417953491"/>
    <s v="[]"/>
    <n v="198"/>
    <m/>
    <n v="9000"/>
    <n v="26370"/>
    <n v="10336"/>
    <n v="5222.9995103232604"/>
    <n v="0"/>
    <n v="0"/>
    <n v="1953.89979575947"/>
    <n v="95"/>
    <n v="115"/>
    <n v="0"/>
    <n v="26"/>
    <n v="0"/>
    <n v="5.1220784387314799E-5"/>
    <n v="1.2493988858210101E-4"/>
    <n v="3.84176251024989E-3"/>
    <n v="5.7741926215472E-3"/>
    <n v="6.1695728409156401E-2"/>
  </r>
  <r>
    <x v="2"/>
    <s v="MVPRP"/>
    <s v="C15"/>
    <x v="0"/>
    <x v="0"/>
    <s v="I1.dat"/>
    <x v="2"/>
    <x v="0"/>
    <n v="20511.5"/>
    <n v="20511.5"/>
    <n v="0"/>
    <n v="4.6363651752471897"/>
    <s v="[]"/>
    <n v="198"/>
    <m/>
    <n v="3000"/>
    <n v="9960"/>
    <n v="3896"/>
    <n v="2762"/>
    <n v="0"/>
    <n v="0"/>
    <n v="893.5"/>
    <n v="7"/>
    <n v="50"/>
    <n v="0"/>
    <n v="21"/>
    <n v="0"/>
    <n v="1.2116347040448899E-4"/>
    <n v="2.34221418698629E-4"/>
    <n v="7.3142495266226796E-3"/>
    <n v="9.9622636868808793E-3"/>
    <n v="6.7185839017232296E-2"/>
  </r>
  <r>
    <x v="3"/>
    <s v="MVPRP"/>
    <s v="C10"/>
    <x v="0"/>
    <x v="0"/>
    <s v="I1.dat"/>
    <x v="2"/>
    <x v="0"/>
    <n v="14480.9"/>
    <n v="14480.9"/>
    <n v="0"/>
    <n v="0.84489488601684604"/>
    <s v="[]"/>
    <n v="198"/>
    <m/>
    <n v="3000"/>
    <n v="6390"/>
    <n v="2999"/>
    <n v="1535"/>
    <n v="0"/>
    <n v="0"/>
    <n v="556.9"/>
    <n v="4"/>
    <n v="5"/>
    <n v="0"/>
    <n v="11"/>
    <n v="0"/>
    <n v="8.3896848890516499E-5"/>
    <n v="2.0227167341444201E-4"/>
    <n v="5.4490963617960598E-3"/>
    <n v="7.5895388921101902E-3"/>
    <n v="3.6694394217597098E-2"/>
  </r>
  <r>
    <x v="4"/>
    <s v="MVPRP"/>
    <s v="C15"/>
    <x v="1"/>
    <x v="0"/>
    <s v="I1.dat"/>
    <x v="2"/>
    <x v="1"/>
    <n v="77854.899999000001"/>
    <n v="75795.093973316907"/>
    <n v="2.6456986338811699E-2"/>
    <n v="3600.7283608913399"/>
    <s v="[]"/>
    <n v="198"/>
    <m/>
    <n v="9000"/>
    <n v="40950"/>
    <n v="15182"/>
    <n v="8603"/>
    <n v="0"/>
    <n v="0"/>
    <n v="4119.8999990000002"/>
    <n v="1485"/>
    <n v="2797"/>
    <n v="0"/>
    <n v="231"/>
    <n v="0"/>
    <n v="7.8869170664715304E-5"/>
    <n v="1.9316791045916301E-4"/>
    <n v="4.9391295631842896E-3"/>
    <n v="8.23039530636821E-3"/>
    <n v="0.12352366151109299"/>
  </r>
  <r>
    <x v="5"/>
    <s v="MVPRP"/>
    <s v="C10"/>
    <x v="2"/>
    <x v="0"/>
    <s v="I1.dat"/>
    <x v="2"/>
    <x v="0"/>
    <n v="30459.9"/>
    <n v="30459.9"/>
    <n v="0"/>
    <n v="5.4700043201446498"/>
    <s v="[]"/>
    <n v="198"/>
    <m/>
    <n v="6000"/>
    <n v="12690"/>
    <n v="8163"/>
    <n v="2706"/>
    <n v="0"/>
    <n v="0"/>
    <n v="900.9"/>
    <n v="16"/>
    <n v="24"/>
    <n v="0"/>
    <n v="11"/>
    <n v="0"/>
    <n v="5.9179439666164902E-5"/>
    <n v="1.5909555885526899E-4"/>
    <n v="4.5533650799801503E-3"/>
    <n v="7.2958095230325299E-3"/>
    <n v="6.8400323390960693E-2"/>
  </r>
  <r>
    <x v="6"/>
    <s v="MVPRP"/>
    <s v="C15"/>
    <x v="2"/>
    <x v="0"/>
    <s v="I1.dat"/>
    <x v="2"/>
    <x v="0"/>
    <n v="43302.099998999998"/>
    <n v="43302.099998999998"/>
    <n v="0"/>
    <n v="298.74319458007801"/>
    <s v="[]"/>
    <n v="198"/>
    <m/>
    <n v="6000"/>
    <n v="19800"/>
    <n v="10877"/>
    <n v="5023"/>
    <n v="0"/>
    <n v="0"/>
    <n v="1602.1"/>
    <n v="246"/>
    <n v="344"/>
    <n v="0"/>
    <n v="40"/>
    <n v="0"/>
    <n v="6.6387906462216499E-5"/>
    <n v="1.4331841174467099E-4"/>
    <n v="4.2925108046758696E-3"/>
    <n v="5.9382705920009099E-3"/>
    <n v="6.0517927564947699E-2"/>
  </r>
  <r>
    <x v="7"/>
    <s v="MVPRP"/>
    <s v="C20"/>
    <x v="2"/>
    <x v="0"/>
    <s v="I1.dat"/>
    <x v="2"/>
    <x v="0"/>
    <n v="49276.7"/>
    <n v="49276.7"/>
    <n v="0"/>
    <n v="40.250910043716402"/>
    <s v="[]"/>
    <n v="283"/>
    <m/>
    <n v="6000"/>
    <n v="23820"/>
    <n v="12905"/>
    <n v="4842"/>
    <n v="0"/>
    <n v="0"/>
    <n v="1709.7"/>
    <n v="35"/>
    <n v="183"/>
    <n v="0"/>
    <n v="49"/>
    <n v="0"/>
    <n v="7.82567010798924E-5"/>
    <n v="1.5465138944948501E-4"/>
    <n v="4.7109227914076601E-3"/>
    <n v="5.7129474369796004E-3"/>
    <n v="0.211077855692969"/>
  </r>
  <r>
    <x v="8"/>
    <s v="MVPRP"/>
    <s v="C25"/>
    <x v="1"/>
    <x v="0"/>
    <s v="I1.dat"/>
    <x v="2"/>
    <x v="1"/>
    <n v="109130.999998"/>
    <n v="103723.522044941"/>
    <n v="4.9550338154673801E-2"/>
    <n v="3602.89255547524"/>
    <s v="[]"/>
    <n v="283"/>
    <m/>
    <n v="9000"/>
    <n v="59880"/>
    <n v="24190"/>
    <n v="9815"/>
    <n v="0"/>
    <n v="0"/>
    <n v="6245.9999979998802"/>
    <n v="827"/>
    <n v="3924"/>
    <n v="0"/>
    <n v="1043"/>
    <n v="0"/>
    <n v="1.07677674022096E-4"/>
    <n v="2.2329677811624101E-4"/>
    <n v="4.9219601157826903E-3"/>
    <n v="7.8685964884499596E-3"/>
    <n v="0.52438147862752305"/>
  </r>
  <r>
    <x v="9"/>
    <s v="MVPRP"/>
    <s v="C25"/>
    <x v="0"/>
    <x v="0"/>
    <s v="I1.dat"/>
    <x v="2"/>
    <x v="0"/>
    <n v="27643.200000000001"/>
    <n v="27643.200000000001"/>
    <n v="0"/>
    <n v="8.8706884384155291"/>
    <s v="[]"/>
    <n v="283"/>
    <m/>
    <n v="3000"/>
    <n v="14340"/>
    <n v="5901"/>
    <n v="2865"/>
    <n v="0"/>
    <n v="0"/>
    <n v="1537.2"/>
    <n v="40"/>
    <n v="54"/>
    <n v="0"/>
    <n v="40"/>
    <n v="0"/>
    <n v="1.8840000547211701E-4"/>
    <n v="2.7346716986762198E-4"/>
    <n v="8.6570121347904205E-3"/>
    <n v="9.7428566129336806E-3"/>
    <n v="0.306408786773682"/>
  </r>
  <r>
    <x v="10"/>
    <s v="MVPRP"/>
    <s v="C25"/>
    <x v="2"/>
    <x v="0"/>
    <s v="I1.dat"/>
    <x v="2"/>
    <x v="1"/>
    <n v="59073.299986102698"/>
    <n v="58969.761587252797"/>
    <n v="1.7527105963987999E-3"/>
    <n v="3603.22964549065"/>
    <s v="[]"/>
    <n v="283"/>
    <m/>
    <n v="6000"/>
    <n v="28379.999988418898"/>
    <n v="17066.999997683801"/>
    <n v="5583"/>
    <n v="0"/>
    <n v="0"/>
    <n v="2043.3"/>
    <n v="436"/>
    <n v="948"/>
    <n v="0"/>
    <n v="81"/>
    <n v="0"/>
    <n v="8.0605236842781395E-5"/>
    <n v="1.9226334433057401E-4"/>
    <n v="4.1884153556450499E-3"/>
    <n v="7.2095742867285496E-3"/>
    <n v="0.15195229159461099"/>
  </r>
  <r>
    <x v="11"/>
    <s v="MVPRP"/>
    <s v="C20"/>
    <x v="1"/>
    <x v="0"/>
    <s v="I1.dat"/>
    <x v="2"/>
    <x v="1"/>
    <n v="86963.199999999997"/>
    <n v="85132.186868856006"/>
    <n v="2.10550339815458E-2"/>
    <n v="3600.2498593330401"/>
    <s v="[]"/>
    <n v="283"/>
    <m/>
    <n v="9000"/>
    <n v="48120"/>
    <n v="17895"/>
    <n v="7560"/>
    <n v="0"/>
    <n v="0"/>
    <n v="4388.2"/>
    <n v="1477"/>
    <n v="3129"/>
    <n v="0"/>
    <n v="586"/>
    <n v="0"/>
    <n v="8.5811369625200397E-5"/>
    <n v="1.8847577267778901E-4"/>
    <n v="4.1106678552879699E-3"/>
    <n v="6.78174944465981E-3"/>
    <n v="0.16788672725530099"/>
  </r>
  <r>
    <x v="0"/>
    <s v="MVPRP"/>
    <s v="C20"/>
    <x v="0"/>
    <x v="0"/>
    <s v="I1.dat"/>
    <x v="0"/>
    <x v="0"/>
    <n v="23484.8999999999"/>
    <n v="23484.8999999999"/>
    <n v="0"/>
    <n v="3.1829795837402299"/>
    <s v="[]"/>
    <n v="283"/>
    <m/>
    <n v="3000"/>
    <n v="12030"/>
    <n v="4509"/>
    <n v="2671"/>
    <n v="0"/>
    <n v="0"/>
    <n v="1274.9000000000001"/>
    <n v="20"/>
    <n v="11"/>
    <n v="0"/>
    <n v="25"/>
    <n v="0"/>
    <n v="1.22680550529843E-4"/>
    <n v="2.9710487083152502E-4"/>
    <n v="6.9073563191428102E-3"/>
    <n v="9.9321944372994606E-3"/>
    <n v="9.6413173173603303E-2"/>
  </r>
  <r>
    <x v="1"/>
    <s v="MVPRP"/>
    <s v="C10"/>
    <x v="1"/>
    <x v="0"/>
    <s v="I1.dat"/>
    <x v="0"/>
    <x v="0"/>
    <n v="52882.899954212902"/>
    <n v="52882.899954212902"/>
    <n v="0"/>
    <n v="51.592538595199599"/>
    <s v="[]"/>
    <n v="198"/>
    <m/>
    <n v="9000"/>
    <n v="26370"/>
    <n v="10336"/>
    <n v="5223"/>
    <n v="0"/>
    <n v="0"/>
    <n v="1953.89994932429"/>
    <n v="86"/>
    <n v="108"/>
    <n v="0"/>
    <n v="19"/>
    <n v="0"/>
    <n v="4.90868091583252E-5"/>
    <n v="1.0880853375817999E-4"/>
    <n v="3.4559244974719798E-3"/>
    <n v="5.22793095821978E-3"/>
    <n v="5.8478286862373399E-2"/>
  </r>
  <r>
    <x v="2"/>
    <s v="MVPRP"/>
    <s v="C15"/>
    <x v="0"/>
    <x v="0"/>
    <s v="I1.dat"/>
    <x v="0"/>
    <x v="0"/>
    <n v="20511.5"/>
    <n v="20511.5"/>
    <n v="0"/>
    <n v="6.9297988414764404"/>
    <s v="[]"/>
    <n v="198"/>
    <m/>
    <n v="3000"/>
    <n v="9960"/>
    <n v="3896"/>
    <n v="2762"/>
    <n v="0"/>
    <n v="0"/>
    <n v="893.5"/>
    <n v="9"/>
    <n v="105"/>
    <n v="0"/>
    <n v="31"/>
    <n v="0"/>
    <n v="9.7999205956092304E-5"/>
    <n v="1.5412366136591501E-4"/>
    <n v="6.6233681094261896E-3"/>
    <n v="7.8390402828945795E-3"/>
    <n v="6.3040565041934699E-2"/>
  </r>
  <r>
    <x v="3"/>
    <s v="MVPRP"/>
    <s v="C10"/>
    <x v="0"/>
    <x v="0"/>
    <s v="I1.dat"/>
    <x v="0"/>
    <x v="0"/>
    <n v="14480.9"/>
    <n v="14480.9"/>
    <n v="0"/>
    <n v="0.725988149642944"/>
    <s v="[]"/>
    <n v="198"/>
    <m/>
    <n v="3000"/>
    <n v="6390"/>
    <n v="2999"/>
    <n v="1535"/>
    <n v="0"/>
    <n v="0"/>
    <n v="556.9"/>
    <n v="4"/>
    <n v="5"/>
    <n v="0"/>
    <n v="11"/>
    <n v="0"/>
    <n v="6.4704153272840704E-5"/>
    <n v="1.36468145582411E-4"/>
    <n v="4.9919764200846402E-3"/>
    <n v="6.34857018788656E-3"/>
    <n v="2.9092205895317899E-2"/>
  </r>
  <r>
    <x v="4"/>
    <s v="MVPRP"/>
    <s v="C15"/>
    <x v="1"/>
    <x v="0"/>
    <s v="I1.dat"/>
    <x v="0"/>
    <x v="1"/>
    <n v="77618.899999000001"/>
    <n v="75905.156842005206"/>
    <n v="2.20789415595537E-2"/>
    <n v="3600.94333481789"/>
    <s v="[]"/>
    <n v="198"/>
    <m/>
    <n v="9000"/>
    <n v="40950"/>
    <n v="15072"/>
    <n v="8251"/>
    <n v="0"/>
    <n v="0"/>
    <n v="4345.8999989999902"/>
    <n v="1624"/>
    <n v="2795"/>
    <n v="0"/>
    <n v="270"/>
    <n v="0"/>
    <n v="7.41556173503927E-5"/>
    <n v="1.7245737760988899E-4"/>
    <n v="4.7366770222446999E-3"/>
    <n v="7.6035982077371396E-3"/>
    <n v="9.8842057238198E-2"/>
  </r>
  <r>
    <x v="5"/>
    <s v="MVPRP"/>
    <s v="C10"/>
    <x v="2"/>
    <x v="0"/>
    <s v="I1.dat"/>
    <x v="0"/>
    <x v="0"/>
    <n v="30459.9"/>
    <n v="30459.9"/>
    <n v="0"/>
    <n v="4.5542266368866002"/>
    <s v="[]"/>
    <n v="198"/>
    <m/>
    <n v="6000"/>
    <n v="12690"/>
    <n v="8163"/>
    <n v="2706"/>
    <n v="0"/>
    <n v="0"/>
    <n v="900.9"/>
    <n v="14"/>
    <n v="38"/>
    <n v="0"/>
    <n v="16"/>
    <n v="0"/>
    <n v="5.4565675419532502E-5"/>
    <n v="1.08862207049415E-4"/>
    <n v="3.76053333282471E-3"/>
    <n v="5.13145411125968E-3"/>
    <n v="5.7724630832672097E-2"/>
  </r>
  <r>
    <x v="6"/>
    <s v="MVPRP"/>
    <s v="C15"/>
    <x v="2"/>
    <x v="0"/>
    <s v="I1.dat"/>
    <x v="0"/>
    <x v="0"/>
    <n v="43302.1"/>
    <n v="43302.1"/>
    <n v="0"/>
    <n v="265.62673425674399"/>
    <s v="[]"/>
    <n v="198"/>
    <m/>
    <n v="6000"/>
    <n v="19800"/>
    <n v="10877"/>
    <n v="5023"/>
    <n v="0"/>
    <n v="0"/>
    <n v="1602.1"/>
    <n v="289"/>
    <n v="364"/>
    <n v="0"/>
    <n v="43"/>
    <n v="0"/>
    <n v="5.4269621537338603E-5"/>
    <n v="1.1887858311335201E-4"/>
    <n v="3.5465475844794299E-3"/>
    <n v="5.2405475309988897E-3"/>
    <n v="4.71903694087061E-2"/>
  </r>
  <r>
    <x v="7"/>
    <s v="MVPRP"/>
    <s v="C20"/>
    <x v="2"/>
    <x v="0"/>
    <s v="I1.dat"/>
    <x v="0"/>
    <x v="0"/>
    <n v="49276.699978712699"/>
    <n v="49276.699978712699"/>
    <n v="0"/>
    <n v="39.228999376296997"/>
    <s v="[]"/>
    <n v="283"/>
    <m/>
    <n v="6000"/>
    <n v="23820"/>
    <n v="12905.000201586199"/>
    <n v="4841.9998059534601"/>
    <n v="0"/>
    <n v="0"/>
    <n v="1709.69997117302"/>
    <n v="38"/>
    <n v="197"/>
    <n v="0"/>
    <n v="54"/>
    <n v="0"/>
    <n v="7.3601576414975296E-5"/>
    <n v="1.51180919689401E-4"/>
    <n v="4.0947438762653004E-3"/>
    <n v="5.76243718723828E-3"/>
    <n v="0.161479199926058"/>
  </r>
  <r>
    <x v="8"/>
    <s v="MVPRP"/>
    <s v="C25"/>
    <x v="1"/>
    <x v="0"/>
    <s v="I1.dat"/>
    <x v="0"/>
    <x v="1"/>
    <n v="109756.099999"/>
    <n v="103709.90135471099"/>
    <n v="5.5087586424303003E-2"/>
    <n v="3601.8674402236902"/>
    <s v="[]"/>
    <n v="283"/>
    <m/>
    <n v="12000"/>
    <n v="59880"/>
    <n v="23422"/>
    <n v="8556"/>
    <n v="0"/>
    <n v="0"/>
    <n v="5898.09999899995"/>
    <n v="1313"/>
    <n v="4449"/>
    <n v="0"/>
    <n v="1341"/>
    <n v="0"/>
    <n v="9.7793272106888701E-5"/>
    <n v="1.98954165679206E-4"/>
    <n v="4.2901379670616602E-3"/>
    <n v="7.09783015759014E-3"/>
    <n v="0.54352549527268501"/>
  </r>
  <r>
    <x v="9"/>
    <s v="MVPRP"/>
    <s v="C25"/>
    <x v="0"/>
    <x v="0"/>
    <s v="I1.dat"/>
    <x v="0"/>
    <x v="0"/>
    <n v="27643.200000000001"/>
    <n v="27643.200000000001"/>
    <n v="0"/>
    <n v="7.0981364250183097"/>
    <s v="[]"/>
    <n v="283"/>
    <m/>
    <n v="3000"/>
    <n v="14340"/>
    <n v="5901"/>
    <n v="2865"/>
    <n v="0"/>
    <n v="0"/>
    <n v="1537.2"/>
    <n v="42"/>
    <n v="25"/>
    <n v="0"/>
    <n v="45"/>
    <n v="0"/>
    <n v="1.25908851623535E-4"/>
    <n v="2.5632691248662101E-4"/>
    <n v="7.3863448518695302E-3"/>
    <n v="8.7744326967942095E-3"/>
    <n v="0.23738352954387701"/>
  </r>
  <r>
    <x v="10"/>
    <s v="MVPRP"/>
    <s v="C25"/>
    <x v="2"/>
    <x v="0"/>
    <s v="I1.dat"/>
    <x v="0"/>
    <x v="1"/>
    <n v="59073.3"/>
    <n v="58987.717741242101"/>
    <n v="1.4487468747798301E-3"/>
    <n v="3601.208725214"/>
    <s v="[]"/>
    <n v="283"/>
    <m/>
    <n v="6000"/>
    <n v="28380"/>
    <n v="17067"/>
    <n v="5583"/>
    <n v="0"/>
    <n v="0"/>
    <n v="2043.3"/>
    <n v="555"/>
    <n v="1113"/>
    <n v="0"/>
    <n v="106"/>
    <n v="0"/>
    <n v="7.0011453721129804E-5"/>
    <n v="1.6265637632729399E-4"/>
    <n v="3.6666079435978302E-3"/>
    <n v="6.3707717782755403E-3"/>
    <n v="0.13330020946368801"/>
  </r>
  <r>
    <x v="11"/>
    <s v="MVPRP"/>
    <s v="C20"/>
    <x v="1"/>
    <x v="0"/>
    <s v="I1.dat"/>
    <x v="0"/>
    <x v="1"/>
    <n v="86927.999997999999"/>
    <n v="85151.579948086001"/>
    <n v="2.0435533429445998E-2"/>
    <n v="3601.2230870723702"/>
    <s v="[]"/>
    <n v="283"/>
    <m/>
    <n v="9000"/>
    <n v="48120"/>
    <n v="17681"/>
    <n v="7575"/>
    <n v="0"/>
    <n v="0"/>
    <n v="4551.9999980000002"/>
    <n v="2237"/>
    <n v="3893"/>
    <n v="0"/>
    <n v="933"/>
    <n v="0"/>
    <n v="8.0338590074664006E-5"/>
    <n v="1.6185000132206001E-4"/>
    <n v="3.9614534682815804E-3"/>
    <n v="6.0317996566905899E-3"/>
    <n v="0.20763519988662901"/>
  </r>
  <r>
    <x v="0"/>
    <s v="MVPRP"/>
    <s v="C20"/>
    <x v="0"/>
    <x v="0"/>
    <s v="I1.dat"/>
    <x v="0"/>
    <x v="0"/>
    <n v="23484.935335689101"/>
    <n v="23484.5819787986"/>
    <n v="1.5046108724537201E-5"/>
    <n v="4.1988716125488299"/>
    <s v="[]"/>
    <n v="283"/>
    <m/>
    <n v="3000"/>
    <n v="12030"/>
    <n v="4509"/>
    <n v="2671"/>
    <n v="0"/>
    <n v="0"/>
    <n v="1274.9353356890499"/>
    <n v="27"/>
    <n v="17"/>
    <n v="0"/>
    <n v="22"/>
    <n v="0"/>
    <n v="1.1471958903523201E-4"/>
    <n v="3.7626659168916603E-4"/>
    <n v="7.4468020236853399E-3"/>
    <n v="1.16721283305775E-2"/>
    <n v="0.11561075448989901"/>
  </r>
  <r>
    <x v="1"/>
    <s v="MVPRP"/>
    <s v="C10"/>
    <x v="1"/>
    <x v="0"/>
    <s v="I1.dat"/>
    <x v="0"/>
    <x v="0"/>
    <n v="52882.899866570602"/>
    <n v="52882.899866570602"/>
    <n v="0"/>
    <n v="61.672943830490098"/>
    <s v="[]"/>
    <n v="198"/>
    <m/>
    <n v="9000"/>
    <n v="26370"/>
    <n v="10335.999968800001"/>
    <n v="5223.0000345196204"/>
    <n v="0"/>
    <n v="0"/>
    <n v="1953.89986325102"/>
    <n v="85"/>
    <n v="105"/>
    <n v="0"/>
    <n v="27"/>
    <n v="0"/>
    <n v="5.6427070893437002E-5"/>
    <n v="1.2256633703087199E-4"/>
    <n v="3.87935038632567E-3"/>
    <n v="5.7240978969799296E-3"/>
    <n v="6.8495331583796296E-2"/>
  </r>
  <r>
    <x v="2"/>
    <s v="MVPRP"/>
    <s v="C15"/>
    <x v="0"/>
    <x v="0"/>
    <s v="I1.dat"/>
    <x v="0"/>
    <x v="0"/>
    <n v="20511.5"/>
    <n v="20511.5"/>
    <n v="0"/>
    <n v="5.0371623039245597"/>
    <s v="[]"/>
    <n v="198"/>
    <m/>
    <n v="3000"/>
    <n v="9960"/>
    <n v="3896"/>
    <n v="2762"/>
    <n v="0"/>
    <n v="0"/>
    <n v="893.5"/>
    <n v="8"/>
    <n v="89"/>
    <n v="0"/>
    <n v="27"/>
    <n v="0"/>
    <n v="8.9984191091437105E-5"/>
    <n v="1.68106091097466E-4"/>
    <n v="6.5243705626456998E-3"/>
    <n v="8.1654637065154793E-3"/>
    <n v="5.95960476819207E-2"/>
  </r>
  <r>
    <x v="3"/>
    <s v="MVPRP"/>
    <s v="C10"/>
    <x v="0"/>
    <x v="0"/>
    <s v="I1.dat"/>
    <x v="0"/>
    <x v="0"/>
    <n v="14480.9"/>
    <n v="14480.9"/>
    <n v="0"/>
    <n v="0.76865243911743197"/>
    <s v="[]"/>
    <n v="198"/>
    <m/>
    <n v="3000"/>
    <n v="6390"/>
    <n v="2999"/>
    <n v="1535"/>
    <n v="0"/>
    <n v="0"/>
    <n v="556.9"/>
    <n v="7"/>
    <n v="2"/>
    <n v="0"/>
    <n v="11"/>
    <n v="0"/>
    <n v="7.9697370529174799E-5"/>
    <n v="1.6015370686848999E-4"/>
    <n v="5.56021025686553E-3"/>
    <n v="3.7451812199183901E-3"/>
    <n v="3.08680534362793E-2"/>
  </r>
  <r>
    <x v="4"/>
    <s v="MVPRP"/>
    <s v="C15"/>
    <x v="1"/>
    <x v="0"/>
    <s v="I1.dat"/>
    <x v="0"/>
    <x v="1"/>
    <n v="78046.8"/>
    <n v="75833.570013698001"/>
    <n v="2.83577287768625E-2"/>
    <n v="3600.5852036476099"/>
    <s v="[]"/>
    <n v="198"/>
    <m/>
    <n v="9000"/>
    <n v="40950"/>
    <n v="14707"/>
    <n v="9501"/>
    <n v="0"/>
    <n v="0"/>
    <n v="3888.8"/>
    <n v="1177"/>
    <n v="2542"/>
    <n v="0"/>
    <n v="214"/>
    <n v="0"/>
    <n v="8.9037501109882601E-5"/>
    <n v="2.00397934238301E-4"/>
    <n v="5.0380303653377997E-3"/>
    <n v="8.5168667124722198E-3"/>
    <n v="0.100966823491402"/>
  </r>
  <r>
    <x v="5"/>
    <s v="MVPRP"/>
    <s v="C10"/>
    <x v="2"/>
    <x v="0"/>
    <s v="I1.dat"/>
    <x v="0"/>
    <x v="0"/>
    <n v="30459.9"/>
    <n v="30459.9"/>
    <n v="0"/>
    <n v="3.72987008094788"/>
    <s v="[]"/>
    <n v="198"/>
    <m/>
    <n v="6000"/>
    <n v="12690"/>
    <n v="8163"/>
    <n v="2706"/>
    <n v="0"/>
    <n v="0"/>
    <n v="900.9"/>
    <n v="13"/>
    <n v="26"/>
    <n v="0"/>
    <n v="14"/>
    <n v="0"/>
    <n v="7.5711343521462301E-5"/>
    <n v="1.2702601296561101E-4"/>
    <n v="4.8930188020070396E-3"/>
    <n v="5.3193676166045402E-3"/>
    <n v="7.74634033441544E-2"/>
  </r>
  <r>
    <x v="6"/>
    <s v="MVPRP"/>
    <s v="C15"/>
    <x v="2"/>
    <x v="0"/>
    <s v="I1.dat"/>
    <x v="0"/>
    <x v="0"/>
    <n v="43302.1"/>
    <n v="43297.900001000002"/>
    <n v="9.6992963389859298E-5"/>
    <n v="249.010143041611"/>
    <s v="[]"/>
    <n v="198"/>
    <m/>
    <n v="6000"/>
    <n v="19800"/>
    <n v="10877"/>
    <n v="5023"/>
    <n v="0"/>
    <n v="0"/>
    <n v="1602.1"/>
    <n v="259"/>
    <n v="332"/>
    <n v="0"/>
    <n v="49"/>
    <n v="0"/>
    <n v="6.2134125925625801E-5"/>
    <n v="1.2677046489795201E-4"/>
    <n v="3.9787723821693701E-3"/>
    <n v="5.6140173666540004E-3"/>
    <n v="5.46451197325728E-2"/>
  </r>
  <r>
    <x v="7"/>
    <s v="MVPRP"/>
    <s v="C20"/>
    <x v="2"/>
    <x v="0"/>
    <s v="I1.dat"/>
    <x v="0"/>
    <x v="0"/>
    <n v="49276.7"/>
    <n v="49276.7"/>
    <n v="0"/>
    <n v="49.398425340652501"/>
    <s v="[]"/>
    <n v="283"/>
    <m/>
    <n v="6000"/>
    <n v="23820"/>
    <n v="12905"/>
    <n v="4842"/>
    <n v="0"/>
    <n v="0"/>
    <n v="1709.7"/>
    <n v="38"/>
    <n v="163"/>
    <n v="0"/>
    <n v="49"/>
    <n v="0"/>
    <n v="8.9817635288322596E-5"/>
    <n v="1.4369153746084299E-4"/>
    <n v="4.78358843817783E-3"/>
    <n v="5.5819098154703799E-3"/>
    <n v="0.20044552838360799"/>
  </r>
  <r>
    <x v="8"/>
    <s v="MVPRP"/>
    <s v="C25"/>
    <x v="1"/>
    <x v="0"/>
    <s v="I1.dat"/>
    <x v="0"/>
    <x v="1"/>
    <n v="110498.89999997"/>
    <n v="103708.23065734901"/>
    <n v="6.14546329657829E-2"/>
    <n v="3603.89449167252"/>
    <s v="[]"/>
    <n v="283"/>
    <m/>
    <n v="12000"/>
    <n v="59880"/>
    <n v="21346"/>
    <n v="9645"/>
    <n v="0"/>
    <n v="0"/>
    <n v="7627.9"/>
    <n v="1306"/>
    <n v="4330"/>
    <n v="0"/>
    <n v="1381"/>
    <n v="0"/>
    <n v="1.0884134686517901E-4"/>
    <n v="2.1407571247602001E-4"/>
    <n v="4.4973278470603001E-3"/>
    <n v="7.4227400225620596E-3"/>
    <n v="0.55893864553695805"/>
  </r>
  <r>
    <x v="9"/>
    <s v="MVPRP"/>
    <s v="C25"/>
    <x v="0"/>
    <x v="0"/>
    <s v="I1.dat"/>
    <x v="0"/>
    <x v="0"/>
    <n v="27643.200000000001"/>
    <n v="27643.200000000001"/>
    <n v="0"/>
    <n v="13.009693622589101"/>
    <s v="[]"/>
    <n v="283"/>
    <m/>
    <n v="3000"/>
    <n v="14340"/>
    <n v="5901"/>
    <n v="2865"/>
    <n v="0"/>
    <n v="0"/>
    <n v="1537.2"/>
    <n v="35"/>
    <n v="90"/>
    <n v="0"/>
    <n v="38"/>
    <n v="0"/>
    <n v="2.0622363132713099E-4"/>
    <n v="3.5695641685345699E-4"/>
    <n v="8.6109928968476097E-3"/>
    <n v="1.35321435721024E-2"/>
    <n v="0.293247580528259"/>
  </r>
  <r>
    <x v="10"/>
    <s v="MVPRP"/>
    <s v="C25"/>
    <x v="2"/>
    <x v="0"/>
    <s v="I1.dat"/>
    <x v="0"/>
    <x v="1"/>
    <n v="59073.299941122597"/>
    <n v="58994.765145617603"/>
    <n v="1.32944656186996E-3"/>
    <n v="3600.3955848217001"/>
    <s v="[]"/>
    <n v="283"/>
    <m/>
    <n v="6000"/>
    <n v="28379.999974186099"/>
    <n v="17067.000114445302"/>
    <n v="5582.9999118573196"/>
    <n v="0"/>
    <n v="0"/>
    <n v="2043.29994063393"/>
    <n v="447"/>
    <n v="947"/>
    <n v="0"/>
    <n v="87"/>
    <n v="0"/>
    <n v="9.2677641985125102E-5"/>
    <n v="1.97279547888135E-4"/>
    <n v="4.2787612724930896E-3"/>
    <n v="7.3040601891092597E-3"/>
    <n v="0.16757898523043199"/>
  </r>
  <r>
    <x v="11"/>
    <s v="MVPRP"/>
    <s v="C20"/>
    <x v="1"/>
    <x v="0"/>
    <s v="I1.dat"/>
    <x v="0"/>
    <x v="1"/>
    <n v="86838.899943257493"/>
    <n v="85151.900380156207"/>
    <n v="1.9426772612314899E-2"/>
    <n v="3600.3015921115898"/>
    <s v="[]"/>
    <n v="283"/>
    <m/>
    <n v="9000"/>
    <n v="48120"/>
    <n v="17465"/>
    <n v="7817.0002904475696"/>
    <n v="0"/>
    <n v="0"/>
    <n v="4436.8996528098896"/>
    <n v="1399"/>
    <n v="3056"/>
    <n v="0"/>
    <n v="525"/>
    <n v="0"/>
    <n v="8.0115020346591004E-5"/>
    <n v="1.7683355917942099E-4"/>
    <n v="3.7816068147651198E-3"/>
    <n v="6.9906912165856299E-3"/>
    <n v="0.143264231806356"/>
  </r>
  <r>
    <x v="0"/>
    <s v="MVPRP"/>
    <s v="C20"/>
    <x v="0"/>
    <x v="0"/>
    <s v="I1.dat"/>
    <x v="1"/>
    <x v="0"/>
    <n v="23484.9"/>
    <n v="23484.9"/>
    <n v="0"/>
    <n v="3.0464005470275901"/>
    <s v="[]"/>
    <n v="283"/>
    <m/>
    <n v="3000"/>
    <n v="12030"/>
    <n v="4509"/>
    <n v="2671"/>
    <n v="0"/>
    <n v="0"/>
    <n v="1274.9000000000001"/>
    <n v="12"/>
    <n v="12"/>
    <n v="0"/>
    <n v="25"/>
    <n v="0"/>
    <n v="1.4361643022106499E-4"/>
    <n v="3.8390448599150698E-4"/>
    <n v="7.91773796081543E-3"/>
    <n v="1.21264159679413E-2"/>
    <n v="0.12764269965035599"/>
  </r>
  <r>
    <x v="1"/>
    <s v="MVPRP"/>
    <s v="C10"/>
    <x v="1"/>
    <x v="0"/>
    <s v="I1.dat"/>
    <x v="1"/>
    <x v="0"/>
    <n v="52882.899854083204"/>
    <n v="52880.256437552503"/>
    <n v="4.9986224998341199E-5"/>
    <n v="62.888027429580703"/>
    <s v="[]"/>
    <n v="198"/>
    <m/>
    <n v="9000"/>
    <n v="26369.999989792199"/>
    <n v="10336"/>
    <n v="5223"/>
    <n v="0"/>
    <n v="0"/>
    <n v="1953.8998642909901"/>
    <n v="86"/>
    <n v="96"/>
    <n v="0"/>
    <n v="22"/>
    <n v="0"/>
    <n v="6.1369312859569795E-5"/>
    <n v="1.4553947905829301E-4"/>
    <n v="4.1324945301536601E-3"/>
    <n v="6.5077623787644402E-3"/>
    <n v="6.9051755799187597E-2"/>
  </r>
  <r>
    <x v="2"/>
    <s v="MVPRP"/>
    <s v="C15"/>
    <x v="0"/>
    <x v="0"/>
    <s v="I1.dat"/>
    <x v="1"/>
    <x v="0"/>
    <n v="20511.5"/>
    <n v="20511.5"/>
    <n v="0"/>
    <n v="8.4867391586303693"/>
    <s v="[]"/>
    <n v="198"/>
    <m/>
    <n v="3000"/>
    <n v="9960"/>
    <n v="3896"/>
    <n v="2762"/>
    <n v="0"/>
    <n v="0"/>
    <n v="893.5"/>
    <n v="10"/>
    <n v="137"/>
    <n v="0"/>
    <n v="29"/>
    <n v="0"/>
    <n v="1.25391343060662E-4"/>
    <n v="2.1804475236213101E-4"/>
    <n v="7.4370252913323002E-3"/>
    <n v="9.60980826770335E-3"/>
    <n v="6.9008838046680801E-2"/>
  </r>
  <r>
    <x v="3"/>
    <s v="MVPRP"/>
    <s v="C10"/>
    <x v="0"/>
    <x v="0"/>
    <s v="I1.dat"/>
    <x v="1"/>
    <x v="0"/>
    <n v="14480.9"/>
    <n v="14480.9"/>
    <n v="0"/>
    <n v="0.76182770729064897"/>
    <s v="[]"/>
    <n v="198"/>
    <m/>
    <n v="3000"/>
    <n v="6390"/>
    <n v="2999"/>
    <n v="1535"/>
    <n v="0"/>
    <n v="0"/>
    <n v="556.9"/>
    <n v="4"/>
    <n v="5"/>
    <n v="0"/>
    <n v="11"/>
    <n v="0"/>
    <n v="8.5188282860649994E-5"/>
    <n v="1.67157914903429E-4"/>
    <n v="5.5896282196044901E-3"/>
    <n v="7.2068770726521798E-3"/>
    <n v="3.1360069910685198E-2"/>
  </r>
  <r>
    <x v="4"/>
    <s v="MVPRP"/>
    <s v="C15"/>
    <x v="1"/>
    <x v="0"/>
    <s v="I1.dat"/>
    <x v="1"/>
    <x v="1"/>
    <n v="77700.2"/>
    <n v="75852.938173634597"/>
    <n v="2.37742222846964E-2"/>
    <n v="3601.0404717922202"/>
    <s v="[]"/>
    <n v="198"/>
    <m/>
    <n v="9000"/>
    <n v="40950"/>
    <n v="14947"/>
    <n v="8634"/>
    <n v="0"/>
    <n v="0"/>
    <n v="4169.2"/>
    <n v="1344"/>
    <n v="2750"/>
    <n v="0"/>
    <n v="233"/>
    <n v="0"/>
    <n v="8.0826663205285504E-5"/>
    <n v="1.8639638258653E-4"/>
    <n v="4.9328447688153504E-3"/>
    <n v="8.1728355019591095E-3"/>
    <n v="0.102227666137511"/>
  </r>
  <r>
    <x v="5"/>
    <s v="MVPRP"/>
    <s v="C10"/>
    <x v="2"/>
    <x v="0"/>
    <s v="I1.dat"/>
    <x v="1"/>
    <x v="0"/>
    <n v="30459.9"/>
    <n v="30459.9"/>
    <n v="0"/>
    <n v="4.5368242263793901"/>
    <s v="[]"/>
    <n v="198"/>
    <m/>
    <n v="6000"/>
    <n v="12690"/>
    <n v="8163"/>
    <n v="2706"/>
    <n v="0"/>
    <n v="0"/>
    <n v="900.9"/>
    <n v="13"/>
    <n v="43"/>
    <n v="0"/>
    <n v="13"/>
    <n v="0"/>
    <n v="6.7575191094623404E-5"/>
    <n v="1.4789574811247699E-4"/>
    <n v="4.28459151037808E-3"/>
    <n v="6.7915039403097996E-3"/>
    <n v="6.4094886183738695E-2"/>
  </r>
  <r>
    <x v="6"/>
    <s v="MVPRP"/>
    <s v="C15"/>
    <x v="2"/>
    <x v="0"/>
    <s v="I1.dat"/>
    <x v="1"/>
    <x v="0"/>
    <n v="43302.099837843103"/>
    <n v="43302.099837843103"/>
    <n v="0"/>
    <n v="292.98530220985401"/>
    <s v="[]"/>
    <n v="198"/>
    <m/>
    <n v="6000"/>
    <n v="19800"/>
    <n v="10877.000236616201"/>
    <n v="5022.9997391057304"/>
    <n v="0"/>
    <n v="0"/>
    <n v="1602.09986212121"/>
    <n v="268"/>
    <n v="340"/>
    <n v="0"/>
    <n v="43"/>
    <n v="0"/>
    <n v="6.3304658289308903E-5"/>
    <n v="1.2791252059997501E-4"/>
    <n v="3.96226874381437E-3"/>
    <n v="5.3147695127413698E-3"/>
    <n v="5.6466002167362903E-2"/>
  </r>
  <r>
    <x v="7"/>
    <s v="MVPRP"/>
    <s v="C20"/>
    <x v="2"/>
    <x v="0"/>
    <s v="I1.dat"/>
    <x v="1"/>
    <x v="0"/>
    <n v="49276.7"/>
    <n v="49276.7"/>
    <n v="0"/>
    <n v="41.000118494033799"/>
    <s v="[]"/>
    <n v="283"/>
    <m/>
    <n v="6000"/>
    <n v="23820"/>
    <n v="12905"/>
    <n v="4842"/>
    <n v="0"/>
    <n v="0"/>
    <n v="1709.7"/>
    <n v="31"/>
    <n v="137"/>
    <n v="0"/>
    <n v="47"/>
    <n v="0"/>
    <n v="7.6043520042364603E-5"/>
    <n v="1.4399280393026699E-4"/>
    <n v="4.5288739451374198E-3"/>
    <n v="5.2766031156632597E-3"/>
    <n v="0.195980613881891"/>
  </r>
  <r>
    <x v="8"/>
    <s v="MVPRP"/>
    <s v="C25"/>
    <x v="1"/>
    <x v="0"/>
    <s v="I1.dat"/>
    <x v="1"/>
    <x v="1"/>
    <n v="108971.89999799999"/>
    <n v="103727.088867065"/>
    <n v="4.8129941122722501E-2"/>
    <n v="3602.9460835456898"/>
    <s v="[]"/>
    <n v="283"/>
    <m/>
    <n v="9000"/>
    <n v="59880"/>
    <n v="22776"/>
    <n v="10834"/>
    <n v="0"/>
    <n v="0"/>
    <n v="6481.8999989998401"/>
    <n v="781"/>
    <n v="3451"/>
    <n v="0"/>
    <n v="918"/>
    <n v="0"/>
    <n v="1.09177763519167E-4"/>
    <n v="2.15394982062697E-4"/>
    <n v="4.9825159788627199E-3"/>
    <n v="7.49357611317662E-3"/>
    <n v="0.48258159807975698"/>
  </r>
  <r>
    <x v="9"/>
    <s v="MVPRP"/>
    <s v="C25"/>
    <x v="0"/>
    <x v="0"/>
    <s v="I1.dat"/>
    <x v="1"/>
    <x v="0"/>
    <n v="27643.200000000001"/>
    <n v="27642.3617647059"/>
    <n v="3.0323381306954199E-5"/>
    <n v="9.5168607234954798"/>
    <s v="[]"/>
    <n v="283"/>
    <m/>
    <n v="3000"/>
    <n v="14340"/>
    <n v="5901"/>
    <n v="2865"/>
    <n v="0"/>
    <n v="0"/>
    <n v="1537.2"/>
    <n v="43"/>
    <n v="67"/>
    <n v="0"/>
    <n v="46"/>
    <n v="0"/>
    <n v="1.8166171179877401E-4"/>
    <n v="3.2643061965259199E-4"/>
    <n v="7.9794438680013003E-3"/>
    <n v="1.1669028771890201E-2"/>
    <n v="0.300013808643117"/>
  </r>
  <r>
    <x v="10"/>
    <s v="MVPRP"/>
    <s v="C25"/>
    <x v="2"/>
    <x v="0"/>
    <s v="I1.dat"/>
    <x v="1"/>
    <x v="0"/>
    <n v="59073.299991880602"/>
    <n v="59071.247423086803"/>
    <n v="3.4746133940423201E-5"/>
    <n v="2639.2888188362099"/>
    <s v="[]"/>
    <n v="283"/>
    <m/>
    <n v="6000"/>
    <n v="28380"/>
    <n v="17067.000159277301"/>
    <n v="5582.99984267325"/>
    <n v="0"/>
    <n v="0"/>
    <n v="2043.2999899300801"/>
    <n v="409"/>
    <n v="936"/>
    <n v="0"/>
    <n v="81"/>
    <n v="0"/>
    <n v="8.9297956445476607E-5"/>
    <n v="1.7704789737461399E-4"/>
    <n v="4.1539326674646599E-3"/>
    <n v="6.9508547349118599E-3"/>
    <n v="0.169862479891743"/>
  </r>
  <r>
    <x v="11"/>
    <s v="MVPRP"/>
    <s v="C20"/>
    <x v="1"/>
    <x v="0"/>
    <s v="I1.dat"/>
    <x v="1"/>
    <x v="1"/>
    <n v="86842.599998999605"/>
    <n v="85178.496815224906"/>
    <n v="1.9162291131239701E-2"/>
    <n v="3602.6408309936501"/>
    <s v="[]"/>
    <n v="283"/>
    <m/>
    <n v="9000"/>
    <n v="48120"/>
    <n v="17895"/>
    <n v="7368"/>
    <n v="0"/>
    <n v="0"/>
    <n v="4459.599999"/>
    <n v="1491"/>
    <n v="3077"/>
    <n v="0"/>
    <n v="484"/>
    <n v="0"/>
    <n v="7.7886869514428103E-5"/>
    <n v="1.6884417486911799E-4"/>
    <n v="3.81137838227367E-3"/>
    <n v="6.47981545841716E-3"/>
    <n v="0.14005093540164201"/>
  </r>
  <r>
    <x v="0"/>
    <s v="MVPRP"/>
    <s v="C20"/>
    <x v="0"/>
    <x v="0"/>
    <s v="I1.dat"/>
    <x v="1"/>
    <x v="0"/>
    <n v="23484.9000000001"/>
    <n v="23484.9000000001"/>
    <n v="0"/>
    <n v="4.0685291290283203"/>
    <s v="[]"/>
    <n v="283"/>
    <m/>
    <n v="3000"/>
    <n v="12030"/>
    <n v="4509"/>
    <n v="2671"/>
    <n v="0"/>
    <n v="0"/>
    <n v="1274.9000000000001"/>
    <n v="19"/>
    <n v="15"/>
    <n v="0"/>
    <n v="26"/>
    <n v="0"/>
    <n v="1.13447974709903E-4"/>
    <n v="3.2523473103841203E-4"/>
    <n v="7.0235729217529297E-3"/>
    <n v="1.04177640034602E-2"/>
    <n v="0.122850406169891"/>
  </r>
  <r>
    <x v="1"/>
    <s v="MVPRP"/>
    <s v="C10"/>
    <x v="1"/>
    <x v="0"/>
    <s v="I1.dat"/>
    <x v="1"/>
    <x v="0"/>
    <n v="52882.899879130098"/>
    <n v="52882.899879130098"/>
    <n v="0"/>
    <n v="63.490483522415197"/>
    <s v="[]"/>
    <n v="198"/>
    <m/>
    <n v="9000"/>
    <n v="26370"/>
    <n v="10336"/>
    <n v="5223"/>
    <n v="0"/>
    <n v="0"/>
    <n v="1953.89988098611"/>
    <n v="92"/>
    <n v="120"/>
    <n v="0"/>
    <n v="21"/>
    <n v="0"/>
    <n v="6.5536972898874206E-5"/>
    <n v="1.6175465627313001E-4"/>
    <n v="4.5519650664081097E-3"/>
    <n v="7.1199188221982099E-3"/>
    <n v="7.6257028697449505E-2"/>
  </r>
  <r>
    <x v="2"/>
    <s v="MVPRP"/>
    <s v="C15"/>
    <x v="0"/>
    <x v="0"/>
    <s v="I1.dat"/>
    <x v="1"/>
    <x v="0"/>
    <n v="20511.5"/>
    <n v="20511.5"/>
    <n v="0"/>
    <n v="6.3441903591155997"/>
    <s v="[]"/>
    <n v="198"/>
    <m/>
    <n v="3000"/>
    <n v="9960"/>
    <n v="3896"/>
    <n v="2762"/>
    <n v="0"/>
    <n v="0"/>
    <n v="893.5"/>
    <n v="12"/>
    <n v="103"/>
    <n v="0"/>
    <n v="29"/>
    <n v="0"/>
    <n v="1.34432902101611E-4"/>
    <n v="2.1003372040554101E-4"/>
    <n v="7.5071404377619402E-3"/>
    <n v="9.6537884912992807E-3"/>
    <n v="7.2731409754071899E-2"/>
  </r>
  <r>
    <x v="3"/>
    <s v="MVPRP"/>
    <s v="C10"/>
    <x v="0"/>
    <x v="0"/>
    <s v="I1.dat"/>
    <x v="1"/>
    <x v="0"/>
    <n v="14480.9"/>
    <n v="14480.9"/>
    <n v="0"/>
    <n v="0.83750677108764704"/>
    <s v="[]"/>
    <n v="198"/>
    <m/>
    <n v="3000"/>
    <n v="6390"/>
    <n v="2999"/>
    <n v="1535"/>
    <n v="0"/>
    <n v="0"/>
    <n v="556.9"/>
    <n v="7"/>
    <n v="2"/>
    <n v="0"/>
    <n v="12"/>
    <n v="0"/>
    <n v="1.06597558045999E-4"/>
    <n v="1.8782615661621101E-4"/>
    <n v="6.4893886446952802E-3"/>
    <n v="4.1572366441999199E-3"/>
    <n v="3.74501705169678E-2"/>
  </r>
  <r>
    <x v="4"/>
    <s v="MVPRP"/>
    <s v="C15"/>
    <x v="1"/>
    <x v="0"/>
    <s v="I1.dat"/>
    <x v="1"/>
    <x v="1"/>
    <n v="77964.899999999994"/>
    <n v="75859.5185194019"/>
    <n v="2.70042221640516E-2"/>
    <n v="3600.9322376251198"/>
    <s v="[]"/>
    <n v="198"/>
    <m/>
    <n v="9000"/>
    <n v="40950"/>
    <n v="15174"/>
    <n v="8924"/>
    <n v="0"/>
    <n v="0"/>
    <n v="3916.9"/>
    <n v="1350"/>
    <n v="2675"/>
    <n v="0"/>
    <n v="265"/>
    <n v="0"/>
    <n v="7.71645894947884E-5"/>
    <n v="1.7431784845877899E-4"/>
    <n v="4.7260935532999404E-3"/>
    <n v="7.5281985120984702E-3"/>
    <n v="0.11891186899609001"/>
  </r>
  <r>
    <x v="5"/>
    <s v="MVPRP"/>
    <s v="C10"/>
    <x v="2"/>
    <x v="0"/>
    <s v="I1.dat"/>
    <x v="1"/>
    <x v="0"/>
    <n v="30459.9"/>
    <n v="30459.9"/>
    <n v="0"/>
    <n v="9.10754299163818"/>
    <s v="[]"/>
    <n v="198"/>
    <m/>
    <n v="6000"/>
    <n v="12690"/>
    <n v="8163"/>
    <n v="2706"/>
    <n v="0"/>
    <n v="0"/>
    <n v="900.9"/>
    <n v="17"/>
    <n v="36"/>
    <n v="0"/>
    <n v="15"/>
    <n v="0"/>
    <n v="7.4869248925185793E-5"/>
    <n v="1.1960265669361801E-4"/>
    <n v="4.7247812345430499E-3"/>
    <n v="5.3006817509342798E-3"/>
    <n v="6.8928740241310807E-2"/>
  </r>
  <r>
    <x v="6"/>
    <s v="MVPRP"/>
    <s v="C15"/>
    <x v="2"/>
    <x v="0"/>
    <s v="I1.dat"/>
    <x v="1"/>
    <x v="0"/>
    <n v="43302.1"/>
    <n v="43302.1"/>
    <n v="0"/>
    <n v="227.98823738098099"/>
    <s v="[]"/>
    <n v="198"/>
    <m/>
    <n v="6000"/>
    <n v="19800"/>
    <n v="10877"/>
    <n v="5023"/>
    <n v="0"/>
    <n v="0"/>
    <n v="1602.1"/>
    <n v="289"/>
    <n v="335"/>
    <n v="0"/>
    <n v="50"/>
    <n v="0"/>
    <n v="6.69970764013757E-5"/>
    <n v="1.5296977024023699E-4"/>
    <n v="3.99089988497463E-3"/>
    <n v="6.2702184885888596E-3"/>
    <n v="5.7854832469166603E-2"/>
  </r>
  <r>
    <x v="7"/>
    <s v="MVPRP"/>
    <s v="C20"/>
    <x v="2"/>
    <x v="0"/>
    <s v="I1.dat"/>
    <x v="1"/>
    <x v="0"/>
    <n v="49276.7"/>
    <n v="49276.7"/>
    <n v="0"/>
    <n v="43.803781032562298"/>
    <s v="[]"/>
    <n v="283"/>
    <m/>
    <n v="6000"/>
    <n v="23820"/>
    <n v="12905"/>
    <n v="4842"/>
    <n v="0"/>
    <n v="0"/>
    <n v="1709.7"/>
    <n v="51"/>
    <n v="182"/>
    <n v="0"/>
    <n v="50"/>
    <n v="0"/>
    <n v="8.30829733669168E-5"/>
    <n v="1.90768750185894E-4"/>
    <n v="4.2588001733375701E-3"/>
    <n v="7.5709590745284602E-3"/>
    <n v="0.173926460115533"/>
  </r>
  <r>
    <x v="8"/>
    <s v="MVPRP"/>
    <s v="C25"/>
    <x v="1"/>
    <x v="0"/>
    <s v="I1.dat"/>
    <x v="1"/>
    <x v="1"/>
    <n v="110742.7"/>
    <n v="103730.576102987"/>
    <n v="6.3319062087283703E-2"/>
    <n v="3602.2209014892601"/>
    <s v="[]"/>
    <n v="283"/>
    <m/>
    <n v="12000"/>
    <n v="59880"/>
    <n v="25188"/>
    <n v="9624"/>
    <n v="0"/>
    <n v="0"/>
    <n v="4050.7"/>
    <n v="1251"/>
    <n v="4521"/>
    <n v="0"/>
    <n v="1383"/>
    <n v="0"/>
    <n v="1.01320812433841E-4"/>
    <n v="2.0639244858567101E-4"/>
    <n v="4.3811167413580401E-3"/>
    <n v="7.2831838088860904E-3"/>
    <n v="0.56812896675971603"/>
  </r>
  <r>
    <x v="9"/>
    <s v="MVPRP"/>
    <s v="C25"/>
    <x v="0"/>
    <x v="0"/>
    <s v="I1.dat"/>
    <x v="1"/>
    <x v="0"/>
    <n v="27643.200000000001"/>
    <n v="27643.200000000001"/>
    <n v="0"/>
    <n v="7.4643738269805899"/>
    <s v="[]"/>
    <n v="283"/>
    <m/>
    <n v="3000"/>
    <n v="14340"/>
    <n v="5901"/>
    <n v="2865"/>
    <n v="0"/>
    <n v="0"/>
    <n v="1537.2"/>
    <n v="41"/>
    <n v="44"/>
    <n v="0"/>
    <n v="53"/>
    <n v="0"/>
    <n v="1.30396622877855E-4"/>
    <n v="2.7517477671305302E-4"/>
    <n v="6.9751143455505397E-3"/>
    <n v="9.7881473343947797E-3"/>
    <n v="0.248585263888041"/>
  </r>
  <r>
    <x v="10"/>
    <s v="MVPRP"/>
    <s v="C25"/>
    <x v="2"/>
    <x v="0"/>
    <s v="I1.dat"/>
    <x v="1"/>
    <x v="0"/>
    <n v="59073.3"/>
    <n v="59067.761803634297"/>
    <n v="9.3751260987467495E-5"/>
    <n v="2679.7372784614599"/>
    <s v="[]"/>
    <n v="283"/>
    <m/>
    <n v="6000"/>
    <n v="28380"/>
    <n v="17067"/>
    <n v="5583"/>
    <n v="0"/>
    <n v="0"/>
    <n v="2043.3"/>
    <n v="560"/>
    <n v="1153"/>
    <n v="0"/>
    <n v="140"/>
    <n v="0"/>
    <n v="6.7967026502252495E-5"/>
    <n v="1.5962445178726599E-4"/>
    <n v="3.5638383246566099E-3"/>
    <n v="6.49276397270011E-3"/>
    <n v="0.134030630471001"/>
  </r>
  <r>
    <x v="11"/>
    <s v="MVPRP"/>
    <s v="C20"/>
    <x v="1"/>
    <x v="0"/>
    <s v="I1.dat"/>
    <x v="1"/>
    <x v="1"/>
    <n v="86893.899999000001"/>
    <n v="85158.135285473298"/>
    <n v="1.9975679691516701E-2"/>
    <n v="3601.0554871559102"/>
    <s v="[]"/>
    <n v="283"/>
    <m/>
    <n v="9000"/>
    <n v="48120"/>
    <n v="17895"/>
    <n v="7368"/>
    <n v="0"/>
    <n v="0"/>
    <n v="4510.8999990000002"/>
    <n v="1878"/>
    <n v="3586"/>
    <n v="0"/>
    <n v="778"/>
    <n v="0"/>
    <n v="6.8360220705006804E-5"/>
    <n v="1.4779295877797899E-4"/>
    <n v="3.4918808844770998E-3"/>
    <n v="5.9290748577751004E-3"/>
    <n v="0.1668919301916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1286C9-DEA9-4255-A8EA-4F69B55963A2}" name="PivotTable1" cacheId="12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outline="1" outlineData="1" multipleFieldFilters="0" chartFormat="1">
  <location ref="A1:U8" firstHeaderRow="1" firstDataRow="3" firstDataCol="1"/>
  <pivotFields count="32"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axis="axisRow" showAll="0">
      <items count="2">
        <item x="0"/>
        <item t="default"/>
      </items>
    </pivotField>
    <pivotField showAll="0"/>
    <pivotField axis="axisCol" showAll="0">
      <items count="5">
        <item x="3"/>
        <item x="0"/>
        <item x="1"/>
        <item x="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5">
    <i>
      <x/>
    </i>
    <i r="1">
      <x/>
    </i>
    <i r="1">
      <x v="1"/>
    </i>
    <i r="1">
      <x v="2"/>
    </i>
    <i t="grand">
      <x/>
    </i>
  </rowItems>
  <colFields count="2">
    <field x="6"/>
    <field x="-2"/>
  </colFields>
  <colItems count="20">
    <i>
      <x/>
      <x/>
    </i>
    <i r="1" i="1">
      <x v="1"/>
    </i>
    <i r="1" i="2">
      <x v="2"/>
    </i>
    <i r="1" i="3">
      <x v="3"/>
    </i>
    <i r="1" i="4">
      <x v="4"/>
    </i>
    <i>
      <x v="1"/>
      <x/>
    </i>
    <i r="1" i="1">
      <x v="1"/>
    </i>
    <i r="1" i="2">
      <x v="2"/>
    </i>
    <i r="1" i="3">
      <x v="3"/>
    </i>
    <i r="1" i="4">
      <x v="4"/>
    </i>
    <i>
      <x v="2"/>
      <x/>
    </i>
    <i r="1" i="1">
      <x v="1"/>
    </i>
    <i r="1" i="2">
      <x v="2"/>
    </i>
    <i r="1" i="3">
      <x v="3"/>
    </i>
    <i r="1" i="4">
      <x v="4"/>
    </i>
    <i>
      <x v="3"/>
      <x/>
    </i>
    <i r="1" i="1">
      <x v="1"/>
    </i>
    <i r="1" i="2">
      <x v="2"/>
    </i>
    <i r="1" i="3">
      <x v="3"/>
    </i>
    <i r="1" i="4">
      <x v="4"/>
    </i>
  </colItems>
  <dataFields count="5">
    <dataField name="Average of ObjVal" fld="8" subtotal="average" baseField="4" baseItem="0"/>
    <dataField name="Average of ObjBound" fld="9" subtotal="average" baseField="4" baseItem="0"/>
    <dataField name="Average of Gap" fld="10" subtotal="average" baseField="4" baseItem="0"/>
    <dataField name="Average of runtime" fld="11" subtotal="average" baseField="4" baseItem="0"/>
    <dataField name="Average of benders_cuts" fld="22" subtotal="average" baseField="3" baseItem="1"/>
  </dataFields>
  <chartFormats count="12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4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lot2" cacheId="12" applyNumberFormats="0" applyBorderFormats="0" applyFontFormats="0" applyPatternFormats="0" applyAlignmentFormats="0" applyWidthHeightFormats="0" dataCaption="Values" updatedVersion="8" showDrill="0" colGrandTotals="0" itemPrintTitles="1" indent="0" compact="0" compactData="0">
  <location ref="A1:Q16" firstHeaderRow="1" firstDataRow="3" firstDataCol="1"/>
  <pivotFields count="32">
    <pivotField axis="axisRow" compact="0" outline="0" showAll="0" defaultSubtotal="0">
      <items count="12">
        <item x="3"/>
        <item x="5"/>
        <item x="1"/>
        <item x="2"/>
        <item x="6"/>
        <item x="4"/>
        <item x="0"/>
        <item x="7"/>
        <item x="11"/>
        <item x="9"/>
        <item x="10"/>
        <item x="8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defaultSubtotal="0">
      <items count="4">
        <item x="0"/>
        <item x="1"/>
        <item x="2"/>
        <item x="3"/>
      </items>
    </pivotField>
    <pivotField compact="0" showAll="0"/>
    <pivotField compact="0" showAll="0"/>
    <pivotField compact="0" showAll="0"/>
    <pivotField dataField="1" compact="0" outline="0" showAll="0"/>
    <pivotField dataField="1" compact="0" outline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outline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outline="0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6"/>
    <field x="-2"/>
  </colFields>
  <colItems count="16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</colItems>
  <dataFields count="4">
    <dataField name="Average - Gap" fld="10" subtotal="average" baseField="0" baseItem="0"/>
    <dataField name="Average - runtime" fld="11" subtotal="average" baseField="0" baseItem="0"/>
    <dataField name="Average - benders_cuts" fld="22" subtotal="average" baseField="0" baseItem="0"/>
    <dataField name="Average - l_benders" fld="31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DataPilot1" cacheId="12" applyNumberFormats="0" applyBorderFormats="0" applyFontFormats="0" applyPatternFormats="0" applyAlignmentFormats="0" applyWidthHeightFormats="0" dataCaption="Values" updatedVersion="8" showDrill="0" itemPrintTitles="1" indent="0" compact="0" compactData="0">
  <location ref="A1:D7" firstHeaderRow="1" firstDataRow="2" firstDataCol="1"/>
  <pivotFields count="32">
    <pivotField compact="0" showAll="0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defaultSubtotal="0">
      <items count="4">
        <item x="0"/>
        <item x="1"/>
        <item x="2"/>
        <item x="3"/>
      </items>
    </pivotField>
    <pivotField axis="axisCol" dataField="1" compact="0" outline="0" showAll="0" defaultSubtotal="0">
      <items count="2">
        <item x="0"/>
        <item x="1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- status*" fld="7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53391-F900-4C4A-B26A-47B427C67BE9}">
  <dimension ref="A1:U8"/>
  <sheetViews>
    <sheetView workbookViewId="0">
      <selection activeCell="A23" sqref="A23:W28"/>
    </sheetView>
  </sheetViews>
  <sheetFormatPr defaultRowHeight="12.75" x14ac:dyDescent="0.2"/>
  <cols>
    <col min="1" max="1" width="13.85546875" bestFit="1" customWidth="1"/>
    <col min="2" max="2" width="64.42578125" bestFit="1" customWidth="1"/>
    <col min="3" max="3" width="20.7109375" bestFit="1" customWidth="1"/>
    <col min="4" max="4" width="15.28515625" bestFit="1" customWidth="1"/>
    <col min="5" max="5" width="18.7109375" bestFit="1" customWidth="1"/>
    <col min="6" max="6" width="23.7109375" bestFit="1" customWidth="1"/>
    <col min="7" max="7" width="73.7109375" bestFit="1" customWidth="1"/>
    <col min="8" max="8" width="20.7109375" bestFit="1" customWidth="1"/>
    <col min="9" max="9" width="15.28515625" bestFit="1" customWidth="1"/>
    <col min="10" max="10" width="18.7109375" bestFit="1" customWidth="1"/>
    <col min="11" max="11" width="23.7109375" bestFit="1" customWidth="1"/>
    <col min="12" max="12" width="75.28515625" bestFit="1" customWidth="1"/>
    <col min="13" max="13" width="20.7109375" bestFit="1" customWidth="1"/>
    <col min="14" max="14" width="15.28515625" bestFit="1" customWidth="1"/>
    <col min="15" max="15" width="18.7109375" bestFit="1" customWidth="1"/>
    <col min="16" max="16" width="23.7109375" bestFit="1" customWidth="1"/>
    <col min="17" max="17" width="61.42578125" bestFit="1" customWidth="1"/>
    <col min="18" max="18" width="20.7109375" bestFit="1" customWidth="1"/>
    <col min="19" max="19" width="15.28515625" bestFit="1" customWidth="1"/>
    <col min="20" max="20" width="18.7109375" bestFit="1" customWidth="1"/>
    <col min="21" max="21" width="23.7109375" bestFit="1" customWidth="1"/>
    <col min="22" max="22" width="15.28515625" bestFit="1" customWidth="1"/>
    <col min="23" max="23" width="18.7109375" bestFit="1" customWidth="1"/>
    <col min="24" max="24" width="23.7109375" bestFit="1" customWidth="1"/>
    <col min="25" max="25" width="20.5703125" bestFit="1" customWidth="1"/>
  </cols>
  <sheetData>
    <row r="1" spans="1:21" x14ac:dyDescent="0.2">
      <c r="B1" s="1" t="s">
        <v>63</v>
      </c>
    </row>
    <row r="2" spans="1:21" x14ac:dyDescent="0.2">
      <c r="B2" t="s">
        <v>45</v>
      </c>
      <c r="G2" t="s">
        <v>28</v>
      </c>
      <c r="L2" t="s">
        <v>43</v>
      </c>
      <c r="Q2" t="s">
        <v>44</v>
      </c>
    </row>
    <row r="3" spans="1:21" x14ac:dyDescent="0.2">
      <c r="A3" s="1" t="s">
        <v>58</v>
      </c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64</v>
      </c>
      <c r="M3" t="s">
        <v>65</v>
      </c>
      <c r="N3" t="s">
        <v>66</v>
      </c>
      <c r="O3" t="s">
        <v>67</v>
      </c>
      <c r="P3" t="s">
        <v>68</v>
      </c>
      <c r="Q3" t="s">
        <v>64</v>
      </c>
      <c r="R3" t="s">
        <v>65</v>
      </c>
      <c r="S3" t="s">
        <v>66</v>
      </c>
      <c r="T3" t="s">
        <v>67</v>
      </c>
      <c r="U3" t="s">
        <v>68</v>
      </c>
    </row>
    <row r="4" spans="1:21" x14ac:dyDescent="0.2">
      <c r="A4" s="3" t="s">
        <v>59</v>
      </c>
      <c r="B4" s="2">
        <v>49623.317626258839</v>
      </c>
      <c r="C4" s="2">
        <v>48805.49134856421</v>
      </c>
      <c r="D4" s="2">
        <v>8.4936436608532874E-3</v>
      </c>
      <c r="E4" s="2">
        <v>1250.1562079257437</v>
      </c>
      <c r="F4" s="2">
        <v>744.36111111111109</v>
      </c>
      <c r="G4" s="2">
        <v>49605.567637221036</v>
      </c>
      <c r="H4" s="2">
        <v>48815.828374598233</v>
      </c>
      <c r="I4" s="2">
        <v>8.2032424770223759E-3</v>
      </c>
      <c r="J4" s="2">
        <v>1231.1205551491846</v>
      </c>
      <c r="K4" s="2">
        <v>449.11111111111109</v>
      </c>
      <c r="L4" s="2">
        <v>49579.694428782866</v>
      </c>
      <c r="M4" s="2">
        <v>48821.848937411982</v>
      </c>
      <c r="N4" s="2">
        <v>7.8554693125128441E-3</v>
      </c>
      <c r="O4" s="2">
        <v>1146.964201615916</v>
      </c>
      <c r="P4" s="2">
        <v>422.63888888888891</v>
      </c>
      <c r="Q4" s="2">
        <v>49665.683278154509</v>
      </c>
      <c r="R4" s="2">
        <v>48809.82030564054</v>
      </c>
      <c r="S4" s="2">
        <v>8.819189723974042E-3</v>
      </c>
      <c r="T4" s="2">
        <v>1236.186376531919</v>
      </c>
      <c r="U4" s="2">
        <v>445.38888888888891</v>
      </c>
    </row>
    <row r="5" spans="1:21" x14ac:dyDescent="0.2">
      <c r="A5" s="4" t="s">
        <v>60</v>
      </c>
      <c r="B5" s="2">
        <v>21530.12794464075</v>
      </c>
      <c r="C5" s="2">
        <v>21530.046262305503</v>
      </c>
      <c r="D5" s="2">
        <v>3.4780770172815166E-6</v>
      </c>
      <c r="E5" s="2">
        <v>3.948994100093842</v>
      </c>
      <c r="F5" s="2">
        <v>17.25</v>
      </c>
      <c r="G5" s="2">
        <v>21530.127944640753</v>
      </c>
      <c r="H5" s="2">
        <v>21530.098498233212</v>
      </c>
      <c r="I5" s="2">
        <v>1.2538423937114335E-6</v>
      </c>
      <c r="J5" s="2">
        <v>5.0713348388671866</v>
      </c>
      <c r="K5" s="2">
        <v>19.833333333333332</v>
      </c>
      <c r="L5" s="2">
        <v>21530.125000000011</v>
      </c>
      <c r="M5" s="2">
        <v>21529.902369639811</v>
      </c>
      <c r="N5" s="2">
        <v>9.0322952406431424E-6</v>
      </c>
      <c r="O5" s="2">
        <v>4.8083333969116202</v>
      </c>
      <c r="P5" s="2">
        <v>18.916666666666668</v>
      </c>
      <c r="Q5" s="2">
        <v>21530.125</v>
      </c>
      <c r="R5" s="2">
        <v>21529.815788442629</v>
      </c>
      <c r="S5" s="2">
        <v>1.3166398723252966E-5</v>
      </c>
      <c r="T5" s="2">
        <v>4.6934296290079756</v>
      </c>
      <c r="U5" s="2">
        <v>16.583333333333332</v>
      </c>
    </row>
    <row r="6" spans="1:21" x14ac:dyDescent="0.2">
      <c r="A6" s="4" t="s">
        <v>61</v>
      </c>
      <c r="B6" s="2">
        <v>45527.999993831116</v>
      </c>
      <c r="C6" s="2">
        <v>45505.106358900703</v>
      </c>
      <c r="D6" s="2">
        <v>3.8771531651918327E-4</v>
      </c>
      <c r="E6" s="2">
        <v>1023.4346227447201</v>
      </c>
      <c r="F6" s="2">
        <v>441.58333333333331</v>
      </c>
      <c r="G6" s="2">
        <v>45527.999993319616</v>
      </c>
      <c r="H6" s="2">
        <v>45507.666199149891</v>
      </c>
      <c r="I6" s="2">
        <v>3.515800548765569E-4</v>
      </c>
      <c r="J6" s="2">
        <v>974.04857514301909</v>
      </c>
      <c r="K6" s="2">
        <v>204.75</v>
      </c>
      <c r="L6" s="2">
        <v>45527.999985810311</v>
      </c>
      <c r="M6" s="2">
        <v>45526.992131917206</v>
      </c>
      <c r="N6" s="2">
        <v>1.7061073160454699E-5</v>
      </c>
      <c r="O6" s="2">
        <v>720.5886314511298</v>
      </c>
      <c r="P6" s="2">
        <v>214.83333333333334</v>
      </c>
      <c r="Q6" s="2">
        <v>45527.999998758554</v>
      </c>
      <c r="R6" s="2">
        <v>45502.342628537626</v>
      </c>
      <c r="S6" s="2">
        <v>4.3433108058902491E-4</v>
      </c>
      <c r="T6" s="2">
        <v>988.76728121439635</v>
      </c>
      <c r="U6" s="2">
        <v>196.58333333333334</v>
      </c>
    </row>
    <row r="7" spans="1:21" x14ac:dyDescent="0.2">
      <c r="A7" s="4" t="s">
        <v>62</v>
      </c>
      <c r="B7" s="2">
        <v>81811.824940304665</v>
      </c>
      <c r="C7" s="2">
        <v>79381.321424486465</v>
      </c>
      <c r="D7" s="2">
        <v>2.5089737589023397E-2</v>
      </c>
      <c r="E7" s="2">
        <v>2723.0850069324165</v>
      </c>
      <c r="F7" s="2">
        <v>1774.25</v>
      </c>
      <c r="G7" s="2">
        <v>81758.574973702707</v>
      </c>
      <c r="H7" s="2">
        <v>79409.720426411586</v>
      </c>
      <c r="I7" s="2">
        <v>2.4256893533796859E-2</v>
      </c>
      <c r="J7" s="2">
        <v>2714.2417554656672</v>
      </c>
      <c r="K7" s="2">
        <v>1122.75</v>
      </c>
      <c r="L7" s="2">
        <v>81680.958300538288</v>
      </c>
      <c r="M7" s="2">
        <v>79408.652310678954</v>
      </c>
      <c r="N7" s="2">
        <v>2.3540314569137428E-2</v>
      </c>
      <c r="O7" s="2">
        <v>2715.4956399997072</v>
      </c>
      <c r="P7" s="2">
        <v>1034.1666666666667</v>
      </c>
      <c r="Q7" s="2">
        <v>81938.924835704995</v>
      </c>
      <c r="R7" s="2">
        <v>79397.302499941346</v>
      </c>
      <c r="S7" s="2">
        <v>2.6010071692609851E-2</v>
      </c>
      <c r="T7" s="2">
        <v>2715.0984187523522</v>
      </c>
      <c r="U7" s="2">
        <v>1123</v>
      </c>
    </row>
    <row r="8" spans="1:21" x14ac:dyDescent="0.2">
      <c r="A8" s="3" t="s">
        <v>51</v>
      </c>
      <c r="B8" s="2">
        <v>49623.317626258839</v>
      </c>
      <c r="C8" s="2">
        <v>48805.49134856421</v>
      </c>
      <c r="D8" s="2">
        <v>8.4936436608532874E-3</v>
      </c>
      <c r="E8" s="2">
        <v>1250.1562079257437</v>
      </c>
      <c r="F8" s="2">
        <v>744.36111111111109</v>
      </c>
      <c r="G8" s="2">
        <v>49605.567637221036</v>
      </c>
      <c r="H8" s="2">
        <v>48815.828374598233</v>
      </c>
      <c r="I8" s="2">
        <v>8.2032424770223759E-3</v>
      </c>
      <c r="J8" s="2">
        <v>1231.1205551491846</v>
      </c>
      <c r="K8" s="2">
        <v>449.11111111111109</v>
      </c>
      <c r="L8" s="2">
        <v>49579.694428782866</v>
      </c>
      <c r="M8" s="2">
        <v>48821.848937411982</v>
      </c>
      <c r="N8" s="2">
        <v>7.8554693125128441E-3</v>
      </c>
      <c r="O8" s="2">
        <v>1146.964201615916</v>
      </c>
      <c r="P8" s="2">
        <v>422.63888888888891</v>
      </c>
      <c r="Q8" s="2">
        <v>49665.683278154509</v>
      </c>
      <c r="R8" s="2">
        <v>48809.82030564054</v>
      </c>
      <c r="S8" s="2">
        <v>8.819189723974042E-3</v>
      </c>
      <c r="T8" s="2">
        <v>1236.186376531919</v>
      </c>
      <c r="U8" s="2">
        <v>445.38888888888891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66673-E7A5-4F90-8F84-817AD7C577C2}">
  <dimension ref="A8:V13"/>
  <sheetViews>
    <sheetView tabSelected="1" workbookViewId="0">
      <selection activeCell="Z14" sqref="Z14"/>
    </sheetView>
  </sheetViews>
  <sheetFormatPr defaultRowHeight="12.75" x14ac:dyDescent="0.2"/>
  <sheetData>
    <row r="8" spans="1:22" x14ac:dyDescent="0.2">
      <c r="A8" s="7"/>
      <c r="B8" s="7"/>
      <c r="C8" s="10" t="s">
        <v>69</v>
      </c>
      <c r="D8" s="10"/>
      <c r="E8" s="10"/>
      <c r="F8" s="10"/>
      <c r="G8" s="10"/>
      <c r="H8" s="10" t="s">
        <v>71</v>
      </c>
      <c r="I8" s="10"/>
      <c r="J8" s="10"/>
      <c r="K8" s="10"/>
      <c r="L8" s="10"/>
      <c r="M8" s="10" t="s">
        <v>70</v>
      </c>
      <c r="N8" s="10"/>
      <c r="O8" s="10"/>
      <c r="P8" s="10"/>
      <c r="Q8" s="10"/>
      <c r="R8" s="10" t="s">
        <v>72</v>
      </c>
      <c r="S8" s="10"/>
      <c r="T8" s="10"/>
      <c r="U8" s="10"/>
      <c r="V8" s="10"/>
    </row>
    <row r="9" spans="1:22" x14ac:dyDescent="0.2">
      <c r="A9" s="7" t="s">
        <v>55</v>
      </c>
      <c r="B9" s="7" t="s">
        <v>73</v>
      </c>
      <c r="C9" s="7" t="s">
        <v>74</v>
      </c>
      <c r="D9" s="7" t="s">
        <v>75</v>
      </c>
      <c r="E9" s="7" t="s">
        <v>5</v>
      </c>
      <c r="F9" s="7" t="s">
        <v>76</v>
      </c>
      <c r="G9" s="7" t="s">
        <v>77</v>
      </c>
      <c r="H9" s="7" t="s">
        <v>74</v>
      </c>
      <c r="I9" s="7" t="s">
        <v>75</v>
      </c>
      <c r="J9" s="7" t="s">
        <v>5</v>
      </c>
      <c r="K9" s="7" t="s">
        <v>76</v>
      </c>
      <c r="L9" s="7" t="s">
        <v>77</v>
      </c>
      <c r="M9" s="7" t="s">
        <v>74</v>
      </c>
      <c r="N9" s="7" t="s">
        <v>75</v>
      </c>
      <c r="O9" s="7" t="s">
        <v>5</v>
      </c>
      <c r="P9" s="7" t="s">
        <v>76</v>
      </c>
      <c r="Q9" s="7" t="s">
        <v>77</v>
      </c>
      <c r="R9" s="7" t="s">
        <v>74</v>
      </c>
      <c r="S9" s="7" t="s">
        <v>75</v>
      </c>
      <c r="T9" s="7" t="s">
        <v>5</v>
      </c>
      <c r="U9" s="7" t="s">
        <v>76</v>
      </c>
      <c r="V9" s="7" t="s">
        <v>77</v>
      </c>
    </row>
    <row r="10" spans="1:22" x14ac:dyDescent="0.2">
      <c r="A10" t="s">
        <v>59</v>
      </c>
      <c r="B10" t="s">
        <v>60</v>
      </c>
      <c r="C10" s="5">
        <v>21530.125000000011</v>
      </c>
      <c r="D10" s="5">
        <v>21529.902369639811</v>
      </c>
      <c r="E10" s="6">
        <v>9.0322952406431426E-4</v>
      </c>
      <c r="F10" s="5">
        <v>4.8083333969116202</v>
      </c>
      <c r="G10" s="5">
        <v>18.916666666666668</v>
      </c>
      <c r="H10" s="5">
        <v>21530.127944640753</v>
      </c>
      <c r="I10" s="5">
        <v>21530.098498233212</v>
      </c>
      <c r="J10" s="6">
        <v>1.2538423937114335E-4</v>
      </c>
      <c r="K10" s="5">
        <v>5.0713348388671866</v>
      </c>
      <c r="L10" s="5">
        <v>19.833333333333332</v>
      </c>
      <c r="M10" s="5">
        <v>21530.12794464075</v>
      </c>
      <c r="N10" s="5">
        <v>21530.046262305503</v>
      </c>
      <c r="O10" s="6">
        <v>3.4780770172815166E-4</v>
      </c>
      <c r="P10" s="5">
        <v>3.948994100093842</v>
      </c>
      <c r="Q10" s="5">
        <v>17.25</v>
      </c>
      <c r="R10" s="5">
        <v>21530.125</v>
      </c>
      <c r="S10" s="5">
        <v>21529.815788442629</v>
      </c>
      <c r="T10" s="6">
        <v>1.3166398723252965E-3</v>
      </c>
      <c r="U10" s="5">
        <v>4.6934296290079756</v>
      </c>
      <c r="V10" s="5">
        <v>16.583333333333332</v>
      </c>
    </row>
    <row r="11" spans="1:22" x14ac:dyDescent="0.2">
      <c r="B11" t="s">
        <v>61</v>
      </c>
      <c r="C11" s="5">
        <v>45527.999985810311</v>
      </c>
      <c r="D11" s="5">
        <v>45526.992131917206</v>
      </c>
      <c r="E11" s="6">
        <v>1.7061073160454699E-3</v>
      </c>
      <c r="F11" s="5">
        <v>720.5886314511298</v>
      </c>
      <c r="G11" s="5">
        <v>214.83333333333334</v>
      </c>
      <c r="H11" s="5">
        <v>45527.999993319616</v>
      </c>
      <c r="I11" s="5">
        <v>45507.666199149891</v>
      </c>
      <c r="J11" s="6">
        <v>3.5158005487655693E-2</v>
      </c>
      <c r="K11" s="5">
        <v>974.04857514301909</v>
      </c>
      <c r="L11" s="5">
        <v>204.75</v>
      </c>
      <c r="M11" s="5">
        <v>45527.999993831116</v>
      </c>
      <c r="N11" s="5">
        <v>45505.106358900703</v>
      </c>
      <c r="O11" s="6">
        <v>3.877153165191833E-2</v>
      </c>
      <c r="P11" s="5">
        <v>1023.4346227447201</v>
      </c>
      <c r="Q11" s="5">
        <v>441.58333333333331</v>
      </c>
      <c r="R11" s="5">
        <v>45527.999998758554</v>
      </c>
      <c r="S11" s="5">
        <v>45502.342628537626</v>
      </c>
      <c r="T11" s="6">
        <v>4.3433108058902492E-2</v>
      </c>
      <c r="U11" s="5">
        <v>988.76728121439635</v>
      </c>
      <c r="V11" s="5">
        <v>196.58333333333334</v>
      </c>
    </row>
    <row r="12" spans="1:22" x14ac:dyDescent="0.2">
      <c r="B12" t="s">
        <v>62</v>
      </c>
      <c r="C12" s="5">
        <v>81680.958300538288</v>
      </c>
      <c r="D12" s="5">
        <v>79408.652310678954</v>
      </c>
      <c r="E12" s="6">
        <v>2.3540314569137428</v>
      </c>
      <c r="F12" s="5">
        <v>2715.4956399997072</v>
      </c>
      <c r="G12" s="5">
        <v>1034.1666666666667</v>
      </c>
      <c r="H12" s="5">
        <v>81758.574973702707</v>
      </c>
      <c r="I12" s="5">
        <v>79409.720426411586</v>
      </c>
      <c r="J12" s="6">
        <v>2.4256893533796857</v>
      </c>
      <c r="K12" s="5">
        <v>2714.2417554656672</v>
      </c>
      <c r="L12" s="5">
        <v>1122.75</v>
      </c>
      <c r="M12" s="5">
        <v>81811.824940304665</v>
      </c>
      <c r="N12" s="5">
        <v>79381.321424486465</v>
      </c>
      <c r="O12" s="6">
        <v>2.5089737589023398</v>
      </c>
      <c r="P12" s="5">
        <v>2723.0850069324165</v>
      </c>
      <c r="Q12" s="5">
        <v>1774.25</v>
      </c>
      <c r="R12" s="5">
        <v>81938.924835704995</v>
      </c>
      <c r="S12" s="5">
        <v>79397.302499941346</v>
      </c>
      <c r="T12" s="6">
        <v>2.6010071692609849</v>
      </c>
      <c r="U12" s="5">
        <v>2715.0984187523522</v>
      </c>
      <c r="V12" s="5">
        <v>1123</v>
      </c>
    </row>
    <row r="13" spans="1:22" x14ac:dyDescent="0.2">
      <c r="A13" s="7" t="s">
        <v>51</v>
      </c>
      <c r="B13" s="7"/>
      <c r="C13" s="8">
        <v>49579.694428782866</v>
      </c>
      <c r="D13" s="8">
        <v>48821.848937411982</v>
      </c>
      <c r="E13" s="9">
        <v>0.78554693125128439</v>
      </c>
      <c r="F13" s="8">
        <v>1146.964201615916</v>
      </c>
      <c r="G13" s="8">
        <v>422.63888888888891</v>
      </c>
      <c r="H13" s="8">
        <v>49605.567637221036</v>
      </c>
      <c r="I13" s="8">
        <v>48815.828374598233</v>
      </c>
      <c r="J13" s="9">
        <v>0.82032424770223755</v>
      </c>
      <c r="K13" s="8">
        <v>1231.1205551491846</v>
      </c>
      <c r="L13" s="8">
        <v>449.11111111111109</v>
      </c>
      <c r="M13" s="8">
        <v>49623.317626258839</v>
      </c>
      <c r="N13" s="8">
        <v>48805.49134856421</v>
      </c>
      <c r="O13" s="9">
        <v>0.84936436608532873</v>
      </c>
      <c r="P13" s="8">
        <v>1250.1562079257437</v>
      </c>
      <c r="Q13" s="8">
        <v>744.36111111111109</v>
      </c>
      <c r="R13" s="8">
        <v>49665.683278154509</v>
      </c>
      <c r="S13" s="8">
        <v>48809.82030564054</v>
      </c>
      <c r="T13" s="9">
        <v>0.88191897239740424</v>
      </c>
      <c r="U13" s="8">
        <v>1236.186376531919</v>
      </c>
      <c r="V13" s="8">
        <v>445.38888888888891</v>
      </c>
    </row>
  </sheetData>
  <mergeCells count="4">
    <mergeCell ref="C8:G8"/>
    <mergeCell ref="H8:L8"/>
    <mergeCell ref="M8:Q8"/>
    <mergeCell ref="R8:V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45"/>
  <sheetViews>
    <sheetView zoomScaleNormal="100" workbookViewId="0">
      <selection activeCell="G10" sqref="G10"/>
    </sheetView>
  </sheetViews>
  <sheetFormatPr defaultColWidth="11.5703125" defaultRowHeight="12.75" x14ac:dyDescent="0.2"/>
  <cols>
    <col min="1" max="6" width="24.28515625" customWidth="1"/>
    <col min="7" max="7" width="57.42578125" customWidth="1"/>
    <col min="8" max="8" width="11.7109375" customWidth="1"/>
    <col min="9" max="10" width="16.7109375" customWidth="1"/>
    <col min="11" max="11" width="20.42578125" customWidth="1"/>
    <col min="12" max="12" width="17.7109375" customWidth="1"/>
    <col min="13" max="13" width="13.140625" customWidth="1"/>
    <col min="14" max="14" width="4.42578125" customWidth="1"/>
    <col min="15" max="15" width="5.140625" customWidth="1"/>
    <col min="16" max="16" width="14.42578125" customWidth="1"/>
    <col min="17" max="19" width="16.7109375" customWidth="1"/>
    <col min="20" max="20" width="13" customWidth="1"/>
    <col min="21" max="21" width="18.28515625" customWidth="1"/>
    <col min="22" max="22" width="16.85546875" customWidth="1"/>
    <col min="23" max="23" width="12.42578125" customWidth="1"/>
    <col min="24" max="24" width="4.42578125" customWidth="1"/>
    <col min="25" max="25" width="5" customWidth="1"/>
    <col min="26" max="26" width="4.85546875" customWidth="1"/>
    <col min="27" max="27" width="5.42578125" customWidth="1"/>
    <col min="28" max="28" width="20.42578125" customWidth="1"/>
    <col min="29" max="29" width="20.5703125" customWidth="1"/>
    <col min="30" max="31" width="19.7109375" customWidth="1"/>
    <col min="32" max="32" width="18.7109375" customWidth="1"/>
  </cols>
  <sheetData>
    <row r="1" spans="1:32" x14ac:dyDescent="0.2">
      <c r="A1" t="s">
        <v>0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</row>
    <row r="2" spans="1:32" x14ac:dyDescent="0.2">
      <c r="A2" t="s">
        <v>27</v>
      </c>
      <c r="B2" t="str" cm="1">
        <f t="array" ref="B2:F2">_xlfn.TEXTSPLIT(A2,"_")</f>
        <v>MVPRP</v>
      </c>
      <c r="C2" t="str">
        <v>C20</v>
      </c>
      <c r="D2" t="str">
        <v>P3</v>
      </c>
      <c r="E2" t="str">
        <v>V2</v>
      </c>
      <c r="F2" t="str">
        <v>I1.dat</v>
      </c>
      <c r="G2" t="s">
        <v>28</v>
      </c>
      <c r="H2" t="s">
        <v>29</v>
      </c>
      <c r="I2">
        <v>23484.9</v>
      </c>
      <c r="J2">
        <v>23484.9</v>
      </c>
      <c r="K2">
        <v>0</v>
      </c>
      <c r="L2">
        <v>3.91613793373108</v>
      </c>
      <c r="M2" t="s">
        <v>30</v>
      </c>
      <c r="N2">
        <v>283</v>
      </c>
      <c r="P2">
        <v>3000</v>
      </c>
      <c r="Q2">
        <v>12030</v>
      </c>
      <c r="R2">
        <v>4509</v>
      </c>
      <c r="S2">
        <v>2671</v>
      </c>
      <c r="T2">
        <v>0</v>
      </c>
      <c r="U2">
        <v>0</v>
      </c>
      <c r="V2">
        <v>1274.9000000000001</v>
      </c>
      <c r="W2">
        <v>15</v>
      </c>
      <c r="X2">
        <v>42</v>
      </c>
      <c r="Y2">
        <v>0</v>
      </c>
      <c r="Z2">
        <v>31</v>
      </c>
      <c r="AA2">
        <v>0</v>
      </c>
      <c r="AB2">
        <v>9.0738705226353197E-5</v>
      </c>
      <c r="AC2">
        <v>2.1266246187514199E-4</v>
      </c>
      <c r="AD2">
        <v>5.7927390276375501E-3</v>
      </c>
      <c r="AE2">
        <v>8.3769736466584397E-3</v>
      </c>
      <c r="AF2">
        <v>0.10221773035386</v>
      </c>
    </row>
    <row r="3" spans="1:32" x14ac:dyDescent="0.2">
      <c r="A3" t="s">
        <v>31</v>
      </c>
      <c r="B3" t="str" cm="1">
        <f t="array" ref="B3:F3">_xlfn.TEXTSPLIT(A3,"_")</f>
        <v>MVPRP</v>
      </c>
      <c r="C3" t="str">
        <v>C10</v>
      </c>
      <c r="D3" t="str">
        <v>P9</v>
      </c>
      <c r="E3" t="str">
        <v>V2</v>
      </c>
      <c r="F3" t="str">
        <v>I1.dat</v>
      </c>
      <c r="G3" t="s">
        <v>28</v>
      </c>
      <c r="H3" t="s">
        <v>29</v>
      </c>
      <c r="I3">
        <v>52882.899942292897</v>
      </c>
      <c r="J3">
        <v>52882.899942292897</v>
      </c>
      <c r="K3">
        <v>0</v>
      </c>
      <c r="L3">
        <v>46.708426713943503</v>
      </c>
      <c r="M3" t="s">
        <v>30</v>
      </c>
      <c r="N3">
        <v>198</v>
      </c>
      <c r="P3">
        <v>9000</v>
      </c>
      <c r="Q3">
        <v>26370</v>
      </c>
      <c r="R3">
        <v>10335.999711475601</v>
      </c>
      <c r="S3">
        <v>5223.0002825050396</v>
      </c>
      <c r="T3">
        <v>0</v>
      </c>
      <c r="U3">
        <v>0</v>
      </c>
      <c r="V3">
        <v>1953.89994831224</v>
      </c>
      <c r="W3">
        <v>94</v>
      </c>
      <c r="X3">
        <v>102</v>
      </c>
      <c r="Y3">
        <v>0</v>
      </c>
      <c r="Z3">
        <v>26</v>
      </c>
      <c r="AA3">
        <v>0</v>
      </c>
      <c r="AB3">
        <v>4.12791224023382E-5</v>
      </c>
      <c r="AC3">
        <v>8.9058356168186795E-5</v>
      </c>
      <c r="AD3">
        <v>3.21671016280115E-3</v>
      </c>
      <c r="AE3">
        <v>4.7080103219029803E-3</v>
      </c>
      <c r="AF3">
        <v>5.4758666575640103E-2</v>
      </c>
    </row>
    <row r="4" spans="1:32" x14ac:dyDescent="0.2">
      <c r="A4" t="s">
        <v>32</v>
      </c>
      <c r="B4" t="str" cm="1">
        <f t="array" ref="B4:F4">_xlfn.TEXTSPLIT(A4,"_")</f>
        <v>MVPRP</v>
      </c>
      <c r="C4" t="str">
        <v>C15</v>
      </c>
      <c r="D4" t="str">
        <v>P3</v>
      </c>
      <c r="E4" t="str">
        <v>V2</v>
      </c>
      <c r="F4" t="str">
        <v>I1.dat</v>
      </c>
      <c r="G4" t="s">
        <v>28</v>
      </c>
      <c r="H4" t="s">
        <v>29</v>
      </c>
      <c r="I4">
        <v>20511.5</v>
      </c>
      <c r="J4">
        <v>20511.5</v>
      </c>
      <c r="K4">
        <v>0</v>
      </c>
      <c r="L4">
        <v>6.9002583026886004</v>
      </c>
      <c r="M4" t="s">
        <v>30</v>
      </c>
      <c r="N4">
        <v>198</v>
      </c>
      <c r="P4">
        <v>3000</v>
      </c>
      <c r="Q4">
        <v>9960</v>
      </c>
      <c r="R4">
        <v>3896</v>
      </c>
      <c r="S4">
        <v>2762</v>
      </c>
      <c r="T4">
        <v>0</v>
      </c>
      <c r="U4">
        <v>0</v>
      </c>
      <c r="V4">
        <v>893.5</v>
      </c>
      <c r="W4">
        <v>10</v>
      </c>
      <c r="X4">
        <v>134</v>
      </c>
      <c r="Y4">
        <v>0</v>
      </c>
      <c r="Z4">
        <v>40</v>
      </c>
      <c r="AA4">
        <v>0</v>
      </c>
      <c r="AB4">
        <v>8.4085229002399202E-5</v>
      </c>
      <c r="AC4">
        <v>1.4817488214100799E-4</v>
      </c>
      <c r="AD4">
        <v>6.0272519550626201E-3</v>
      </c>
      <c r="AE4">
        <v>7.4612778775832202E-3</v>
      </c>
      <c r="AF4">
        <v>6.0986902978685198E-2</v>
      </c>
    </row>
    <row r="5" spans="1:32" x14ac:dyDescent="0.2">
      <c r="A5" t="s">
        <v>33</v>
      </c>
      <c r="B5" t="str" cm="1">
        <f t="array" ref="B5:F5">_xlfn.TEXTSPLIT(A5,"_")</f>
        <v>MVPRP</v>
      </c>
      <c r="C5" t="str">
        <v>C10</v>
      </c>
      <c r="D5" t="str">
        <v>P3</v>
      </c>
      <c r="E5" t="str">
        <v>V2</v>
      </c>
      <c r="F5" t="str">
        <v>I1.dat</v>
      </c>
      <c r="G5" t="s">
        <v>28</v>
      </c>
      <c r="H5" t="s">
        <v>29</v>
      </c>
      <c r="I5">
        <v>14480.9</v>
      </c>
      <c r="J5">
        <v>14480.9</v>
      </c>
      <c r="K5">
        <v>0</v>
      </c>
      <c r="L5">
        <v>0.70611643791198697</v>
      </c>
      <c r="M5" t="s">
        <v>30</v>
      </c>
      <c r="N5">
        <v>198</v>
      </c>
      <c r="P5">
        <v>3000</v>
      </c>
      <c r="Q5">
        <v>6390</v>
      </c>
      <c r="R5">
        <v>2999</v>
      </c>
      <c r="S5">
        <v>1535</v>
      </c>
      <c r="T5">
        <v>0</v>
      </c>
      <c r="U5">
        <v>0</v>
      </c>
      <c r="V5">
        <v>556.9</v>
      </c>
      <c r="W5">
        <v>7</v>
      </c>
      <c r="X5">
        <v>2</v>
      </c>
      <c r="Y5">
        <v>0</v>
      </c>
      <c r="Z5">
        <v>11</v>
      </c>
      <c r="AA5">
        <v>0</v>
      </c>
      <c r="AB5">
        <v>6.1456547227016701E-5</v>
      </c>
      <c r="AC5">
        <v>1.3607343037923199E-4</v>
      </c>
      <c r="AD5">
        <v>4.82041305965847E-3</v>
      </c>
      <c r="AE5">
        <v>3.43097959245954E-3</v>
      </c>
      <c r="AF5">
        <v>3.0021476745605499E-2</v>
      </c>
    </row>
    <row r="6" spans="1:32" x14ac:dyDescent="0.2">
      <c r="A6" t="s">
        <v>34</v>
      </c>
      <c r="B6" t="str" cm="1">
        <f t="array" ref="B6:F6">_xlfn.TEXTSPLIT(A6,"_")</f>
        <v>MVPRP</v>
      </c>
      <c r="C6" t="str">
        <v>C15</v>
      </c>
      <c r="D6" t="str">
        <v>P9</v>
      </c>
      <c r="E6" t="str">
        <v>V2</v>
      </c>
      <c r="F6" t="str">
        <v>I1.dat</v>
      </c>
      <c r="G6" t="s">
        <v>28</v>
      </c>
      <c r="H6" t="s">
        <v>35</v>
      </c>
      <c r="I6">
        <v>77798.799985128702</v>
      </c>
      <c r="J6">
        <v>75899.617827899594</v>
      </c>
      <c r="K6">
        <v>2.44114582434703E-2</v>
      </c>
      <c r="L6">
        <v>3600.6441190242799</v>
      </c>
      <c r="M6" t="s">
        <v>30</v>
      </c>
      <c r="N6">
        <v>198</v>
      </c>
      <c r="P6">
        <v>9000</v>
      </c>
      <c r="Q6">
        <v>40950</v>
      </c>
      <c r="R6">
        <v>14517.000054288799</v>
      </c>
      <c r="S6">
        <v>8972.9999464723496</v>
      </c>
      <c r="T6">
        <v>0</v>
      </c>
      <c r="U6">
        <v>0</v>
      </c>
      <c r="V6">
        <v>4358.7999843675698</v>
      </c>
      <c r="W6">
        <v>1505</v>
      </c>
      <c r="X6">
        <v>2866</v>
      </c>
      <c r="Y6">
        <v>0</v>
      </c>
      <c r="Z6">
        <v>221</v>
      </c>
      <c r="AA6">
        <v>0</v>
      </c>
      <c r="AB6">
        <v>6.3389578372742602E-5</v>
      </c>
      <c r="AC6">
        <v>1.521476187398E-4</v>
      </c>
      <c r="AD6">
        <v>4.2690917069042097E-3</v>
      </c>
      <c r="AE6">
        <v>7.0619970682500501E-3</v>
      </c>
      <c r="AF6">
        <v>8.2734632277273901E-2</v>
      </c>
    </row>
    <row r="7" spans="1:32" x14ac:dyDescent="0.2">
      <c r="A7" t="s">
        <v>36</v>
      </c>
      <c r="B7" t="str" cm="1">
        <f t="array" ref="B7:F7">_xlfn.TEXTSPLIT(A7,"_")</f>
        <v>MVPRP</v>
      </c>
      <c r="C7" t="str">
        <v>C10</v>
      </c>
      <c r="D7" t="str">
        <v>P6</v>
      </c>
      <c r="E7" t="str">
        <v>V2</v>
      </c>
      <c r="F7" t="str">
        <v>I1.dat</v>
      </c>
      <c r="G7" t="s">
        <v>28</v>
      </c>
      <c r="H7" t="s">
        <v>29</v>
      </c>
      <c r="I7">
        <v>30459.9</v>
      </c>
      <c r="J7">
        <v>30456.875</v>
      </c>
      <c r="K7">
        <v>9.9310897277033594E-5</v>
      </c>
      <c r="L7">
        <v>3.4311637878418</v>
      </c>
      <c r="M7" t="s">
        <v>30</v>
      </c>
      <c r="N7">
        <v>198</v>
      </c>
      <c r="P7">
        <v>6000</v>
      </c>
      <c r="Q7">
        <v>12690</v>
      </c>
      <c r="R7">
        <v>8163</v>
      </c>
      <c r="S7">
        <v>2706</v>
      </c>
      <c r="T7">
        <v>0</v>
      </c>
      <c r="U7">
        <v>0</v>
      </c>
      <c r="V7">
        <v>900.9</v>
      </c>
      <c r="W7">
        <v>15</v>
      </c>
      <c r="X7">
        <v>28</v>
      </c>
      <c r="Y7">
        <v>0</v>
      </c>
      <c r="Z7">
        <v>14</v>
      </c>
      <c r="AA7">
        <v>0</v>
      </c>
      <c r="AB7">
        <v>4.2722775385929998E-5</v>
      </c>
      <c r="AC7">
        <v>1.39644116531184E-4</v>
      </c>
      <c r="AD7">
        <v>3.4680347288808498E-3</v>
      </c>
      <c r="AE7">
        <v>6.3098121333766601E-3</v>
      </c>
      <c r="AF7">
        <v>5.3760792079724798E-2</v>
      </c>
    </row>
    <row r="8" spans="1:32" x14ac:dyDescent="0.2">
      <c r="A8" t="s">
        <v>37</v>
      </c>
      <c r="B8" t="str" cm="1">
        <f t="array" ref="B8:F8">_xlfn.TEXTSPLIT(A8,"_")</f>
        <v>MVPRP</v>
      </c>
      <c r="C8" t="str">
        <v>C15</v>
      </c>
      <c r="D8" t="str">
        <v>P6</v>
      </c>
      <c r="E8" t="str">
        <v>V2</v>
      </c>
      <c r="F8" t="str">
        <v>I1.dat</v>
      </c>
      <c r="G8" t="s">
        <v>28</v>
      </c>
      <c r="H8" t="s">
        <v>29</v>
      </c>
      <c r="I8">
        <v>43302.1</v>
      </c>
      <c r="J8">
        <v>43302.1</v>
      </c>
      <c r="K8">
        <v>0</v>
      </c>
      <c r="L8">
        <v>245.18031334877</v>
      </c>
      <c r="M8" t="s">
        <v>30</v>
      </c>
      <c r="N8">
        <v>198</v>
      </c>
      <c r="P8">
        <v>6000</v>
      </c>
      <c r="Q8">
        <v>19800</v>
      </c>
      <c r="R8">
        <v>10877</v>
      </c>
      <c r="S8">
        <v>5023</v>
      </c>
      <c r="T8">
        <v>0</v>
      </c>
      <c r="U8">
        <v>0</v>
      </c>
      <c r="V8">
        <v>1602.1</v>
      </c>
      <c r="W8">
        <v>277</v>
      </c>
      <c r="X8">
        <v>334</v>
      </c>
      <c r="Y8">
        <v>0</v>
      </c>
      <c r="Z8">
        <v>53</v>
      </c>
      <c r="AA8">
        <v>0</v>
      </c>
      <c r="AB8">
        <v>5.0346199943741999E-5</v>
      </c>
      <c r="AC8">
        <v>1.0451752594794199E-4</v>
      </c>
      <c r="AD8">
        <v>3.3005812616171801E-3</v>
      </c>
      <c r="AE8">
        <v>4.6064125091483102E-3</v>
      </c>
      <c r="AF8">
        <v>4.3978368082354197E-2</v>
      </c>
    </row>
    <row r="9" spans="1:32" x14ac:dyDescent="0.2">
      <c r="A9" t="s">
        <v>38</v>
      </c>
      <c r="B9" t="str" cm="1">
        <f t="array" ref="B9:F9">_xlfn.TEXTSPLIT(A9,"_")</f>
        <v>MVPRP</v>
      </c>
      <c r="C9" t="str">
        <v>C20</v>
      </c>
      <c r="D9" t="str">
        <v>P6</v>
      </c>
      <c r="E9" t="str">
        <v>V2</v>
      </c>
      <c r="F9" t="str">
        <v>I1.dat</v>
      </c>
      <c r="G9" t="s">
        <v>28</v>
      </c>
      <c r="H9" t="s">
        <v>29</v>
      </c>
      <c r="I9">
        <v>49276.7</v>
      </c>
      <c r="J9">
        <v>49272.419081272099</v>
      </c>
      <c r="K9">
        <v>8.68751098978904E-5</v>
      </c>
      <c r="L9">
        <v>26.4562327861786</v>
      </c>
      <c r="M9" t="s">
        <v>30</v>
      </c>
      <c r="N9">
        <v>283</v>
      </c>
      <c r="P9">
        <v>6000</v>
      </c>
      <c r="Q9">
        <v>23820</v>
      </c>
      <c r="R9">
        <v>12905</v>
      </c>
      <c r="S9">
        <v>4842</v>
      </c>
      <c r="T9">
        <v>0</v>
      </c>
      <c r="U9">
        <v>0</v>
      </c>
      <c r="V9">
        <v>1709.7</v>
      </c>
      <c r="W9">
        <v>50</v>
      </c>
      <c r="X9">
        <v>179</v>
      </c>
      <c r="Y9">
        <v>0</v>
      </c>
      <c r="Z9">
        <v>61</v>
      </c>
      <c r="AA9">
        <v>0</v>
      </c>
      <c r="AB9">
        <v>6.1204125573327201E-5</v>
      </c>
      <c r="AC9">
        <v>1.31218846327339E-4</v>
      </c>
      <c r="AD9">
        <v>3.7345122976271601E-3</v>
      </c>
      <c r="AE9">
        <v>5.2054115529760201E-3</v>
      </c>
      <c r="AF9">
        <v>0.16777977347374001</v>
      </c>
    </row>
    <row r="10" spans="1:32" x14ac:dyDescent="0.2">
      <c r="A10" t="s">
        <v>39</v>
      </c>
      <c r="B10" t="str" cm="1">
        <f t="array" ref="B10:F10">_xlfn.TEXTSPLIT(A10,"_")</f>
        <v>MVPRP</v>
      </c>
      <c r="C10" t="str">
        <v>C25</v>
      </c>
      <c r="D10" t="str">
        <v>P9</v>
      </c>
      <c r="E10" t="str">
        <v>V2</v>
      </c>
      <c r="F10" t="str">
        <v>I1.dat</v>
      </c>
      <c r="G10" t="s">
        <v>28</v>
      </c>
      <c r="H10" t="s">
        <v>35</v>
      </c>
      <c r="I10">
        <v>108129.299999</v>
      </c>
      <c r="J10">
        <v>103740.00311643</v>
      </c>
      <c r="K10">
        <v>4.0593038913692002E-2</v>
      </c>
      <c r="L10">
        <v>3600.65135574341</v>
      </c>
      <c r="M10" t="s">
        <v>30</v>
      </c>
      <c r="N10">
        <v>283</v>
      </c>
      <c r="P10">
        <v>9000</v>
      </c>
      <c r="Q10">
        <v>59880</v>
      </c>
      <c r="R10">
        <v>22519</v>
      </c>
      <c r="S10">
        <v>10133</v>
      </c>
      <c r="T10">
        <v>0</v>
      </c>
      <c r="U10">
        <v>0</v>
      </c>
      <c r="V10">
        <v>6597.2999989999898</v>
      </c>
      <c r="W10">
        <v>787</v>
      </c>
      <c r="X10">
        <v>4360</v>
      </c>
      <c r="Y10">
        <v>0</v>
      </c>
      <c r="Z10">
        <v>938</v>
      </c>
      <c r="AA10">
        <v>0</v>
      </c>
      <c r="AB10">
        <v>8.6822883689500403E-5</v>
      </c>
      <c r="AC10">
        <v>1.8538894476713999E-4</v>
      </c>
      <c r="AD10">
        <v>4.1859786740391196E-3</v>
      </c>
      <c r="AE10">
        <v>6.9326931308493298E-3</v>
      </c>
      <c r="AF10">
        <v>0.30661671765645299</v>
      </c>
    </row>
    <row r="11" spans="1:32" x14ac:dyDescent="0.2">
      <c r="A11" t="s">
        <v>40</v>
      </c>
      <c r="B11" t="str" cm="1">
        <f t="array" ref="B11:F11">_xlfn.TEXTSPLIT(A11,"_")</f>
        <v>MVPRP</v>
      </c>
      <c r="C11" t="str">
        <v>C25</v>
      </c>
      <c r="D11" t="str">
        <v>P3</v>
      </c>
      <c r="E11" t="str">
        <v>V2</v>
      </c>
      <c r="F11" t="str">
        <v>I1.dat</v>
      </c>
      <c r="G11" t="s">
        <v>28</v>
      </c>
      <c r="H11" t="s">
        <v>29</v>
      </c>
      <c r="I11">
        <v>27643.200000000001</v>
      </c>
      <c r="J11">
        <v>27643.200000000001</v>
      </c>
      <c r="K11">
        <v>0</v>
      </c>
      <c r="L11">
        <v>8.3822224140167201</v>
      </c>
      <c r="M11" t="s">
        <v>30</v>
      </c>
      <c r="N11">
        <v>283</v>
      </c>
      <c r="P11">
        <v>3000</v>
      </c>
      <c r="Q11">
        <v>14340</v>
      </c>
      <c r="R11">
        <v>5901</v>
      </c>
      <c r="S11">
        <v>2865</v>
      </c>
      <c r="T11">
        <v>0</v>
      </c>
      <c r="U11">
        <v>0</v>
      </c>
      <c r="V11">
        <v>1537.2</v>
      </c>
      <c r="W11">
        <v>54</v>
      </c>
      <c r="X11">
        <v>27</v>
      </c>
      <c r="Y11">
        <v>0</v>
      </c>
      <c r="Z11">
        <v>38</v>
      </c>
      <c r="AA11">
        <v>0</v>
      </c>
      <c r="AB11">
        <v>1.4773484702422201E-4</v>
      </c>
      <c r="AC11">
        <v>3.5701627316682199E-4</v>
      </c>
      <c r="AD11">
        <v>8.1998487062092101E-3</v>
      </c>
      <c r="AE11">
        <v>1.0579986392327099E-2</v>
      </c>
      <c r="AF11">
        <v>0.24992146275260199</v>
      </c>
    </row>
    <row r="12" spans="1:32" x14ac:dyDescent="0.2">
      <c r="A12" t="s">
        <v>41</v>
      </c>
      <c r="B12" t="str" cm="1">
        <f t="array" ref="B12:F12">_xlfn.TEXTSPLIT(A12,"_")</f>
        <v>MVPRP</v>
      </c>
      <c r="C12" t="str">
        <v>C25</v>
      </c>
      <c r="D12" t="str">
        <v>P6</v>
      </c>
      <c r="E12" t="str">
        <v>V2</v>
      </c>
      <c r="F12" t="str">
        <v>I1.dat</v>
      </c>
      <c r="G12" t="s">
        <v>28</v>
      </c>
      <c r="H12" t="s">
        <v>35</v>
      </c>
      <c r="I12">
        <v>59073.3</v>
      </c>
      <c r="J12">
        <v>59004.917441954203</v>
      </c>
      <c r="K12">
        <v>1.1575882513041101E-3</v>
      </c>
      <c r="L12">
        <v>3600.3624830245999</v>
      </c>
      <c r="M12" t="s">
        <v>30</v>
      </c>
      <c r="N12">
        <v>283</v>
      </c>
      <c r="P12">
        <v>6000</v>
      </c>
      <c r="Q12">
        <v>28380</v>
      </c>
      <c r="R12">
        <v>17067</v>
      </c>
      <c r="S12">
        <v>5583</v>
      </c>
      <c r="T12">
        <v>0</v>
      </c>
      <c r="U12">
        <v>0</v>
      </c>
      <c r="V12">
        <v>2043.3</v>
      </c>
      <c r="W12">
        <v>462</v>
      </c>
      <c r="X12">
        <v>1070</v>
      </c>
      <c r="Y12">
        <v>0</v>
      </c>
      <c r="Z12">
        <v>92</v>
      </c>
      <c r="AA12">
        <v>0</v>
      </c>
      <c r="AB12">
        <v>6.7425792952651795E-5</v>
      </c>
      <c r="AC12">
        <v>1.5653753846618499E-4</v>
      </c>
      <c r="AD12">
        <v>3.5728633500382002E-3</v>
      </c>
      <c r="AE12">
        <v>6.1122466502152297E-3</v>
      </c>
      <c r="AF12">
        <v>0.131345809006891</v>
      </c>
    </row>
    <row r="13" spans="1:32" x14ac:dyDescent="0.2">
      <c r="A13" t="s">
        <v>42</v>
      </c>
      <c r="B13" t="str" cm="1">
        <f t="array" ref="B13:F13">_xlfn.TEXTSPLIT(A13,"_")</f>
        <v>MVPRP</v>
      </c>
      <c r="C13" t="str">
        <v>C20</v>
      </c>
      <c r="D13" t="str">
        <v>P9</v>
      </c>
      <c r="E13" t="str">
        <v>V2</v>
      </c>
      <c r="F13" t="str">
        <v>I1.dat</v>
      </c>
      <c r="G13" t="s">
        <v>28</v>
      </c>
      <c r="H13" t="s">
        <v>35</v>
      </c>
      <c r="I13">
        <v>86838.499997999999</v>
      </c>
      <c r="J13">
        <v>85167.985213527601</v>
      </c>
      <c r="K13">
        <v>1.9237029480136999E-2</v>
      </c>
      <c r="L13">
        <v>3600.8165321350102</v>
      </c>
      <c r="M13" t="s">
        <v>30</v>
      </c>
      <c r="N13">
        <v>283</v>
      </c>
      <c r="P13">
        <v>9000</v>
      </c>
      <c r="Q13">
        <v>48120</v>
      </c>
      <c r="R13">
        <v>17811</v>
      </c>
      <c r="S13">
        <v>7464</v>
      </c>
      <c r="T13">
        <v>0</v>
      </c>
      <c r="U13">
        <v>0</v>
      </c>
      <c r="V13">
        <v>4443.4999979999502</v>
      </c>
      <c r="W13">
        <v>1860</v>
      </c>
      <c r="X13">
        <v>3585</v>
      </c>
      <c r="Y13">
        <v>0</v>
      </c>
      <c r="Z13">
        <v>577</v>
      </c>
      <c r="AA13">
        <v>0</v>
      </c>
      <c r="AB13">
        <v>6.68951795999521E-5</v>
      </c>
      <c r="AC13">
        <v>1.48960774785338E-4</v>
      </c>
      <c r="AD13">
        <v>3.5124947846499298E-3</v>
      </c>
      <c r="AE13">
        <v>5.8607354470532301E-3</v>
      </c>
      <c r="AF13">
        <v>0.120793697475055</v>
      </c>
    </row>
    <row r="14" spans="1:32" x14ac:dyDescent="0.2">
      <c r="A14" t="s">
        <v>27</v>
      </c>
      <c r="B14" t="str" cm="1">
        <f t="array" ref="B14:F14">_xlfn.TEXTSPLIT(A14,"_")</f>
        <v>MVPRP</v>
      </c>
      <c r="C14" t="str">
        <v>C20</v>
      </c>
      <c r="D14" t="str">
        <v>P3</v>
      </c>
      <c r="E14" t="str">
        <v>V2</v>
      </c>
      <c r="F14" t="str">
        <v>I1.dat</v>
      </c>
      <c r="G14" t="s">
        <v>43</v>
      </c>
      <c r="H14" t="s">
        <v>29</v>
      </c>
      <c r="I14">
        <v>23484.9</v>
      </c>
      <c r="J14">
        <v>23483.066670971701</v>
      </c>
      <c r="K14">
        <v>7.8064161580763502E-5</v>
      </c>
      <c r="L14">
        <v>3.5383272171020499</v>
      </c>
      <c r="M14" t="s">
        <v>30</v>
      </c>
      <c r="N14">
        <v>283</v>
      </c>
      <c r="P14">
        <v>3000</v>
      </c>
      <c r="Q14">
        <v>12030</v>
      </c>
      <c r="R14">
        <v>4509</v>
      </c>
      <c r="S14">
        <v>2671</v>
      </c>
      <c r="T14">
        <v>0</v>
      </c>
      <c r="U14">
        <v>0</v>
      </c>
      <c r="V14">
        <v>1274.9000000000001</v>
      </c>
      <c r="W14">
        <v>22</v>
      </c>
      <c r="X14">
        <v>15</v>
      </c>
      <c r="Y14">
        <v>0</v>
      </c>
      <c r="Z14">
        <v>20</v>
      </c>
      <c r="AA14">
        <v>0</v>
      </c>
      <c r="AB14">
        <v>1.0010470514712099E-4</v>
      </c>
      <c r="AC14">
        <v>2.8695000542534698E-4</v>
      </c>
      <c r="AD14">
        <v>6.3119208226438397E-3</v>
      </c>
      <c r="AE14">
        <v>1.0006666183471701E-2</v>
      </c>
      <c r="AF14">
        <v>0.10553317320974299</v>
      </c>
    </row>
    <row r="15" spans="1:32" x14ac:dyDescent="0.2">
      <c r="A15" t="s">
        <v>31</v>
      </c>
      <c r="B15" t="str" cm="1">
        <f t="array" ref="B15:F15">_xlfn.TEXTSPLIT(A15,"_")</f>
        <v>MVPRP</v>
      </c>
      <c r="C15" t="str">
        <v>C10</v>
      </c>
      <c r="D15" t="str">
        <v>P9</v>
      </c>
      <c r="E15" t="str">
        <v>V2</v>
      </c>
      <c r="F15" t="str">
        <v>I1.dat</v>
      </c>
      <c r="G15" t="s">
        <v>43</v>
      </c>
      <c r="H15" t="s">
        <v>29</v>
      </c>
      <c r="I15">
        <v>52882.899878246702</v>
      </c>
      <c r="J15">
        <v>52882.899878246702</v>
      </c>
      <c r="K15">
        <v>0</v>
      </c>
      <c r="L15">
        <v>46.102028608322101</v>
      </c>
      <c r="M15" t="s">
        <v>30</v>
      </c>
      <c r="N15">
        <v>198</v>
      </c>
      <c r="P15">
        <v>9000</v>
      </c>
      <c r="Q15">
        <v>26369.999993726698</v>
      </c>
      <c r="R15">
        <v>10335.9999943199</v>
      </c>
      <c r="S15">
        <v>5223</v>
      </c>
      <c r="T15">
        <v>0</v>
      </c>
      <c r="U15">
        <v>0</v>
      </c>
      <c r="V15">
        <v>1953.8998902000001</v>
      </c>
      <c r="W15">
        <v>95</v>
      </c>
      <c r="X15">
        <v>112</v>
      </c>
      <c r="Y15">
        <v>0</v>
      </c>
      <c r="Z15">
        <v>25</v>
      </c>
      <c r="AA15">
        <v>0</v>
      </c>
      <c r="AB15">
        <v>4.1972841199317503E-5</v>
      </c>
      <c r="AC15">
        <v>8.9714038353384205E-5</v>
      </c>
      <c r="AD15">
        <v>3.1854179170396602E-3</v>
      </c>
      <c r="AE15">
        <v>4.8458744691611596E-3</v>
      </c>
      <c r="AF15">
        <v>5.4077136663743003E-2</v>
      </c>
    </row>
    <row r="16" spans="1:32" x14ac:dyDescent="0.2">
      <c r="A16" t="s">
        <v>32</v>
      </c>
      <c r="B16" t="str" cm="1">
        <f t="array" ref="B16:F16">_xlfn.TEXTSPLIT(A16,"_")</f>
        <v>MVPRP</v>
      </c>
      <c r="C16" t="str">
        <v>C15</v>
      </c>
      <c r="D16" t="str">
        <v>P3</v>
      </c>
      <c r="E16" t="str">
        <v>V2</v>
      </c>
      <c r="F16" t="str">
        <v>I1.dat</v>
      </c>
      <c r="G16" t="s">
        <v>43</v>
      </c>
      <c r="H16" t="s">
        <v>29</v>
      </c>
      <c r="I16">
        <v>20511.5</v>
      </c>
      <c r="J16">
        <v>20511.5</v>
      </c>
      <c r="K16">
        <v>0</v>
      </c>
      <c r="L16">
        <v>6.8545236587524396</v>
      </c>
      <c r="M16" t="s">
        <v>30</v>
      </c>
      <c r="N16">
        <v>198</v>
      </c>
      <c r="P16">
        <v>3000</v>
      </c>
      <c r="Q16">
        <v>9960</v>
      </c>
      <c r="R16">
        <v>3896</v>
      </c>
      <c r="S16">
        <v>2762</v>
      </c>
      <c r="T16">
        <v>0</v>
      </c>
      <c r="U16">
        <v>0</v>
      </c>
      <c r="V16">
        <v>893.5</v>
      </c>
      <c r="W16">
        <v>10</v>
      </c>
      <c r="X16">
        <v>147</v>
      </c>
      <c r="Y16">
        <v>0</v>
      </c>
      <c r="Z16">
        <v>26</v>
      </c>
      <c r="AA16">
        <v>0</v>
      </c>
      <c r="AB16">
        <v>8.18631587884365E-5</v>
      </c>
      <c r="AC16">
        <v>1.48557743814869E-4</v>
      </c>
      <c r="AD16">
        <v>5.93149472796728E-3</v>
      </c>
      <c r="AE16">
        <v>7.9497337341308608E-3</v>
      </c>
      <c r="AF16">
        <v>6.5470883720799497E-2</v>
      </c>
    </row>
    <row r="17" spans="1:32" x14ac:dyDescent="0.2">
      <c r="A17" t="s">
        <v>33</v>
      </c>
      <c r="B17" t="str" cm="1">
        <f t="array" ref="B17:F17">_xlfn.TEXTSPLIT(A17,"_")</f>
        <v>MVPRP</v>
      </c>
      <c r="C17" t="str">
        <v>C10</v>
      </c>
      <c r="D17" t="str">
        <v>P3</v>
      </c>
      <c r="E17" t="str">
        <v>V2</v>
      </c>
      <c r="F17" t="str">
        <v>I1.dat</v>
      </c>
      <c r="G17" t="s">
        <v>43</v>
      </c>
      <c r="H17" t="s">
        <v>29</v>
      </c>
      <c r="I17">
        <v>14480.9</v>
      </c>
      <c r="J17">
        <v>14480.9</v>
      </c>
      <c r="K17">
        <v>0</v>
      </c>
      <c r="L17">
        <v>0.78473758697509799</v>
      </c>
      <c r="M17" t="s">
        <v>30</v>
      </c>
      <c r="N17">
        <v>198</v>
      </c>
      <c r="P17">
        <v>3000</v>
      </c>
      <c r="Q17">
        <v>6390</v>
      </c>
      <c r="R17">
        <v>2999</v>
      </c>
      <c r="S17">
        <v>1535</v>
      </c>
      <c r="T17">
        <v>0</v>
      </c>
      <c r="U17">
        <v>0</v>
      </c>
      <c r="V17">
        <v>556.9</v>
      </c>
      <c r="W17">
        <v>4</v>
      </c>
      <c r="X17">
        <v>5</v>
      </c>
      <c r="Y17">
        <v>0</v>
      </c>
      <c r="Z17">
        <v>14</v>
      </c>
      <c r="AA17">
        <v>0</v>
      </c>
      <c r="AB17">
        <v>6.7101584540473093E-5</v>
      </c>
      <c r="AC17">
        <v>1.4731619093153199E-4</v>
      </c>
      <c r="AD17">
        <v>4.8380295435587603E-3</v>
      </c>
      <c r="AE17">
        <v>6.0636997222900399E-3</v>
      </c>
      <c r="AF17">
        <v>3.0703830718994098E-2</v>
      </c>
    </row>
    <row r="18" spans="1:32" x14ac:dyDescent="0.2">
      <c r="A18" t="s">
        <v>34</v>
      </c>
      <c r="B18" t="str" cm="1">
        <f t="array" ref="B18:F18">_xlfn.TEXTSPLIT(A18,"_")</f>
        <v>MVPRP</v>
      </c>
      <c r="C18" t="str">
        <v>C15</v>
      </c>
      <c r="D18" t="str">
        <v>P9</v>
      </c>
      <c r="E18" t="str">
        <v>V2</v>
      </c>
      <c r="F18" t="str">
        <v>I1.dat</v>
      </c>
      <c r="G18" t="s">
        <v>43</v>
      </c>
      <c r="H18" t="s">
        <v>35</v>
      </c>
      <c r="I18">
        <v>77610.499999000007</v>
      </c>
      <c r="J18">
        <v>75839.533946259398</v>
      </c>
      <c r="K18">
        <v>2.2818639910364799E-2</v>
      </c>
      <c r="L18">
        <v>3601.0685608386998</v>
      </c>
      <c r="M18" t="s">
        <v>30</v>
      </c>
      <c r="N18">
        <v>198</v>
      </c>
      <c r="P18">
        <v>9000</v>
      </c>
      <c r="Q18">
        <v>40950</v>
      </c>
      <c r="R18">
        <v>15070</v>
      </c>
      <c r="S18">
        <v>8553</v>
      </c>
      <c r="T18">
        <v>0</v>
      </c>
      <c r="U18">
        <v>0</v>
      </c>
      <c r="V18">
        <v>4037.5</v>
      </c>
      <c r="W18">
        <v>1472</v>
      </c>
      <c r="X18">
        <v>2626</v>
      </c>
      <c r="Y18">
        <v>0</v>
      </c>
      <c r="Z18">
        <v>214</v>
      </c>
      <c r="AA18">
        <v>0</v>
      </c>
      <c r="AB18">
        <v>6.1579771265138399E-5</v>
      </c>
      <c r="AC18">
        <v>1.58094513563462E-4</v>
      </c>
      <c r="AD18">
        <v>4.0705587267637899E-3</v>
      </c>
      <c r="AE18">
        <v>7.4780564941267199E-3</v>
      </c>
      <c r="AF18">
        <v>8.6058904522171006E-2</v>
      </c>
    </row>
    <row r="19" spans="1:32" x14ac:dyDescent="0.2">
      <c r="A19" t="s">
        <v>36</v>
      </c>
      <c r="B19" t="str" cm="1">
        <f t="array" ref="B19:F19">_xlfn.TEXTSPLIT(A19,"_")</f>
        <v>MVPRP</v>
      </c>
      <c r="C19" t="str">
        <v>C10</v>
      </c>
      <c r="D19" t="str">
        <v>P6</v>
      </c>
      <c r="E19" t="str">
        <v>V2</v>
      </c>
      <c r="F19" t="str">
        <v>I1.dat</v>
      </c>
      <c r="G19" t="s">
        <v>43</v>
      </c>
      <c r="H19" t="s">
        <v>29</v>
      </c>
      <c r="I19">
        <v>30459.9</v>
      </c>
      <c r="J19">
        <v>30459.9</v>
      </c>
      <c r="K19">
        <v>0</v>
      </c>
      <c r="L19">
        <v>3.4909033775329599</v>
      </c>
      <c r="M19" t="s">
        <v>30</v>
      </c>
      <c r="N19">
        <v>198</v>
      </c>
      <c r="P19">
        <v>6000</v>
      </c>
      <c r="Q19">
        <v>12690</v>
      </c>
      <c r="R19">
        <v>8163</v>
      </c>
      <c r="S19">
        <v>2706</v>
      </c>
      <c r="T19">
        <v>0</v>
      </c>
      <c r="U19">
        <v>0</v>
      </c>
      <c r="V19">
        <v>900.9</v>
      </c>
      <c r="W19">
        <v>11</v>
      </c>
      <c r="X19">
        <v>32</v>
      </c>
      <c r="Y19">
        <v>0</v>
      </c>
      <c r="Z19">
        <v>11</v>
      </c>
      <c r="AA19">
        <v>0</v>
      </c>
      <c r="AB19">
        <v>4.5404831568400098E-5</v>
      </c>
      <c r="AC19">
        <v>9.1798545778259803E-5</v>
      </c>
      <c r="AD19">
        <v>3.7081262521576502E-3</v>
      </c>
      <c r="AE19">
        <v>4.81203804171182E-3</v>
      </c>
      <c r="AF19">
        <v>5.3873724407619901E-2</v>
      </c>
    </row>
    <row r="20" spans="1:32" x14ac:dyDescent="0.2">
      <c r="A20" t="s">
        <v>37</v>
      </c>
      <c r="B20" t="str" cm="1">
        <f t="array" ref="B20:F20">_xlfn.TEXTSPLIT(A20,"_")</f>
        <v>MVPRP</v>
      </c>
      <c r="C20" t="str">
        <v>C15</v>
      </c>
      <c r="D20" t="str">
        <v>P6</v>
      </c>
      <c r="E20" t="str">
        <v>V2</v>
      </c>
      <c r="F20" t="str">
        <v>I1.dat</v>
      </c>
      <c r="G20" t="s">
        <v>43</v>
      </c>
      <c r="H20" t="s">
        <v>29</v>
      </c>
      <c r="I20">
        <v>43302.1</v>
      </c>
      <c r="J20">
        <v>43302.1</v>
      </c>
      <c r="K20">
        <v>0</v>
      </c>
      <c r="L20">
        <v>296.776829719543</v>
      </c>
      <c r="M20" t="s">
        <v>30</v>
      </c>
      <c r="N20">
        <v>198</v>
      </c>
      <c r="P20">
        <v>6000</v>
      </c>
      <c r="Q20">
        <v>19800</v>
      </c>
      <c r="R20">
        <v>10877</v>
      </c>
      <c r="S20">
        <v>5023</v>
      </c>
      <c r="T20">
        <v>0</v>
      </c>
      <c r="U20">
        <v>0</v>
      </c>
      <c r="V20">
        <v>1602.1</v>
      </c>
      <c r="W20">
        <v>273</v>
      </c>
      <c r="X20">
        <v>355</v>
      </c>
      <c r="Y20">
        <v>0</v>
      </c>
      <c r="Z20">
        <v>55</v>
      </c>
      <c r="AA20">
        <v>0</v>
      </c>
      <c r="AB20">
        <v>5.1868493966793601E-5</v>
      </c>
      <c r="AC20">
        <v>1.02781302606066E-4</v>
      </c>
      <c r="AD20">
        <v>3.2944569726450299E-3</v>
      </c>
      <c r="AE20">
        <v>4.7419476327457003E-3</v>
      </c>
      <c r="AF20">
        <v>4.6266022850485401E-2</v>
      </c>
    </row>
    <row r="21" spans="1:32" x14ac:dyDescent="0.2">
      <c r="A21" t="s">
        <v>38</v>
      </c>
      <c r="B21" t="str" cm="1">
        <f t="array" ref="B21:F21">_xlfn.TEXTSPLIT(A21,"_")</f>
        <v>MVPRP</v>
      </c>
      <c r="C21" t="str">
        <v>C20</v>
      </c>
      <c r="D21" t="str">
        <v>P6</v>
      </c>
      <c r="E21" t="str">
        <v>V2</v>
      </c>
      <c r="F21" t="str">
        <v>I1.dat</v>
      </c>
      <c r="G21" t="s">
        <v>43</v>
      </c>
      <c r="H21" t="s">
        <v>29</v>
      </c>
      <c r="I21">
        <v>49276.7</v>
      </c>
      <c r="J21">
        <v>49276.7</v>
      </c>
      <c r="K21">
        <v>0</v>
      </c>
      <c r="L21">
        <v>46.417540550231898</v>
      </c>
      <c r="M21" t="s">
        <v>30</v>
      </c>
      <c r="N21">
        <v>283</v>
      </c>
      <c r="P21">
        <v>6000</v>
      </c>
      <c r="Q21">
        <v>23820</v>
      </c>
      <c r="R21">
        <v>12905</v>
      </c>
      <c r="S21">
        <v>4842</v>
      </c>
      <c r="T21">
        <v>0</v>
      </c>
      <c r="U21">
        <v>0</v>
      </c>
      <c r="V21">
        <v>1709.7</v>
      </c>
      <c r="W21">
        <v>38</v>
      </c>
      <c r="X21">
        <v>209</v>
      </c>
      <c r="Y21">
        <v>0</v>
      </c>
      <c r="Z21">
        <v>65</v>
      </c>
      <c r="AA21">
        <v>0</v>
      </c>
      <c r="AB21">
        <v>6.5144811357770695E-5</v>
      </c>
      <c r="AC21">
        <v>1.5015702417367499E-4</v>
      </c>
      <c r="AD21">
        <v>3.8037285067681601E-3</v>
      </c>
      <c r="AE21">
        <v>6.5132847058955202E-3</v>
      </c>
      <c r="AF21">
        <v>0.16343065749767199</v>
      </c>
    </row>
    <row r="22" spans="1:32" x14ac:dyDescent="0.2">
      <c r="A22" t="s">
        <v>39</v>
      </c>
      <c r="B22" t="str" cm="1">
        <f t="array" ref="B22:F22">_xlfn.TEXTSPLIT(A22,"_")</f>
        <v>MVPRP</v>
      </c>
      <c r="C22" t="str">
        <v>C25</v>
      </c>
      <c r="D22" t="str">
        <v>P9</v>
      </c>
      <c r="E22" t="str">
        <v>V2</v>
      </c>
      <c r="F22" t="str">
        <v>I1.dat</v>
      </c>
      <c r="G22" t="s">
        <v>43</v>
      </c>
      <c r="H22" t="s">
        <v>35</v>
      </c>
      <c r="I22">
        <v>107957.6</v>
      </c>
      <c r="J22">
        <v>103733.69657510699</v>
      </c>
      <c r="K22">
        <v>3.91255773089937E-2</v>
      </c>
      <c r="L22">
        <v>3600.9316496849101</v>
      </c>
      <c r="M22" t="s">
        <v>30</v>
      </c>
      <c r="N22">
        <v>283</v>
      </c>
      <c r="P22">
        <v>9000</v>
      </c>
      <c r="Q22">
        <v>59880</v>
      </c>
      <c r="R22">
        <v>23094</v>
      </c>
      <c r="S22">
        <v>10074</v>
      </c>
      <c r="T22">
        <v>0</v>
      </c>
      <c r="U22">
        <v>0</v>
      </c>
      <c r="V22">
        <v>5909.6</v>
      </c>
      <c r="W22">
        <v>777</v>
      </c>
      <c r="X22">
        <v>4421</v>
      </c>
      <c r="Y22">
        <v>0</v>
      </c>
      <c r="Z22">
        <v>977</v>
      </c>
      <c r="AA22">
        <v>0</v>
      </c>
      <c r="AB22">
        <v>8.7484231981813294E-5</v>
      </c>
      <c r="AC22">
        <v>1.80554472494502E-4</v>
      </c>
      <c r="AD22">
        <v>4.2805454305557501E-3</v>
      </c>
      <c r="AE22">
        <v>6.7874260923166197E-3</v>
      </c>
      <c r="AF22">
        <v>0.34016061916177398</v>
      </c>
    </row>
    <row r="23" spans="1:32" x14ac:dyDescent="0.2">
      <c r="A23" t="s">
        <v>40</v>
      </c>
      <c r="B23" t="str" cm="1">
        <f t="array" ref="B23:F23">_xlfn.TEXTSPLIT(A23,"_")</f>
        <v>MVPRP</v>
      </c>
      <c r="C23" t="str">
        <v>C25</v>
      </c>
      <c r="D23" t="str">
        <v>P3</v>
      </c>
      <c r="E23" t="str">
        <v>V2</v>
      </c>
      <c r="F23" t="str">
        <v>I1.dat</v>
      </c>
      <c r="G23" t="s">
        <v>43</v>
      </c>
      <c r="H23" t="s">
        <v>29</v>
      </c>
      <c r="I23">
        <v>27643.200000000001</v>
      </c>
      <c r="J23">
        <v>27643.200000000001</v>
      </c>
      <c r="K23">
        <v>0</v>
      </c>
      <c r="L23">
        <v>5.9959840774536097</v>
      </c>
      <c r="M23" t="s">
        <v>30</v>
      </c>
      <c r="N23">
        <v>283</v>
      </c>
      <c r="P23">
        <v>3000</v>
      </c>
      <c r="Q23">
        <v>14340</v>
      </c>
      <c r="R23">
        <v>5901</v>
      </c>
      <c r="S23">
        <v>2865</v>
      </c>
      <c r="T23">
        <v>0</v>
      </c>
      <c r="U23">
        <v>0</v>
      </c>
      <c r="V23">
        <v>1537.2</v>
      </c>
      <c r="W23">
        <v>43</v>
      </c>
      <c r="X23">
        <v>41</v>
      </c>
      <c r="Y23">
        <v>0</v>
      </c>
      <c r="Z23">
        <v>44</v>
      </c>
      <c r="AA23">
        <v>0</v>
      </c>
      <c r="AB23">
        <v>1.14264997463782E-4</v>
      </c>
      <c r="AC23">
        <v>2.3953956470154899E-4</v>
      </c>
      <c r="AD23">
        <v>6.3852948300978703E-3</v>
      </c>
      <c r="AE23">
        <v>8.8302791118621791E-3</v>
      </c>
      <c r="AF23">
        <v>0.255768244083111</v>
      </c>
    </row>
    <row r="24" spans="1:32" x14ac:dyDescent="0.2">
      <c r="A24" t="s">
        <v>41</v>
      </c>
      <c r="B24" t="str" cm="1">
        <f t="array" ref="B24:F24">_xlfn.TEXTSPLIT(A24,"_")</f>
        <v>MVPRP</v>
      </c>
      <c r="C24" t="str">
        <v>C25</v>
      </c>
      <c r="D24" t="str">
        <v>P6</v>
      </c>
      <c r="E24" t="str">
        <v>V2</v>
      </c>
      <c r="F24" t="str">
        <v>I1.dat</v>
      </c>
      <c r="G24" t="s">
        <v>43</v>
      </c>
      <c r="H24" t="s">
        <v>29</v>
      </c>
      <c r="I24">
        <v>59073.3</v>
      </c>
      <c r="J24">
        <v>59068.796518442199</v>
      </c>
      <c r="K24">
        <v>7.6235482997565694E-5</v>
      </c>
      <c r="L24">
        <v>2361.9304001331302</v>
      </c>
      <c r="M24" t="s">
        <v>30</v>
      </c>
      <c r="N24">
        <v>283</v>
      </c>
      <c r="P24">
        <v>6000</v>
      </c>
      <c r="Q24">
        <v>28380</v>
      </c>
      <c r="R24">
        <v>17067</v>
      </c>
      <c r="S24">
        <v>5583</v>
      </c>
      <c r="T24">
        <v>0</v>
      </c>
      <c r="U24">
        <v>0</v>
      </c>
      <c r="V24">
        <v>2043.3</v>
      </c>
      <c r="W24">
        <v>618</v>
      </c>
      <c r="X24">
        <v>1289</v>
      </c>
      <c r="Y24">
        <v>0</v>
      </c>
      <c r="Z24">
        <v>272</v>
      </c>
      <c r="AA24">
        <v>0</v>
      </c>
      <c r="AB24">
        <v>6.4777731284832799E-5</v>
      </c>
      <c r="AC24">
        <v>1.48378586103913E-4</v>
      </c>
      <c r="AD24">
        <v>3.3472926537357699E-3</v>
      </c>
      <c r="AE24">
        <v>6.2574896763062304E-3</v>
      </c>
      <c r="AF24">
        <v>0.13249350350368799</v>
      </c>
    </row>
    <row r="25" spans="1:32" x14ac:dyDescent="0.2">
      <c r="A25" t="s">
        <v>42</v>
      </c>
      <c r="B25" t="str" cm="1">
        <f t="array" ref="B25:F25">_xlfn.TEXTSPLIT(A25,"_")</f>
        <v>MVPRP</v>
      </c>
      <c r="C25" t="str">
        <v>C20</v>
      </c>
      <c r="D25" t="str">
        <v>P9</v>
      </c>
      <c r="E25" t="str">
        <v>V2</v>
      </c>
      <c r="F25" t="str">
        <v>I1.dat</v>
      </c>
      <c r="G25" t="s">
        <v>43</v>
      </c>
      <c r="H25" t="s">
        <v>35</v>
      </c>
      <c r="I25">
        <v>86838.5</v>
      </c>
      <c r="J25">
        <v>85177.787248064997</v>
      </c>
      <c r="K25">
        <v>1.9124152903781701E-2</v>
      </c>
      <c r="L25">
        <v>3600.6309173107102</v>
      </c>
      <c r="M25" t="s">
        <v>30</v>
      </c>
      <c r="N25">
        <v>283</v>
      </c>
      <c r="P25">
        <v>9000</v>
      </c>
      <c r="Q25">
        <v>48120</v>
      </c>
      <c r="R25">
        <v>17811</v>
      </c>
      <c r="S25">
        <v>7464</v>
      </c>
      <c r="T25">
        <v>0</v>
      </c>
      <c r="U25">
        <v>0</v>
      </c>
      <c r="V25">
        <v>4443.5</v>
      </c>
      <c r="W25">
        <v>1793</v>
      </c>
      <c r="X25">
        <v>3445</v>
      </c>
      <c r="Y25">
        <v>0</v>
      </c>
      <c r="Z25">
        <v>514</v>
      </c>
      <c r="AA25">
        <v>0</v>
      </c>
      <c r="AB25">
        <v>6.2208036652199001E-5</v>
      </c>
      <c r="AC25">
        <v>1.39051527079122E-4</v>
      </c>
      <c r="AD25">
        <v>3.3480291566519E-3</v>
      </c>
      <c r="AE25">
        <v>5.7541839312902597E-3</v>
      </c>
      <c r="AF25">
        <v>0.117407903671265</v>
      </c>
    </row>
    <row r="26" spans="1:32" x14ac:dyDescent="0.2">
      <c r="A26" t="s">
        <v>27</v>
      </c>
      <c r="B26" t="str" cm="1">
        <f t="array" ref="B26:F26">_xlfn.TEXTSPLIT(A26,"_")</f>
        <v>MVPRP</v>
      </c>
      <c r="C26" t="str">
        <v>C20</v>
      </c>
      <c r="D26" t="str">
        <v>P3</v>
      </c>
      <c r="E26" t="str">
        <v>V2</v>
      </c>
      <c r="F26" t="str">
        <v>I1.dat</v>
      </c>
      <c r="G26" t="s">
        <v>44</v>
      </c>
      <c r="H26" t="s">
        <v>29</v>
      </c>
      <c r="I26">
        <v>23484.9</v>
      </c>
      <c r="J26">
        <v>23482.875408472799</v>
      </c>
      <c r="K26">
        <v>8.6208224315230899E-5</v>
      </c>
      <c r="L26">
        <v>3.7232596874237101</v>
      </c>
      <c r="M26" t="s">
        <v>30</v>
      </c>
      <c r="N26">
        <v>283</v>
      </c>
      <c r="P26">
        <v>3000</v>
      </c>
      <c r="Q26">
        <v>12030</v>
      </c>
      <c r="R26">
        <v>4509</v>
      </c>
      <c r="S26">
        <v>2671</v>
      </c>
      <c r="T26">
        <v>0</v>
      </c>
      <c r="U26">
        <v>0</v>
      </c>
      <c r="V26">
        <v>1274.9000000000001</v>
      </c>
      <c r="W26">
        <v>18</v>
      </c>
      <c r="X26">
        <v>15</v>
      </c>
      <c r="Y26">
        <v>0</v>
      </c>
      <c r="Z26">
        <v>20</v>
      </c>
      <c r="AA26">
        <v>0</v>
      </c>
      <c r="AB26">
        <v>1.08660970415388E-4</v>
      </c>
      <c r="AC26">
        <v>3.5733836037771997E-4</v>
      </c>
      <c r="AD26">
        <v>7.0970058441162101E-3</v>
      </c>
      <c r="AE26">
        <v>1.35840177536011E-2</v>
      </c>
      <c r="AF26">
        <v>0.111748735109965</v>
      </c>
    </row>
    <row r="27" spans="1:32" x14ac:dyDescent="0.2">
      <c r="A27" t="s">
        <v>31</v>
      </c>
      <c r="B27" t="str" cm="1">
        <f t="array" ref="B27:F27">_xlfn.TEXTSPLIT(A27,"_")</f>
        <v>MVPRP</v>
      </c>
      <c r="C27" t="str">
        <v>C10</v>
      </c>
      <c r="D27" t="str">
        <v>P9</v>
      </c>
      <c r="E27" t="str">
        <v>V2</v>
      </c>
      <c r="F27" t="str">
        <v>I1.dat</v>
      </c>
      <c r="G27" t="s">
        <v>44</v>
      </c>
      <c r="H27" t="s">
        <v>29</v>
      </c>
      <c r="I27">
        <v>52882.899587641798</v>
      </c>
      <c r="J27">
        <v>52882.899587641798</v>
      </c>
      <c r="K27">
        <v>0</v>
      </c>
      <c r="L27">
        <v>48.8826711177826</v>
      </c>
      <c r="M27" t="s">
        <v>30</v>
      </c>
      <c r="N27">
        <v>198</v>
      </c>
      <c r="P27">
        <v>9000</v>
      </c>
      <c r="Q27">
        <v>26370</v>
      </c>
      <c r="R27">
        <v>10336</v>
      </c>
      <c r="S27">
        <v>5223.0000001710696</v>
      </c>
      <c r="T27">
        <v>0</v>
      </c>
      <c r="U27">
        <v>0</v>
      </c>
      <c r="V27">
        <v>1953.8995874817999</v>
      </c>
      <c r="W27">
        <v>82</v>
      </c>
      <c r="X27">
        <v>90</v>
      </c>
      <c r="Y27">
        <v>0</v>
      </c>
      <c r="Z27">
        <v>21</v>
      </c>
      <c r="AA27">
        <v>0</v>
      </c>
      <c r="AB27">
        <v>4.6969055385327703E-5</v>
      </c>
      <c r="AC27">
        <v>9.7029396936678305E-5</v>
      </c>
      <c r="AD27">
        <v>3.3847483777508301E-3</v>
      </c>
      <c r="AE27">
        <v>4.7750190152960302E-3</v>
      </c>
      <c r="AF27">
        <v>5.40733156324942E-2</v>
      </c>
    </row>
    <row r="28" spans="1:32" x14ac:dyDescent="0.2">
      <c r="A28" t="s">
        <v>32</v>
      </c>
      <c r="B28" t="str" cm="1">
        <f t="array" ref="B28:F28">_xlfn.TEXTSPLIT(A28,"_")</f>
        <v>MVPRP</v>
      </c>
      <c r="C28" t="str">
        <v>C15</v>
      </c>
      <c r="D28" t="str">
        <v>P3</v>
      </c>
      <c r="E28" t="str">
        <v>V2</v>
      </c>
      <c r="F28" t="str">
        <v>I1.dat</v>
      </c>
      <c r="G28" t="s">
        <v>44</v>
      </c>
      <c r="H28" t="s">
        <v>29</v>
      </c>
      <c r="I28">
        <v>20511.5</v>
      </c>
      <c r="J28">
        <v>20511.5</v>
      </c>
      <c r="K28">
        <v>0</v>
      </c>
      <c r="L28">
        <v>7.6978039741516104</v>
      </c>
      <c r="M28" t="s">
        <v>30</v>
      </c>
      <c r="N28">
        <v>198</v>
      </c>
      <c r="P28">
        <v>3000</v>
      </c>
      <c r="Q28">
        <v>9960</v>
      </c>
      <c r="R28">
        <v>3896</v>
      </c>
      <c r="S28">
        <v>2762</v>
      </c>
      <c r="T28">
        <v>0</v>
      </c>
      <c r="U28">
        <v>0</v>
      </c>
      <c r="V28">
        <v>893.5</v>
      </c>
      <c r="W28">
        <v>10</v>
      </c>
      <c r="X28">
        <v>117</v>
      </c>
      <c r="Y28">
        <v>0</v>
      </c>
      <c r="Z28">
        <v>24</v>
      </c>
      <c r="AA28">
        <v>0</v>
      </c>
      <c r="AB28">
        <v>8.4663839901194898E-5</v>
      </c>
      <c r="AC28">
        <v>1.6418350485218299E-4</v>
      </c>
      <c r="AD28">
        <v>6.0780743757883702E-3</v>
      </c>
      <c r="AE28">
        <v>8.5301833125932102E-3</v>
      </c>
      <c r="AF28">
        <v>6.3498449325561507E-2</v>
      </c>
    </row>
    <row r="29" spans="1:32" x14ac:dyDescent="0.2">
      <c r="A29" t="s">
        <v>33</v>
      </c>
      <c r="B29" t="str" cm="1">
        <f t="array" ref="B29:F29">_xlfn.TEXTSPLIT(A29,"_")</f>
        <v>MVPRP</v>
      </c>
      <c r="C29" t="str">
        <v>C10</v>
      </c>
      <c r="D29" t="str">
        <v>P3</v>
      </c>
      <c r="E29" t="str">
        <v>V2</v>
      </c>
      <c r="F29" t="str">
        <v>I1.dat</v>
      </c>
      <c r="G29" t="s">
        <v>44</v>
      </c>
      <c r="H29" t="s">
        <v>29</v>
      </c>
      <c r="I29">
        <v>14480.9</v>
      </c>
      <c r="J29">
        <v>14480.9</v>
      </c>
      <c r="K29">
        <v>0</v>
      </c>
      <c r="L29">
        <v>0.52627062797546398</v>
      </c>
      <c r="M29" t="s">
        <v>30</v>
      </c>
      <c r="N29">
        <v>198</v>
      </c>
      <c r="P29">
        <v>3000</v>
      </c>
      <c r="Q29">
        <v>6390</v>
      </c>
      <c r="R29">
        <v>2999</v>
      </c>
      <c r="S29">
        <v>1535</v>
      </c>
      <c r="T29">
        <v>0</v>
      </c>
      <c r="U29">
        <v>0</v>
      </c>
      <c r="V29">
        <v>556.9</v>
      </c>
      <c r="W29">
        <v>3</v>
      </c>
      <c r="X29">
        <v>3</v>
      </c>
      <c r="Y29">
        <v>0</v>
      </c>
      <c r="Z29">
        <v>10</v>
      </c>
      <c r="AA29">
        <v>0</v>
      </c>
      <c r="AB29">
        <v>6.3214983258928604E-5</v>
      </c>
      <c r="AC29">
        <v>1.28646691640218E-4</v>
      </c>
      <c r="AD29">
        <v>4.9176432869651098E-3</v>
      </c>
      <c r="AE29">
        <v>3.60886255900065E-3</v>
      </c>
      <c r="AF29">
        <v>2.88317544119699E-2</v>
      </c>
    </row>
    <row r="30" spans="1:32" x14ac:dyDescent="0.2">
      <c r="A30" t="s">
        <v>34</v>
      </c>
      <c r="B30" t="str" cm="1">
        <f t="array" ref="B30:F30">_xlfn.TEXTSPLIT(A30,"_")</f>
        <v>MVPRP</v>
      </c>
      <c r="C30" t="str">
        <v>C15</v>
      </c>
      <c r="D30" t="str">
        <v>P9</v>
      </c>
      <c r="E30" t="str">
        <v>V2</v>
      </c>
      <c r="F30" t="str">
        <v>I1.dat</v>
      </c>
      <c r="G30" t="s">
        <v>44</v>
      </c>
      <c r="H30" t="s">
        <v>35</v>
      </c>
      <c r="I30">
        <v>77791</v>
      </c>
      <c r="J30">
        <v>75862.153697042697</v>
      </c>
      <c r="K30">
        <v>2.4795237276256699E-2</v>
      </c>
      <c r="L30">
        <v>3600.21104741097</v>
      </c>
      <c r="M30" t="s">
        <v>30</v>
      </c>
      <c r="N30">
        <v>198</v>
      </c>
      <c r="P30">
        <v>9000</v>
      </c>
      <c r="Q30">
        <v>40950</v>
      </c>
      <c r="R30">
        <v>14484</v>
      </c>
      <c r="S30">
        <v>9288</v>
      </c>
      <c r="T30">
        <v>0</v>
      </c>
      <c r="U30">
        <v>0</v>
      </c>
      <c r="V30">
        <v>4069</v>
      </c>
      <c r="W30">
        <v>1643</v>
      </c>
      <c r="X30">
        <v>2858</v>
      </c>
      <c r="Y30">
        <v>0</v>
      </c>
      <c r="Z30">
        <v>249</v>
      </c>
      <c r="AA30">
        <v>0</v>
      </c>
      <c r="AB30">
        <v>7.1253788403000007E-5</v>
      </c>
      <c r="AC30">
        <v>1.6768425792994E-4</v>
      </c>
      <c r="AD30">
        <v>4.6662627751175604E-3</v>
      </c>
      <c r="AE30">
        <v>7.5219946361171804E-3</v>
      </c>
      <c r="AF30">
        <v>0.103163580917285</v>
      </c>
    </row>
    <row r="31" spans="1:32" x14ac:dyDescent="0.2">
      <c r="A31" t="s">
        <v>36</v>
      </c>
      <c r="B31" t="str" cm="1">
        <f t="array" ref="B31:F31">_xlfn.TEXTSPLIT(A31,"_")</f>
        <v>MVPRP</v>
      </c>
      <c r="C31" t="str">
        <v>C10</v>
      </c>
      <c r="D31" t="str">
        <v>P6</v>
      </c>
      <c r="E31" t="str">
        <v>V2</v>
      </c>
      <c r="F31" t="str">
        <v>I1.dat</v>
      </c>
      <c r="G31" t="s">
        <v>44</v>
      </c>
      <c r="H31" t="s">
        <v>29</v>
      </c>
      <c r="I31">
        <v>30459.9</v>
      </c>
      <c r="J31">
        <v>30459.9</v>
      </c>
      <c r="K31">
        <v>0</v>
      </c>
      <c r="L31">
        <v>3.3000903129577601</v>
      </c>
      <c r="M31" t="s">
        <v>30</v>
      </c>
      <c r="N31">
        <v>198</v>
      </c>
      <c r="P31">
        <v>6000</v>
      </c>
      <c r="Q31">
        <v>12690</v>
      </c>
      <c r="R31">
        <v>8163</v>
      </c>
      <c r="S31">
        <v>2706</v>
      </c>
      <c r="T31">
        <v>0</v>
      </c>
      <c r="U31">
        <v>0</v>
      </c>
      <c r="V31">
        <v>900.9</v>
      </c>
      <c r="W31">
        <v>16</v>
      </c>
      <c r="X31">
        <v>23</v>
      </c>
      <c r="Y31">
        <v>0</v>
      </c>
      <c r="Z31">
        <v>14</v>
      </c>
      <c r="AA31">
        <v>0</v>
      </c>
      <c r="AB31">
        <v>7.4778706574242997E-5</v>
      </c>
      <c r="AC31">
        <v>1.5684631135728599E-4</v>
      </c>
      <c r="AD31">
        <v>4.3682098388671898E-3</v>
      </c>
      <c r="AE31">
        <v>6.30231698354085E-3</v>
      </c>
      <c r="AF31">
        <v>6.1492959658304903E-2</v>
      </c>
    </row>
    <row r="32" spans="1:32" x14ac:dyDescent="0.2">
      <c r="A32" t="s">
        <v>37</v>
      </c>
      <c r="B32" t="str" cm="1">
        <f t="array" ref="B32:F32">_xlfn.TEXTSPLIT(A32,"_")</f>
        <v>MVPRP</v>
      </c>
      <c r="C32" t="str">
        <v>C15</v>
      </c>
      <c r="D32" t="str">
        <v>P6</v>
      </c>
      <c r="E32" t="str">
        <v>V2</v>
      </c>
      <c r="F32" t="str">
        <v>I1.dat</v>
      </c>
      <c r="G32" t="s">
        <v>44</v>
      </c>
      <c r="H32" t="s">
        <v>29</v>
      </c>
      <c r="I32">
        <v>43302.1</v>
      </c>
      <c r="J32">
        <v>43302.1</v>
      </c>
      <c r="K32">
        <v>0</v>
      </c>
      <c r="L32">
        <v>337.12442708015402</v>
      </c>
      <c r="M32" t="s">
        <v>30</v>
      </c>
      <c r="N32">
        <v>198</v>
      </c>
      <c r="P32">
        <v>6000</v>
      </c>
      <c r="Q32">
        <v>19800</v>
      </c>
      <c r="R32">
        <v>10877</v>
      </c>
      <c r="S32">
        <v>5023</v>
      </c>
      <c r="T32">
        <v>0</v>
      </c>
      <c r="U32">
        <v>0</v>
      </c>
      <c r="V32">
        <v>1602.1</v>
      </c>
      <c r="W32">
        <v>255</v>
      </c>
      <c r="X32">
        <v>329</v>
      </c>
      <c r="Y32">
        <v>0</v>
      </c>
      <c r="Z32">
        <v>35</v>
      </c>
      <c r="AA32">
        <v>0</v>
      </c>
      <c r="AB32">
        <v>6.2448700206682697E-5</v>
      </c>
      <c r="AC32">
        <v>1.2876731145212701E-4</v>
      </c>
      <c r="AD32">
        <v>3.7468142053679798E-3</v>
      </c>
      <c r="AE32">
        <v>5.5019352794791702E-3</v>
      </c>
      <c r="AF32">
        <v>5.2508191411275003E-2</v>
      </c>
    </row>
    <row r="33" spans="1:32" x14ac:dyDescent="0.2">
      <c r="A33" t="s">
        <v>38</v>
      </c>
      <c r="B33" t="str" cm="1">
        <f t="array" ref="B33:F33">_xlfn.TEXTSPLIT(A33,"_")</f>
        <v>MVPRP</v>
      </c>
      <c r="C33" t="str">
        <v>C20</v>
      </c>
      <c r="D33" t="str">
        <v>P6</v>
      </c>
      <c r="E33" t="str">
        <v>V2</v>
      </c>
      <c r="F33" t="str">
        <v>I1.dat</v>
      </c>
      <c r="G33" t="s">
        <v>44</v>
      </c>
      <c r="H33" t="s">
        <v>29</v>
      </c>
      <c r="I33">
        <v>49276.7</v>
      </c>
      <c r="J33">
        <v>49276.7</v>
      </c>
      <c r="K33">
        <v>0</v>
      </c>
      <c r="L33">
        <v>37.686814069747903</v>
      </c>
      <c r="M33" t="s">
        <v>30</v>
      </c>
      <c r="N33">
        <v>283</v>
      </c>
      <c r="P33">
        <v>6000</v>
      </c>
      <c r="Q33">
        <v>23820</v>
      </c>
      <c r="R33">
        <v>12905</v>
      </c>
      <c r="S33">
        <v>4842</v>
      </c>
      <c r="T33">
        <v>0</v>
      </c>
      <c r="U33">
        <v>0</v>
      </c>
      <c r="V33">
        <v>1709.7</v>
      </c>
      <c r="W33">
        <v>43</v>
      </c>
      <c r="X33">
        <v>159</v>
      </c>
      <c r="Y33">
        <v>0</v>
      </c>
      <c r="Z33">
        <v>42</v>
      </c>
      <c r="AA33">
        <v>0</v>
      </c>
      <c r="AB33">
        <v>6.9317677898593394E-5</v>
      </c>
      <c r="AC33">
        <v>1.46230249284948E-4</v>
      </c>
      <c r="AD33">
        <v>4.0200255838111904E-3</v>
      </c>
      <c r="AE33">
        <v>5.4425754500936402E-3</v>
      </c>
      <c r="AF33">
        <v>0.16272019015418199</v>
      </c>
    </row>
    <row r="34" spans="1:32" x14ac:dyDescent="0.2">
      <c r="A34" t="s">
        <v>39</v>
      </c>
      <c r="B34" t="str" cm="1">
        <f t="array" ref="B34:F34">_xlfn.TEXTSPLIT(A34,"_")</f>
        <v>MVPRP</v>
      </c>
      <c r="C34" t="str">
        <v>C25</v>
      </c>
      <c r="D34" t="str">
        <v>P9</v>
      </c>
      <c r="E34" t="str">
        <v>V2</v>
      </c>
      <c r="F34" t="str">
        <v>I1.dat</v>
      </c>
      <c r="G34" t="s">
        <v>44</v>
      </c>
      <c r="H34" t="s">
        <v>35</v>
      </c>
      <c r="I34">
        <v>112536.2</v>
      </c>
      <c r="J34">
        <v>103710.952164891</v>
      </c>
      <c r="K34">
        <v>7.8421413155132902E-2</v>
      </c>
      <c r="L34">
        <v>3604.5631558895102</v>
      </c>
      <c r="M34" t="s">
        <v>30</v>
      </c>
      <c r="N34">
        <v>283</v>
      </c>
      <c r="P34">
        <v>12000</v>
      </c>
      <c r="Q34">
        <v>59880</v>
      </c>
      <c r="R34">
        <v>25812</v>
      </c>
      <c r="S34">
        <v>11126</v>
      </c>
      <c r="T34">
        <v>0</v>
      </c>
      <c r="U34">
        <v>0</v>
      </c>
      <c r="V34">
        <v>3718.2</v>
      </c>
      <c r="W34">
        <v>1395</v>
      </c>
      <c r="X34">
        <v>4499</v>
      </c>
      <c r="Y34">
        <v>0</v>
      </c>
      <c r="Z34">
        <v>1592</v>
      </c>
      <c r="AA34">
        <v>0</v>
      </c>
      <c r="AB34">
        <v>1.07403132980482E-4</v>
      </c>
      <c r="AC34">
        <v>2.0766353530944799E-4</v>
      </c>
      <c r="AD34">
        <v>4.4166891767018898E-3</v>
      </c>
      <c r="AE34">
        <v>7.0671576519800499E-3</v>
      </c>
      <c r="AF34">
        <v>0.725152102912345</v>
      </c>
    </row>
    <row r="35" spans="1:32" x14ac:dyDescent="0.2">
      <c r="A35" t="s">
        <v>40</v>
      </c>
      <c r="B35" t="str" cm="1">
        <f t="array" ref="B35:F35">_xlfn.TEXTSPLIT(A35,"_")</f>
        <v>MVPRP</v>
      </c>
      <c r="C35" t="str">
        <v>C25</v>
      </c>
      <c r="D35" t="str">
        <v>P3</v>
      </c>
      <c r="E35" t="str">
        <v>V2</v>
      </c>
      <c r="F35" t="str">
        <v>I1.dat</v>
      </c>
      <c r="G35" t="s">
        <v>44</v>
      </c>
      <c r="H35" t="s">
        <v>29</v>
      </c>
      <c r="I35">
        <v>27643.200000000001</v>
      </c>
      <c r="J35">
        <v>27643.200000000001</v>
      </c>
      <c r="K35">
        <v>0</v>
      </c>
      <c r="L35">
        <v>6.6604814529418901</v>
      </c>
      <c r="M35" t="s">
        <v>30</v>
      </c>
      <c r="N35">
        <v>283</v>
      </c>
      <c r="P35">
        <v>3000</v>
      </c>
      <c r="Q35">
        <v>14340</v>
      </c>
      <c r="R35">
        <v>5901</v>
      </c>
      <c r="S35">
        <v>2865</v>
      </c>
      <c r="T35">
        <v>0</v>
      </c>
      <c r="U35">
        <v>0</v>
      </c>
      <c r="V35">
        <v>1537.2</v>
      </c>
      <c r="W35">
        <v>31</v>
      </c>
      <c r="X35">
        <v>47</v>
      </c>
      <c r="Y35">
        <v>0</v>
      </c>
      <c r="Z35">
        <v>33</v>
      </c>
      <c r="AA35">
        <v>0</v>
      </c>
      <c r="AB35">
        <v>1.7964253660108199E-4</v>
      </c>
      <c r="AC35">
        <v>2.90959920638647E-4</v>
      </c>
      <c r="AD35">
        <v>8.0411183206658601E-3</v>
      </c>
      <c r="AE35">
        <v>1.07774535814921E-2</v>
      </c>
      <c r="AF35">
        <v>0.31213034523858002</v>
      </c>
    </row>
    <row r="36" spans="1:32" x14ac:dyDescent="0.2">
      <c r="A36" t="s">
        <v>41</v>
      </c>
      <c r="B36" t="str" cm="1">
        <f t="array" ref="B36:F36">_xlfn.TEXTSPLIT(A36,"_")</f>
        <v>MVPRP</v>
      </c>
      <c r="C36" t="str">
        <v>C25</v>
      </c>
      <c r="D36" t="str">
        <v>P6</v>
      </c>
      <c r="E36" t="str">
        <v>V2</v>
      </c>
      <c r="F36" t="str">
        <v>I1.dat</v>
      </c>
      <c r="G36" t="s">
        <v>44</v>
      </c>
      <c r="H36" t="s">
        <v>35</v>
      </c>
      <c r="I36">
        <v>59073.3</v>
      </c>
      <c r="J36">
        <v>58987.142589526004</v>
      </c>
      <c r="K36">
        <v>1.45848311291213E-3</v>
      </c>
      <c r="L36">
        <v>3601.7576711177799</v>
      </c>
      <c r="M36" t="s">
        <v>30</v>
      </c>
      <c r="N36">
        <v>283</v>
      </c>
      <c r="P36">
        <v>6000</v>
      </c>
      <c r="Q36">
        <v>28380</v>
      </c>
      <c r="R36">
        <v>17067</v>
      </c>
      <c r="S36">
        <v>5583</v>
      </c>
      <c r="T36">
        <v>0</v>
      </c>
      <c r="U36">
        <v>0</v>
      </c>
      <c r="V36">
        <v>2043.3</v>
      </c>
      <c r="W36">
        <v>556</v>
      </c>
      <c r="X36">
        <v>1125</v>
      </c>
      <c r="Y36">
        <v>0</v>
      </c>
      <c r="Z36">
        <v>68</v>
      </c>
      <c r="AA36">
        <v>0</v>
      </c>
      <c r="AB36">
        <v>7.30219948633984E-5</v>
      </c>
      <c r="AC36">
        <v>1.7304220011921001E-4</v>
      </c>
      <c r="AD36">
        <v>3.73662193945491E-3</v>
      </c>
      <c r="AE36">
        <v>6.4790382416676498E-3</v>
      </c>
      <c r="AF36">
        <v>0.13065847898425301</v>
      </c>
    </row>
    <row r="37" spans="1:32" x14ac:dyDescent="0.2">
      <c r="A37" t="s">
        <v>42</v>
      </c>
      <c r="B37" t="str" cm="1">
        <f t="array" ref="B37:F37">_xlfn.TEXTSPLIT(A37,"_")</f>
        <v>MVPRP</v>
      </c>
      <c r="C37" t="str">
        <v>C20</v>
      </c>
      <c r="D37" t="str">
        <v>P9</v>
      </c>
      <c r="E37" t="str">
        <v>V2</v>
      </c>
      <c r="F37" t="str">
        <v>I1.dat</v>
      </c>
      <c r="G37" t="s">
        <v>44</v>
      </c>
      <c r="H37" t="s">
        <v>35</v>
      </c>
      <c r="I37">
        <v>86942.999999000007</v>
      </c>
      <c r="J37">
        <v>85162.673020282295</v>
      </c>
      <c r="K37">
        <v>2.0476944420345401E-2</v>
      </c>
      <c r="L37">
        <v>3601.7992267608602</v>
      </c>
      <c r="M37" t="s">
        <v>30</v>
      </c>
      <c r="N37">
        <v>283</v>
      </c>
      <c r="P37">
        <v>9000</v>
      </c>
      <c r="Q37">
        <v>48120</v>
      </c>
      <c r="R37">
        <v>17441</v>
      </c>
      <c r="S37">
        <v>7946</v>
      </c>
      <c r="T37">
        <v>0</v>
      </c>
      <c r="U37">
        <v>0</v>
      </c>
      <c r="V37">
        <v>4435.9999989999496</v>
      </c>
      <c r="W37">
        <v>2016</v>
      </c>
      <c r="X37">
        <v>3749</v>
      </c>
      <c r="Y37">
        <v>0</v>
      </c>
      <c r="Z37">
        <v>738</v>
      </c>
      <c r="AA37">
        <v>0</v>
      </c>
      <c r="AB37">
        <v>7.2727442407075706E-5</v>
      </c>
      <c r="AC37">
        <v>1.5796999535378601E-4</v>
      </c>
      <c r="AD37">
        <v>3.7845086593810999E-3</v>
      </c>
      <c r="AE37">
        <v>6.26768721006578E-3</v>
      </c>
      <c r="AF37">
        <v>0.15567702560240801</v>
      </c>
    </row>
    <row r="38" spans="1:32" x14ac:dyDescent="0.2">
      <c r="A38" t="s">
        <v>27</v>
      </c>
      <c r="B38" t="str" cm="1">
        <f t="array" ref="B38:F38">_xlfn.TEXTSPLIT(A38,"_")</f>
        <v>MVPRP</v>
      </c>
      <c r="C38" t="str">
        <v>C20</v>
      </c>
      <c r="D38" t="str">
        <v>P3</v>
      </c>
      <c r="E38" t="str">
        <v>V2</v>
      </c>
      <c r="F38" t="str">
        <v>I1.dat</v>
      </c>
      <c r="G38" t="s">
        <v>45</v>
      </c>
      <c r="H38" t="s">
        <v>29</v>
      </c>
      <c r="I38">
        <v>23484.9</v>
      </c>
      <c r="J38">
        <v>23484.273168867399</v>
      </c>
      <c r="K38">
        <v>2.6690815482531098E-5</v>
      </c>
      <c r="L38">
        <v>2.6936521530151398</v>
      </c>
      <c r="M38" t="s">
        <v>30</v>
      </c>
      <c r="N38">
        <v>283</v>
      </c>
      <c r="P38">
        <v>3000</v>
      </c>
      <c r="Q38">
        <v>12030</v>
      </c>
      <c r="R38">
        <v>4509</v>
      </c>
      <c r="S38">
        <v>2671</v>
      </c>
      <c r="T38">
        <v>0</v>
      </c>
      <c r="U38">
        <v>0</v>
      </c>
      <c r="V38">
        <v>1274.9000000000001</v>
      </c>
      <c r="W38">
        <v>22</v>
      </c>
      <c r="X38">
        <v>14</v>
      </c>
      <c r="Y38">
        <v>0</v>
      </c>
      <c r="Z38">
        <v>30</v>
      </c>
      <c r="AA38">
        <v>0</v>
      </c>
      <c r="AB38">
        <v>7.04305116520372E-5</v>
      </c>
      <c r="AC38">
        <v>2.5525427701180402E-4</v>
      </c>
      <c r="AD38">
        <v>5.5655968653691304E-3</v>
      </c>
      <c r="AE38">
        <v>8.5129908152988994E-3</v>
      </c>
      <c r="AF38">
        <v>4.5392303466796902E-2</v>
      </c>
    </row>
    <row r="39" spans="1:32" x14ac:dyDescent="0.2">
      <c r="A39" t="s">
        <v>31</v>
      </c>
      <c r="B39" t="str" cm="1">
        <f t="array" ref="B39:F39">_xlfn.TEXTSPLIT(A39,"_")</f>
        <v>MVPRP</v>
      </c>
      <c r="C39" t="str">
        <v>C10</v>
      </c>
      <c r="D39" t="str">
        <v>P9</v>
      </c>
      <c r="E39" t="str">
        <v>V2</v>
      </c>
      <c r="F39" t="str">
        <v>I1.dat</v>
      </c>
      <c r="G39" t="s">
        <v>45</v>
      </c>
      <c r="H39" t="s">
        <v>29</v>
      </c>
      <c r="I39">
        <v>52882.899859256002</v>
      </c>
      <c r="J39">
        <v>52882.899859256002</v>
      </c>
      <c r="K39">
        <v>0</v>
      </c>
      <c r="L39">
        <v>84.348108053207397</v>
      </c>
      <c r="M39" t="s">
        <v>30</v>
      </c>
      <c r="N39">
        <v>198</v>
      </c>
      <c r="P39">
        <v>9000</v>
      </c>
      <c r="Q39">
        <v>26370</v>
      </c>
      <c r="R39">
        <v>10336</v>
      </c>
      <c r="S39">
        <v>5223</v>
      </c>
      <c r="T39">
        <v>0</v>
      </c>
      <c r="U39">
        <v>0</v>
      </c>
      <c r="V39">
        <v>1953.8998592988701</v>
      </c>
      <c r="W39">
        <v>160</v>
      </c>
      <c r="X39">
        <v>133</v>
      </c>
      <c r="Y39">
        <v>0</v>
      </c>
      <c r="Z39">
        <v>29</v>
      </c>
      <c r="AA39">
        <v>0</v>
      </c>
      <c r="AB39">
        <v>3.9100126028929197E-5</v>
      </c>
      <c r="AC39">
        <v>9.1178738521935297E-5</v>
      </c>
      <c r="AD39">
        <v>2.9971968959754602E-3</v>
      </c>
      <c r="AE39">
        <v>4.7232588763501098E-3</v>
      </c>
      <c r="AF39">
        <v>2.0548271966147301E-2</v>
      </c>
    </row>
    <row r="40" spans="1:32" x14ac:dyDescent="0.2">
      <c r="A40" t="s">
        <v>32</v>
      </c>
      <c r="B40" t="str" cm="1">
        <f t="array" ref="B40:F40">_xlfn.TEXTSPLIT(A40,"_")</f>
        <v>MVPRP</v>
      </c>
      <c r="C40" t="str">
        <v>C15</v>
      </c>
      <c r="D40" t="str">
        <v>P3</v>
      </c>
      <c r="E40" t="str">
        <v>V2</v>
      </c>
      <c r="F40" t="str">
        <v>I1.dat</v>
      </c>
      <c r="G40" t="s">
        <v>45</v>
      </c>
      <c r="H40" t="s">
        <v>29</v>
      </c>
      <c r="I40">
        <v>20511.5</v>
      </c>
      <c r="J40">
        <v>20511.5</v>
      </c>
      <c r="K40">
        <v>0</v>
      </c>
      <c r="L40">
        <v>5.4250066280364999</v>
      </c>
      <c r="M40" t="s">
        <v>30</v>
      </c>
      <c r="N40">
        <v>198</v>
      </c>
      <c r="P40">
        <v>3000</v>
      </c>
      <c r="Q40">
        <v>9960</v>
      </c>
      <c r="R40">
        <v>3896</v>
      </c>
      <c r="S40">
        <v>2762</v>
      </c>
      <c r="T40">
        <v>0</v>
      </c>
      <c r="U40">
        <v>0</v>
      </c>
      <c r="V40">
        <v>893.5</v>
      </c>
      <c r="W40">
        <v>14</v>
      </c>
      <c r="X40">
        <v>97</v>
      </c>
      <c r="Y40">
        <v>0</v>
      </c>
      <c r="Z40">
        <v>32</v>
      </c>
      <c r="AA40">
        <v>0</v>
      </c>
      <c r="AB40">
        <v>7.5228802569500799E-5</v>
      </c>
      <c r="AC40">
        <v>1.5092102480141099E-4</v>
      </c>
      <c r="AD40">
        <v>5.6574461890048699E-3</v>
      </c>
      <c r="AE40">
        <v>7.6761071540449302E-3</v>
      </c>
      <c r="AF40">
        <v>2.8536915779113801E-2</v>
      </c>
    </row>
    <row r="41" spans="1:32" x14ac:dyDescent="0.2">
      <c r="A41" t="s">
        <v>33</v>
      </c>
      <c r="B41" t="str" cm="1">
        <f t="array" ref="B41:F41">_xlfn.TEXTSPLIT(A41,"_")</f>
        <v>MVPRP</v>
      </c>
      <c r="C41" t="str">
        <v>C10</v>
      </c>
      <c r="D41" t="str">
        <v>P3</v>
      </c>
      <c r="E41" t="str">
        <v>V2</v>
      </c>
      <c r="F41" t="str">
        <v>I1.dat</v>
      </c>
      <c r="G41" t="s">
        <v>45</v>
      </c>
      <c r="H41" t="s">
        <v>29</v>
      </c>
      <c r="I41">
        <v>14480.9</v>
      </c>
      <c r="J41">
        <v>14480.9</v>
      </c>
      <c r="K41">
        <v>0</v>
      </c>
      <c r="L41">
        <v>0.503878593444824</v>
      </c>
      <c r="M41" t="s">
        <v>30</v>
      </c>
      <c r="N41">
        <v>198</v>
      </c>
      <c r="P41">
        <v>3000</v>
      </c>
      <c r="Q41">
        <v>6390</v>
      </c>
      <c r="R41">
        <v>2999</v>
      </c>
      <c r="S41">
        <v>1535</v>
      </c>
      <c r="T41">
        <v>0</v>
      </c>
      <c r="U41">
        <v>0</v>
      </c>
      <c r="V41">
        <v>556.9</v>
      </c>
      <c r="W41">
        <v>7</v>
      </c>
      <c r="X41">
        <v>2</v>
      </c>
      <c r="Y41">
        <v>0</v>
      </c>
      <c r="Z41">
        <v>12</v>
      </c>
      <c r="AA41">
        <v>0</v>
      </c>
      <c r="AB41">
        <v>5.6010920826981703E-5</v>
      </c>
      <c r="AC41">
        <v>1.42971674601237E-4</v>
      </c>
      <c r="AD41">
        <v>4.76691302131204E-3</v>
      </c>
      <c r="AE41">
        <v>3.4339087350027898E-3</v>
      </c>
      <c r="AF41">
        <v>1.3475179672241201E-2</v>
      </c>
    </row>
    <row r="42" spans="1:32" x14ac:dyDescent="0.2">
      <c r="A42" t="s">
        <v>34</v>
      </c>
      <c r="B42" t="str" cm="1">
        <f t="array" ref="B42:F42">_xlfn.TEXTSPLIT(A42,"_")</f>
        <v>MVPRP</v>
      </c>
      <c r="C42" t="str">
        <v>C15</v>
      </c>
      <c r="D42" t="str">
        <v>P9</v>
      </c>
      <c r="E42" t="str">
        <v>V2</v>
      </c>
      <c r="F42" t="str">
        <v>I1.dat</v>
      </c>
      <c r="G42" t="s">
        <v>45</v>
      </c>
      <c r="H42" t="s">
        <v>35</v>
      </c>
      <c r="I42">
        <v>77613.8</v>
      </c>
      <c r="J42">
        <v>75798.371260638101</v>
      </c>
      <c r="K42">
        <v>2.3390540591516899E-2</v>
      </c>
      <c r="L42">
        <v>3601.3080041408498</v>
      </c>
      <c r="M42" t="s">
        <v>30</v>
      </c>
      <c r="N42">
        <v>198</v>
      </c>
      <c r="P42">
        <v>9000</v>
      </c>
      <c r="Q42">
        <v>40950</v>
      </c>
      <c r="R42">
        <v>15121</v>
      </c>
      <c r="S42">
        <v>8366</v>
      </c>
      <c r="T42">
        <v>0</v>
      </c>
      <c r="U42">
        <v>0</v>
      </c>
      <c r="V42">
        <v>4176.8</v>
      </c>
      <c r="W42">
        <v>3016</v>
      </c>
      <c r="X42">
        <v>2986</v>
      </c>
      <c r="Y42">
        <v>0</v>
      </c>
      <c r="Z42">
        <v>283</v>
      </c>
      <c r="AA42">
        <v>0</v>
      </c>
      <c r="AB42">
        <v>5.6727299430762297E-5</v>
      </c>
      <c r="AC42">
        <v>1.3353994052664499E-4</v>
      </c>
      <c r="AD42">
        <v>3.9877178005011202E-3</v>
      </c>
      <c r="AE42">
        <v>6.3591438191812804E-3</v>
      </c>
      <c r="AF42">
        <v>4.5774515319920203E-2</v>
      </c>
    </row>
    <row r="43" spans="1:32" x14ac:dyDescent="0.2">
      <c r="A43" t="s">
        <v>36</v>
      </c>
      <c r="B43" t="str" cm="1">
        <f t="array" ref="B43:F43">_xlfn.TEXTSPLIT(A43,"_")</f>
        <v>MVPRP</v>
      </c>
      <c r="C43" t="str">
        <v>C10</v>
      </c>
      <c r="D43" t="str">
        <v>P6</v>
      </c>
      <c r="E43" t="str">
        <v>V2</v>
      </c>
      <c r="F43" t="str">
        <v>I1.dat</v>
      </c>
      <c r="G43" t="s">
        <v>45</v>
      </c>
      <c r="H43" t="s">
        <v>29</v>
      </c>
      <c r="I43">
        <v>30459.9</v>
      </c>
      <c r="J43">
        <v>30459.9</v>
      </c>
      <c r="K43">
        <v>0</v>
      </c>
      <c r="L43">
        <v>2.48281621932983</v>
      </c>
      <c r="M43" t="s">
        <v>30</v>
      </c>
      <c r="N43">
        <v>198</v>
      </c>
      <c r="P43">
        <v>6000</v>
      </c>
      <c r="Q43">
        <v>12690</v>
      </c>
      <c r="R43">
        <v>8163</v>
      </c>
      <c r="S43">
        <v>2706</v>
      </c>
      <c r="T43">
        <v>0</v>
      </c>
      <c r="U43">
        <v>0</v>
      </c>
      <c r="V43">
        <v>900.9</v>
      </c>
      <c r="W43">
        <v>13</v>
      </c>
      <c r="X43">
        <v>26</v>
      </c>
      <c r="Y43">
        <v>0</v>
      </c>
      <c r="Z43">
        <v>12</v>
      </c>
      <c r="AA43">
        <v>0</v>
      </c>
      <c r="AB43">
        <v>7.0051919846307695E-5</v>
      </c>
      <c r="AC43">
        <v>1.05095166032032E-4</v>
      </c>
      <c r="AD43">
        <v>4.0416416368986401E-3</v>
      </c>
      <c r="AE43">
        <v>4.9839874223477597E-3</v>
      </c>
      <c r="AF43">
        <v>2.5035491356482899E-2</v>
      </c>
    </row>
    <row r="44" spans="1:32" x14ac:dyDescent="0.2">
      <c r="A44" t="s">
        <v>37</v>
      </c>
      <c r="B44" t="str" cm="1">
        <f t="array" ref="B44:F44">_xlfn.TEXTSPLIT(A44,"_")</f>
        <v>MVPRP</v>
      </c>
      <c r="C44" t="str">
        <v>C15</v>
      </c>
      <c r="D44" t="str">
        <v>P6</v>
      </c>
      <c r="E44" t="str">
        <v>V2</v>
      </c>
      <c r="F44" t="str">
        <v>I1.dat</v>
      </c>
      <c r="G44" t="s">
        <v>45</v>
      </c>
      <c r="H44" t="s">
        <v>29</v>
      </c>
      <c r="I44">
        <v>43302.099999999802</v>
      </c>
      <c r="J44">
        <v>43301.770909090803</v>
      </c>
      <c r="K44">
        <v>7.5998833543686603E-6</v>
      </c>
      <c r="L44">
        <v>482.79911684989901</v>
      </c>
      <c r="M44" t="s">
        <v>30</v>
      </c>
      <c r="N44">
        <v>198</v>
      </c>
      <c r="P44">
        <v>6000</v>
      </c>
      <c r="Q44">
        <v>19800</v>
      </c>
      <c r="R44">
        <v>10877</v>
      </c>
      <c r="S44">
        <v>5023</v>
      </c>
      <c r="T44">
        <v>0</v>
      </c>
      <c r="U44">
        <v>0</v>
      </c>
      <c r="V44">
        <v>1602.1</v>
      </c>
      <c r="W44">
        <v>1005</v>
      </c>
      <c r="X44">
        <v>449</v>
      </c>
      <c r="Y44">
        <v>0</v>
      </c>
      <c r="Z44">
        <v>47</v>
      </c>
      <c r="AA44">
        <v>0</v>
      </c>
      <c r="AB44">
        <v>5.28512321518783E-5</v>
      </c>
      <c r="AC44">
        <v>1.1760511516052999E-4</v>
      </c>
      <c r="AD44">
        <v>3.5608700405206002E-3</v>
      </c>
      <c r="AE44">
        <v>4.8974889591647999E-3</v>
      </c>
      <c r="AF44">
        <v>2.1255774564477099E-2</v>
      </c>
    </row>
    <row r="45" spans="1:32" x14ac:dyDescent="0.2">
      <c r="A45" t="s">
        <v>38</v>
      </c>
      <c r="B45" t="str" cm="1">
        <f t="array" ref="B45:F45">_xlfn.TEXTSPLIT(A45,"_")</f>
        <v>MVPRP</v>
      </c>
      <c r="C45" t="str">
        <v>C20</v>
      </c>
      <c r="D45" t="str">
        <v>P6</v>
      </c>
      <c r="E45" t="str">
        <v>V2</v>
      </c>
      <c r="F45" t="str">
        <v>I1.dat</v>
      </c>
      <c r="G45" t="s">
        <v>45</v>
      </c>
      <c r="H45" t="s">
        <v>29</v>
      </c>
      <c r="I45">
        <v>49276.7</v>
      </c>
      <c r="J45">
        <v>49276.7</v>
      </c>
      <c r="K45">
        <v>0</v>
      </c>
      <c r="L45">
        <v>37.821426153182998</v>
      </c>
      <c r="M45" t="s">
        <v>30</v>
      </c>
      <c r="N45">
        <v>283</v>
      </c>
      <c r="P45">
        <v>6000</v>
      </c>
      <c r="Q45">
        <v>23820</v>
      </c>
      <c r="R45">
        <v>12905</v>
      </c>
      <c r="S45">
        <v>4842</v>
      </c>
      <c r="T45">
        <v>0</v>
      </c>
      <c r="U45">
        <v>0</v>
      </c>
      <c r="V45">
        <v>1709.7</v>
      </c>
      <c r="W45">
        <v>34</v>
      </c>
      <c r="X45">
        <v>202</v>
      </c>
      <c r="Y45">
        <v>0</v>
      </c>
      <c r="Z45">
        <v>51</v>
      </c>
      <c r="AA45">
        <v>0</v>
      </c>
      <c r="AB45">
        <v>7.4174541693467397E-5</v>
      </c>
      <c r="AC45">
        <v>1.7924031252583499E-4</v>
      </c>
      <c r="AD45">
        <v>4.0128999720505697E-3</v>
      </c>
      <c r="AE45">
        <v>7.01067114577574E-3</v>
      </c>
      <c r="AF45">
        <v>7.71025848388672E-2</v>
      </c>
    </row>
    <row r="46" spans="1:32" x14ac:dyDescent="0.2">
      <c r="A46" t="s">
        <v>39</v>
      </c>
      <c r="B46" t="str" cm="1">
        <f t="array" ref="B46:F46">_xlfn.TEXTSPLIT(A46,"_")</f>
        <v>MVPRP</v>
      </c>
      <c r="C46" t="str">
        <v>C25</v>
      </c>
      <c r="D46" t="str">
        <v>P9</v>
      </c>
      <c r="E46" t="str">
        <v>V2</v>
      </c>
      <c r="F46" t="str">
        <v>I1.dat</v>
      </c>
      <c r="G46" t="s">
        <v>45</v>
      </c>
      <c r="H46" t="s">
        <v>35</v>
      </c>
      <c r="I46">
        <v>109514.7</v>
      </c>
      <c r="J46">
        <v>103729.999759874</v>
      </c>
      <c r="K46">
        <v>5.2821221627104301E-2</v>
      </c>
      <c r="L46">
        <v>3603.4065866470301</v>
      </c>
      <c r="M46" t="s">
        <v>30</v>
      </c>
      <c r="N46">
        <v>283</v>
      </c>
      <c r="P46">
        <v>12000</v>
      </c>
      <c r="Q46">
        <v>59880</v>
      </c>
      <c r="R46">
        <v>23138</v>
      </c>
      <c r="S46">
        <v>8848</v>
      </c>
      <c r="T46">
        <v>0</v>
      </c>
      <c r="U46">
        <v>0</v>
      </c>
      <c r="V46">
        <v>5648.7</v>
      </c>
      <c r="W46">
        <v>1850</v>
      </c>
      <c r="X46">
        <v>4551</v>
      </c>
      <c r="Y46">
        <v>0</v>
      </c>
      <c r="Z46">
        <v>1348</v>
      </c>
      <c r="AA46">
        <v>0</v>
      </c>
      <c r="AB46">
        <v>9.6308436602099594E-5</v>
      </c>
      <c r="AC46">
        <v>1.9433807949810101E-4</v>
      </c>
      <c r="AD46">
        <v>4.2479677379829803E-3</v>
      </c>
      <c r="AE46">
        <v>6.5951767509625399E-3</v>
      </c>
      <c r="AF46">
        <v>0.23030257391471901</v>
      </c>
    </row>
    <row r="47" spans="1:32" x14ac:dyDescent="0.2">
      <c r="A47" t="s">
        <v>40</v>
      </c>
      <c r="B47" t="str" cm="1">
        <f t="array" ref="B47:F47">_xlfn.TEXTSPLIT(A47,"_")</f>
        <v>MVPRP</v>
      </c>
      <c r="C47" t="str">
        <v>C25</v>
      </c>
      <c r="D47" t="str">
        <v>P3</v>
      </c>
      <c r="E47" t="str">
        <v>V2</v>
      </c>
      <c r="F47" t="str">
        <v>I1.dat</v>
      </c>
      <c r="G47" t="s">
        <v>45</v>
      </c>
      <c r="H47" t="s">
        <v>29</v>
      </c>
      <c r="I47">
        <v>27643.200000000001</v>
      </c>
      <c r="J47">
        <v>27643.200000000001</v>
      </c>
      <c r="K47">
        <v>0</v>
      </c>
      <c r="L47">
        <v>6.0773780345916801</v>
      </c>
      <c r="M47" t="s">
        <v>30</v>
      </c>
      <c r="N47">
        <v>283</v>
      </c>
      <c r="P47">
        <v>3000</v>
      </c>
      <c r="Q47">
        <v>14340</v>
      </c>
      <c r="R47">
        <v>5901</v>
      </c>
      <c r="S47">
        <v>2865</v>
      </c>
      <c r="T47">
        <v>0</v>
      </c>
      <c r="U47">
        <v>0</v>
      </c>
      <c r="V47">
        <v>1537.2</v>
      </c>
      <c r="W47">
        <v>20</v>
      </c>
      <c r="X47">
        <v>53</v>
      </c>
      <c r="Y47">
        <v>0</v>
      </c>
      <c r="Z47">
        <v>39</v>
      </c>
      <c r="AA47">
        <v>0</v>
      </c>
      <c r="AB47">
        <v>1.6993977302728701E-4</v>
      </c>
      <c r="AC47">
        <v>2.5126574531434098E-4</v>
      </c>
      <c r="AD47">
        <v>8.93655873961368E-3</v>
      </c>
      <c r="AE47">
        <v>8.6186454019833002E-3</v>
      </c>
      <c r="AF47">
        <v>0.115150108933449</v>
      </c>
    </row>
    <row r="48" spans="1:32" x14ac:dyDescent="0.2">
      <c r="A48" t="s">
        <v>41</v>
      </c>
      <c r="B48" t="str" cm="1">
        <f t="array" ref="B48:F48">_xlfn.TEXTSPLIT(A48,"_")</f>
        <v>MVPRP</v>
      </c>
      <c r="C48" t="str">
        <v>C25</v>
      </c>
      <c r="D48" t="str">
        <v>P6</v>
      </c>
      <c r="E48" t="str">
        <v>V2</v>
      </c>
      <c r="F48" t="str">
        <v>I1.dat</v>
      </c>
      <c r="G48" t="s">
        <v>45</v>
      </c>
      <c r="H48" t="s">
        <v>35</v>
      </c>
      <c r="I48">
        <v>59073.3</v>
      </c>
      <c r="J48">
        <v>59000.772645108198</v>
      </c>
      <c r="K48">
        <v>1.2277518759196001E-3</v>
      </c>
      <c r="L48">
        <v>3600.2036778926899</v>
      </c>
      <c r="M48" t="s">
        <v>30</v>
      </c>
      <c r="N48">
        <v>283</v>
      </c>
      <c r="P48">
        <v>6000</v>
      </c>
      <c r="Q48">
        <v>28380</v>
      </c>
      <c r="R48">
        <v>17067</v>
      </c>
      <c r="S48">
        <v>5583</v>
      </c>
      <c r="T48">
        <v>0</v>
      </c>
      <c r="U48">
        <v>0</v>
      </c>
      <c r="V48">
        <v>2043.3</v>
      </c>
      <c r="W48">
        <v>813</v>
      </c>
      <c r="X48">
        <v>1083</v>
      </c>
      <c r="Y48">
        <v>0</v>
      </c>
      <c r="Z48">
        <v>99</v>
      </c>
      <c r="AA48">
        <v>0</v>
      </c>
      <c r="AB48">
        <v>7.6034642033210001E-5</v>
      </c>
      <c r="AC48">
        <v>1.7567718070690501E-4</v>
      </c>
      <c r="AD48">
        <v>3.9381016400510801E-3</v>
      </c>
      <c r="AE48">
        <v>6.4824837095597198E-3</v>
      </c>
      <c r="AF48">
        <v>7.3500526662865995E-2</v>
      </c>
    </row>
    <row r="49" spans="1:32" x14ac:dyDescent="0.2">
      <c r="A49" t="s">
        <v>42</v>
      </c>
      <c r="B49" t="str" cm="1">
        <f t="array" ref="B49:F49">_xlfn.TEXTSPLIT(A49,"_")</f>
        <v>MVPRP</v>
      </c>
      <c r="C49" t="str">
        <v>C20</v>
      </c>
      <c r="D49" t="str">
        <v>P9</v>
      </c>
      <c r="E49" t="str">
        <v>V2</v>
      </c>
      <c r="F49" t="str">
        <v>I1.dat</v>
      </c>
      <c r="G49" t="s">
        <v>45</v>
      </c>
      <c r="H49" t="s">
        <v>35</v>
      </c>
      <c r="I49">
        <v>86989.1</v>
      </c>
      <c r="J49">
        <v>85172.135764155493</v>
      </c>
      <c r="K49">
        <v>2.0887263299017099E-2</v>
      </c>
      <c r="L49">
        <v>3602.3014893531799</v>
      </c>
      <c r="M49" t="s">
        <v>30</v>
      </c>
      <c r="N49">
        <v>283</v>
      </c>
      <c r="P49">
        <v>9000</v>
      </c>
      <c r="Q49">
        <v>48120</v>
      </c>
      <c r="R49">
        <v>17820</v>
      </c>
      <c r="S49">
        <v>7610</v>
      </c>
      <c r="T49">
        <v>0</v>
      </c>
      <c r="U49">
        <v>0</v>
      </c>
      <c r="V49">
        <v>4439.1000000000004</v>
      </c>
      <c r="W49">
        <v>2362</v>
      </c>
      <c r="X49">
        <v>3639</v>
      </c>
      <c r="Y49">
        <v>0</v>
      </c>
      <c r="Z49">
        <v>618</v>
      </c>
      <c r="AA49">
        <v>0</v>
      </c>
      <c r="AB49">
        <v>7.2648997730437602E-5</v>
      </c>
      <c r="AC49">
        <v>1.5561970763392901E-4</v>
      </c>
      <c r="AD49">
        <v>3.69170599691541E-3</v>
      </c>
      <c r="AE49">
        <v>5.8224681790947199E-3</v>
      </c>
      <c r="AF49">
        <v>6.6044172069262594E-2</v>
      </c>
    </row>
    <row r="50" spans="1:32" x14ac:dyDescent="0.2">
      <c r="A50" t="s">
        <v>27</v>
      </c>
      <c r="B50" t="str" cm="1">
        <f t="array" ref="B50:F50">_xlfn.TEXTSPLIT(A50,"_")</f>
        <v>MVPRP</v>
      </c>
      <c r="C50" t="str">
        <v>C20</v>
      </c>
      <c r="D50" t="str">
        <v>P3</v>
      </c>
      <c r="E50" t="str">
        <v>V2</v>
      </c>
      <c r="F50" t="str">
        <v>I1.dat</v>
      </c>
      <c r="G50" t="s">
        <v>45</v>
      </c>
      <c r="H50" t="s">
        <v>29</v>
      </c>
      <c r="I50">
        <v>23484.9</v>
      </c>
      <c r="J50">
        <v>23484.9</v>
      </c>
      <c r="K50">
        <v>0</v>
      </c>
      <c r="L50">
        <v>2.1241505146026598</v>
      </c>
      <c r="M50" t="s">
        <v>30</v>
      </c>
      <c r="N50">
        <v>283</v>
      </c>
      <c r="P50">
        <v>3000</v>
      </c>
      <c r="Q50">
        <v>12030</v>
      </c>
      <c r="R50">
        <v>4509</v>
      </c>
      <c r="S50">
        <v>2671</v>
      </c>
      <c r="T50">
        <v>0</v>
      </c>
      <c r="U50">
        <v>0</v>
      </c>
      <c r="V50">
        <v>1274.9000000000001</v>
      </c>
      <c r="W50">
        <v>19</v>
      </c>
      <c r="X50">
        <v>8</v>
      </c>
      <c r="Y50">
        <v>0</v>
      </c>
      <c r="Z50">
        <v>26</v>
      </c>
      <c r="AA50">
        <v>0</v>
      </c>
      <c r="AB50">
        <v>1.00642107845692E-4</v>
      </c>
      <c r="AC50">
        <v>3.1228292556036098E-4</v>
      </c>
      <c r="AD50">
        <v>6.3432819313473197E-3</v>
      </c>
      <c r="AE50">
        <v>1.04429986741808E-2</v>
      </c>
      <c r="AF50">
        <v>4.3658653895060198E-2</v>
      </c>
    </row>
    <row r="51" spans="1:32" x14ac:dyDescent="0.2">
      <c r="A51" t="s">
        <v>31</v>
      </c>
      <c r="B51" t="str" cm="1">
        <f t="array" ref="B51:F51">_xlfn.TEXTSPLIT(A51,"_")</f>
        <v>MVPRP</v>
      </c>
      <c r="C51" t="str">
        <v>C10</v>
      </c>
      <c r="D51" t="str">
        <v>P9</v>
      </c>
      <c r="E51" t="str">
        <v>V2</v>
      </c>
      <c r="F51" t="str">
        <v>I1.dat</v>
      </c>
      <c r="G51" t="s">
        <v>45</v>
      </c>
      <c r="H51" t="s">
        <v>29</v>
      </c>
      <c r="I51">
        <v>52882.8998399911</v>
      </c>
      <c r="J51">
        <v>52882.8998399911</v>
      </c>
      <c r="K51">
        <v>0</v>
      </c>
      <c r="L51">
        <v>78.458086252212496</v>
      </c>
      <c r="M51" t="s">
        <v>30</v>
      </c>
      <c r="N51">
        <v>198</v>
      </c>
      <c r="P51">
        <v>9000</v>
      </c>
      <c r="Q51">
        <v>26370</v>
      </c>
      <c r="R51">
        <v>10336</v>
      </c>
      <c r="S51">
        <v>5223</v>
      </c>
      <c r="T51">
        <v>0</v>
      </c>
      <c r="U51">
        <v>0</v>
      </c>
      <c r="V51">
        <v>1953.89983999111</v>
      </c>
      <c r="W51">
        <v>169</v>
      </c>
      <c r="X51">
        <v>116</v>
      </c>
      <c r="Y51">
        <v>0</v>
      </c>
      <c r="Z51">
        <v>23</v>
      </c>
      <c r="AA51">
        <v>0</v>
      </c>
      <c r="AB51">
        <v>4.2701447690213402E-5</v>
      </c>
      <c r="AC51">
        <v>9.8999814741410993E-5</v>
      </c>
      <c r="AD51">
        <v>3.1401331537898101E-3</v>
      </c>
      <c r="AE51">
        <v>4.7284330465330697E-3</v>
      </c>
      <c r="AF51">
        <v>2.26562236672017E-2</v>
      </c>
    </row>
    <row r="52" spans="1:32" x14ac:dyDescent="0.2">
      <c r="A52" t="s">
        <v>32</v>
      </c>
      <c r="B52" t="str" cm="1">
        <f t="array" ref="B52:F52">_xlfn.TEXTSPLIT(A52,"_")</f>
        <v>MVPRP</v>
      </c>
      <c r="C52" t="str">
        <v>C15</v>
      </c>
      <c r="D52" t="str">
        <v>P3</v>
      </c>
      <c r="E52" t="str">
        <v>V2</v>
      </c>
      <c r="F52" t="str">
        <v>I1.dat</v>
      </c>
      <c r="G52" t="s">
        <v>45</v>
      </c>
      <c r="H52" t="s">
        <v>29</v>
      </c>
      <c r="I52">
        <v>20511.5</v>
      </c>
      <c r="J52">
        <v>20511.5</v>
      </c>
      <c r="K52">
        <v>0</v>
      </c>
      <c r="L52">
        <v>6.1423096656799299</v>
      </c>
      <c r="M52" t="s">
        <v>30</v>
      </c>
      <c r="N52">
        <v>198</v>
      </c>
      <c r="P52">
        <v>3000</v>
      </c>
      <c r="Q52">
        <v>9960</v>
      </c>
      <c r="R52">
        <v>3896</v>
      </c>
      <c r="S52">
        <v>2762</v>
      </c>
      <c r="T52">
        <v>0</v>
      </c>
      <c r="U52">
        <v>0</v>
      </c>
      <c r="V52">
        <v>893.5</v>
      </c>
      <c r="W52">
        <v>21</v>
      </c>
      <c r="X52">
        <v>112</v>
      </c>
      <c r="Y52">
        <v>0</v>
      </c>
      <c r="Z52">
        <v>22</v>
      </c>
      <c r="AA52">
        <v>0</v>
      </c>
      <c r="AB52">
        <v>8.7144699963656296E-5</v>
      </c>
      <c r="AC52">
        <v>1.5044212341308599E-4</v>
      </c>
      <c r="AD52">
        <v>6.13233290220562E-3</v>
      </c>
      <c r="AE52">
        <v>7.3096090150110904E-3</v>
      </c>
      <c r="AF52">
        <v>2.9833233874777099E-2</v>
      </c>
    </row>
    <row r="53" spans="1:32" x14ac:dyDescent="0.2">
      <c r="A53" t="s">
        <v>33</v>
      </c>
      <c r="B53" t="str" cm="1">
        <f t="array" ref="B53:F53">_xlfn.TEXTSPLIT(A53,"_")</f>
        <v>MVPRP</v>
      </c>
      <c r="C53" t="str">
        <v>C10</v>
      </c>
      <c r="D53" t="str">
        <v>P3</v>
      </c>
      <c r="E53" t="str">
        <v>V2</v>
      </c>
      <c r="F53" t="str">
        <v>I1.dat</v>
      </c>
      <c r="G53" t="s">
        <v>45</v>
      </c>
      <c r="H53" t="s">
        <v>29</v>
      </c>
      <c r="I53">
        <v>14480.9</v>
      </c>
      <c r="J53">
        <v>14480.9</v>
      </c>
      <c r="K53">
        <v>0</v>
      </c>
      <c r="L53">
        <v>0.60386419296264704</v>
      </c>
      <c r="M53" t="s">
        <v>30</v>
      </c>
      <c r="N53">
        <v>198</v>
      </c>
      <c r="P53">
        <v>3000</v>
      </c>
      <c r="Q53">
        <v>6390</v>
      </c>
      <c r="R53">
        <v>2999</v>
      </c>
      <c r="S53">
        <v>1535</v>
      </c>
      <c r="T53">
        <v>0</v>
      </c>
      <c r="U53">
        <v>0</v>
      </c>
      <c r="V53">
        <v>556.9</v>
      </c>
      <c r="W53">
        <v>6</v>
      </c>
      <c r="X53">
        <v>4</v>
      </c>
      <c r="Y53">
        <v>0</v>
      </c>
      <c r="Z53">
        <v>11</v>
      </c>
      <c r="AA53">
        <v>0</v>
      </c>
      <c r="AB53">
        <v>6.9958823067801303E-5</v>
      </c>
      <c r="AC53">
        <v>1.44322713216146E-4</v>
      </c>
      <c r="AD53">
        <v>4.9808886316087498E-3</v>
      </c>
      <c r="AE53">
        <v>5.2747726440429696E-3</v>
      </c>
      <c r="AF53">
        <v>1.3585307381369901E-2</v>
      </c>
    </row>
    <row r="54" spans="1:32" x14ac:dyDescent="0.2">
      <c r="A54" t="s">
        <v>34</v>
      </c>
      <c r="B54" t="str" cm="1">
        <f t="array" ref="B54:F54">_xlfn.TEXTSPLIT(A54,"_")</f>
        <v>MVPRP</v>
      </c>
      <c r="C54" t="str">
        <v>C15</v>
      </c>
      <c r="D54" t="str">
        <v>P9</v>
      </c>
      <c r="E54" t="str">
        <v>V2</v>
      </c>
      <c r="F54" t="str">
        <v>I1.dat</v>
      </c>
      <c r="G54" t="s">
        <v>45</v>
      </c>
      <c r="H54" t="s">
        <v>35</v>
      </c>
      <c r="I54">
        <v>77616.399971046994</v>
      </c>
      <c r="J54">
        <v>75749.753424936702</v>
      </c>
      <c r="K54">
        <v>2.40496408852592E-2</v>
      </c>
      <c r="L54">
        <v>3600.5980393886598</v>
      </c>
      <c r="M54" t="s">
        <v>30</v>
      </c>
      <c r="N54">
        <v>198</v>
      </c>
      <c r="P54">
        <v>9000</v>
      </c>
      <c r="Q54">
        <v>40950</v>
      </c>
      <c r="R54">
        <v>14767</v>
      </c>
      <c r="S54">
        <v>8770</v>
      </c>
      <c r="T54">
        <v>0</v>
      </c>
      <c r="U54">
        <v>0</v>
      </c>
      <c r="V54">
        <v>4129.3999710470398</v>
      </c>
      <c r="W54">
        <v>2909</v>
      </c>
      <c r="X54">
        <v>3061</v>
      </c>
      <c r="Y54">
        <v>0</v>
      </c>
      <c r="Z54">
        <v>344</v>
      </c>
      <c r="AA54">
        <v>0</v>
      </c>
      <c r="AB54">
        <v>7.1918071126843996E-5</v>
      </c>
      <c r="AC54">
        <v>1.5891866293884401E-4</v>
      </c>
      <c r="AD54">
        <v>4.73169567093807E-3</v>
      </c>
      <c r="AE54">
        <v>6.9081497683810798E-3</v>
      </c>
      <c r="AF54">
        <v>6.4481183417938001E-2</v>
      </c>
    </row>
    <row r="55" spans="1:32" x14ac:dyDescent="0.2">
      <c r="A55" t="s">
        <v>36</v>
      </c>
      <c r="B55" t="str" cm="1">
        <f t="array" ref="B55:F55">_xlfn.TEXTSPLIT(A55,"_")</f>
        <v>MVPRP</v>
      </c>
      <c r="C55" t="str">
        <v>C10</v>
      </c>
      <c r="D55" t="str">
        <v>P6</v>
      </c>
      <c r="E55" t="str">
        <v>V2</v>
      </c>
      <c r="F55" t="str">
        <v>I1.dat</v>
      </c>
      <c r="G55" t="s">
        <v>45</v>
      </c>
      <c r="H55" t="s">
        <v>29</v>
      </c>
      <c r="I55">
        <v>30459.9</v>
      </c>
      <c r="J55">
        <v>30459.9</v>
      </c>
      <c r="K55">
        <v>0</v>
      </c>
      <c r="L55">
        <v>2.53425097465515</v>
      </c>
      <c r="M55" t="s">
        <v>30</v>
      </c>
      <c r="N55">
        <v>198</v>
      </c>
      <c r="P55">
        <v>6000</v>
      </c>
      <c r="Q55">
        <v>12690</v>
      </c>
      <c r="R55">
        <v>8163</v>
      </c>
      <c r="S55">
        <v>2706</v>
      </c>
      <c r="T55">
        <v>0</v>
      </c>
      <c r="U55">
        <v>0</v>
      </c>
      <c r="V55">
        <v>900.9</v>
      </c>
      <c r="W55">
        <v>11</v>
      </c>
      <c r="X55">
        <v>26</v>
      </c>
      <c r="Y55">
        <v>0</v>
      </c>
      <c r="Z55">
        <v>12</v>
      </c>
      <c r="AA55">
        <v>0</v>
      </c>
      <c r="AB55">
        <v>5.7975086597127702E-5</v>
      </c>
      <c r="AC55">
        <v>1.162674691942E-4</v>
      </c>
      <c r="AD55">
        <v>3.9330744275859796E-3</v>
      </c>
      <c r="AE55">
        <v>5.2442508336354998E-3</v>
      </c>
      <c r="AF55">
        <v>2.4826955795288101E-2</v>
      </c>
    </row>
    <row r="56" spans="1:32" x14ac:dyDescent="0.2">
      <c r="A56" t="s">
        <v>37</v>
      </c>
      <c r="B56" t="str" cm="1">
        <f t="array" ref="B56:F56">_xlfn.TEXTSPLIT(A56,"_")</f>
        <v>MVPRP</v>
      </c>
      <c r="C56" t="str">
        <v>C15</v>
      </c>
      <c r="D56" t="str">
        <v>P6</v>
      </c>
      <c r="E56" t="str">
        <v>V2</v>
      </c>
      <c r="F56" t="str">
        <v>I1.dat</v>
      </c>
      <c r="G56" t="s">
        <v>45</v>
      </c>
      <c r="H56" t="s">
        <v>29</v>
      </c>
      <c r="I56">
        <v>43302.1</v>
      </c>
      <c r="J56">
        <v>43302.1</v>
      </c>
      <c r="K56">
        <v>0</v>
      </c>
      <c r="L56">
        <v>470.04147410392801</v>
      </c>
      <c r="M56" t="s">
        <v>30</v>
      </c>
      <c r="N56">
        <v>198</v>
      </c>
      <c r="P56">
        <v>6000</v>
      </c>
      <c r="Q56">
        <v>19800</v>
      </c>
      <c r="R56">
        <v>10877</v>
      </c>
      <c r="S56">
        <v>5023</v>
      </c>
      <c r="T56">
        <v>0</v>
      </c>
      <c r="U56">
        <v>0</v>
      </c>
      <c r="V56">
        <v>1602.1</v>
      </c>
      <c r="W56">
        <v>894</v>
      </c>
      <c r="X56">
        <v>441</v>
      </c>
      <c r="Y56">
        <v>0</v>
      </c>
      <c r="Z56">
        <v>52</v>
      </c>
      <c r="AA56">
        <v>0</v>
      </c>
      <c r="AB56">
        <v>5.0456325707594602E-5</v>
      </c>
      <c r="AC56">
        <v>1.119158971004E-4</v>
      </c>
      <c r="AD56">
        <v>3.47983689804156E-3</v>
      </c>
      <c r="AE56">
        <v>5.0001522531593103E-3</v>
      </c>
      <c r="AF56">
        <v>2.1620880595237198E-2</v>
      </c>
    </row>
    <row r="57" spans="1:32" x14ac:dyDescent="0.2">
      <c r="A57" t="s">
        <v>38</v>
      </c>
      <c r="B57" t="str" cm="1">
        <f t="array" ref="B57:F57">_xlfn.TEXTSPLIT(A57,"_")</f>
        <v>MVPRP</v>
      </c>
      <c r="C57" t="str">
        <v>C20</v>
      </c>
      <c r="D57" t="str">
        <v>P6</v>
      </c>
      <c r="E57" t="str">
        <v>V2</v>
      </c>
      <c r="F57" t="str">
        <v>I1.dat</v>
      </c>
      <c r="G57" t="s">
        <v>45</v>
      </c>
      <c r="H57" t="s">
        <v>29</v>
      </c>
      <c r="I57">
        <v>49276.7</v>
      </c>
      <c r="J57">
        <v>49276.7</v>
      </c>
      <c r="K57">
        <v>0</v>
      </c>
      <c r="L57">
        <v>36.237851858139003</v>
      </c>
      <c r="M57" t="s">
        <v>30</v>
      </c>
      <c r="N57">
        <v>283</v>
      </c>
      <c r="P57">
        <v>6000</v>
      </c>
      <c r="Q57">
        <v>23820</v>
      </c>
      <c r="R57">
        <v>12905</v>
      </c>
      <c r="S57">
        <v>4842</v>
      </c>
      <c r="T57">
        <v>0</v>
      </c>
      <c r="U57">
        <v>0</v>
      </c>
      <c r="V57">
        <v>1709.7</v>
      </c>
      <c r="W57">
        <v>46</v>
      </c>
      <c r="X57">
        <v>206</v>
      </c>
      <c r="Y57">
        <v>0</v>
      </c>
      <c r="Z57">
        <v>47</v>
      </c>
      <c r="AA57">
        <v>0</v>
      </c>
      <c r="AB57">
        <v>6.8198650255115798E-5</v>
      </c>
      <c r="AC57">
        <v>1.3244655770315301E-4</v>
      </c>
      <c r="AD57">
        <v>3.8728460003829902E-3</v>
      </c>
      <c r="AE57">
        <v>5.4157160636785001E-3</v>
      </c>
      <c r="AF57">
        <v>9.0326925118764195E-2</v>
      </c>
    </row>
    <row r="58" spans="1:32" x14ac:dyDescent="0.2">
      <c r="A58" t="s">
        <v>39</v>
      </c>
      <c r="B58" t="str" cm="1">
        <f t="array" ref="B58:F58">_xlfn.TEXTSPLIT(A58,"_")</f>
        <v>MVPRP</v>
      </c>
      <c r="C58" t="str">
        <v>C25</v>
      </c>
      <c r="D58" t="str">
        <v>P9</v>
      </c>
      <c r="E58" t="str">
        <v>V2</v>
      </c>
      <c r="F58" t="str">
        <v>I1.dat</v>
      </c>
      <c r="G58" t="s">
        <v>45</v>
      </c>
      <c r="H58" t="s">
        <v>35</v>
      </c>
      <c r="I58">
        <v>109941.8</v>
      </c>
      <c r="J58">
        <v>103702.578385368</v>
      </c>
      <c r="K58">
        <v>5.67502225234819E-2</v>
      </c>
      <c r="L58">
        <v>3602.3090198039999</v>
      </c>
      <c r="M58" t="s">
        <v>30</v>
      </c>
      <c r="N58">
        <v>283</v>
      </c>
      <c r="P58">
        <v>9000</v>
      </c>
      <c r="Q58">
        <v>59880</v>
      </c>
      <c r="R58">
        <v>23703</v>
      </c>
      <c r="S58">
        <v>10282</v>
      </c>
      <c r="T58">
        <v>0</v>
      </c>
      <c r="U58">
        <v>0</v>
      </c>
      <c r="V58">
        <v>7076.8</v>
      </c>
      <c r="W58">
        <v>2185</v>
      </c>
      <c r="X58">
        <v>4869</v>
      </c>
      <c r="Y58">
        <v>0</v>
      </c>
      <c r="Z58">
        <v>1477</v>
      </c>
      <c r="AA58">
        <v>0</v>
      </c>
      <c r="AB58">
        <v>8.9711623554780397E-5</v>
      </c>
      <c r="AC58">
        <v>1.8414079795833399E-4</v>
      </c>
      <c r="AD58">
        <v>4.2463476134434004E-3</v>
      </c>
      <c r="AE58">
        <v>6.5396125162474799E-3</v>
      </c>
      <c r="AF58">
        <v>0.25328712605954801</v>
      </c>
    </row>
    <row r="59" spans="1:32" x14ac:dyDescent="0.2">
      <c r="A59" t="s">
        <v>40</v>
      </c>
      <c r="B59" t="str" cm="1">
        <f t="array" ref="B59:F59">_xlfn.TEXTSPLIT(A59,"_")</f>
        <v>MVPRP</v>
      </c>
      <c r="C59" t="str">
        <v>C25</v>
      </c>
      <c r="D59" t="str">
        <v>P3</v>
      </c>
      <c r="E59" t="str">
        <v>V2</v>
      </c>
      <c r="F59" t="str">
        <v>I1.dat</v>
      </c>
      <c r="G59" t="s">
        <v>45</v>
      </c>
      <c r="H59" t="s">
        <v>29</v>
      </c>
      <c r="I59">
        <v>27643.200000000001</v>
      </c>
      <c r="J59">
        <v>27643.200000000001</v>
      </c>
      <c r="K59">
        <v>0</v>
      </c>
      <c r="L59">
        <v>6.93424272537231</v>
      </c>
      <c r="M59" t="s">
        <v>30</v>
      </c>
      <c r="N59">
        <v>283</v>
      </c>
      <c r="P59">
        <v>3000</v>
      </c>
      <c r="Q59">
        <v>14340</v>
      </c>
      <c r="R59">
        <v>5901</v>
      </c>
      <c r="S59">
        <v>2865</v>
      </c>
      <c r="T59">
        <v>0</v>
      </c>
      <c r="U59">
        <v>0</v>
      </c>
      <c r="V59">
        <v>1537.2</v>
      </c>
      <c r="W59">
        <v>10</v>
      </c>
      <c r="X59">
        <v>129</v>
      </c>
      <c r="Y59">
        <v>0</v>
      </c>
      <c r="Z59">
        <v>46</v>
      </c>
      <c r="AA59">
        <v>0</v>
      </c>
      <c r="AB59">
        <v>1.3291835784912101E-4</v>
      </c>
      <c r="AC59">
        <v>2.6433608111213198E-4</v>
      </c>
      <c r="AD59">
        <v>6.3800752162933398E-3</v>
      </c>
      <c r="AE59">
        <v>9.7953912190028598E-3</v>
      </c>
      <c r="AF59">
        <v>0.132366538047791</v>
      </c>
    </row>
    <row r="60" spans="1:32" x14ac:dyDescent="0.2">
      <c r="A60" t="s">
        <v>41</v>
      </c>
      <c r="B60" t="str" cm="1">
        <f t="array" ref="B60:F60">_xlfn.TEXTSPLIT(A60,"_")</f>
        <v>MVPRP</v>
      </c>
      <c r="C60" t="str">
        <v>C25</v>
      </c>
      <c r="D60" t="str">
        <v>P6</v>
      </c>
      <c r="E60" t="str">
        <v>V2</v>
      </c>
      <c r="F60" t="str">
        <v>I1.dat</v>
      </c>
      <c r="G60" t="s">
        <v>45</v>
      </c>
      <c r="H60" t="s">
        <v>35</v>
      </c>
      <c r="I60">
        <v>59073.299983710698</v>
      </c>
      <c r="J60">
        <v>58966.552991327997</v>
      </c>
      <c r="K60">
        <v>1.807026057663E-3</v>
      </c>
      <c r="L60">
        <v>3601.5513525009201</v>
      </c>
      <c r="M60" t="s">
        <v>30</v>
      </c>
      <c r="N60">
        <v>283</v>
      </c>
      <c r="P60">
        <v>6000</v>
      </c>
      <c r="Q60">
        <v>28380</v>
      </c>
      <c r="R60">
        <v>17067.0000037467</v>
      </c>
      <c r="S60">
        <v>5582.9999786506896</v>
      </c>
      <c r="T60">
        <v>0</v>
      </c>
      <c r="U60">
        <v>0</v>
      </c>
      <c r="V60">
        <v>2043.3000013133701</v>
      </c>
      <c r="W60">
        <v>708</v>
      </c>
      <c r="X60">
        <v>952</v>
      </c>
      <c r="Y60">
        <v>0</v>
      </c>
      <c r="Z60">
        <v>89</v>
      </c>
      <c r="AA60">
        <v>0</v>
      </c>
      <c r="AB60">
        <v>6.9237045977792497E-5</v>
      </c>
      <c r="AC60">
        <v>1.5784455824268E-4</v>
      </c>
      <c r="AD60">
        <v>3.7130469496584801E-3</v>
      </c>
      <c r="AE60">
        <v>6.2537253200635797E-3</v>
      </c>
      <c r="AF60">
        <v>6.6824463047139002E-2</v>
      </c>
    </row>
    <row r="61" spans="1:32" x14ac:dyDescent="0.2">
      <c r="A61" t="s">
        <v>42</v>
      </c>
      <c r="B61" t="str" cm="1">
        <f t="array" ref="B61:F61">_xlfn.TEXTSPLIT(A61,"_")</f>
        <v>MVPRP</v>
      </c>
      <c r="C61" t="str">
        <v>C20</v>
      </c>
      <c r="D61" t="str">
        <v>P9</v>
      </c>
      <c r="E61" t="str">
        <v>V2</v>
      </c>
      <c r="F61" t="str">
        <v>I1.dat</v>
      </c>
      <c r="G61" t="s">
        <v>45</v>
      </c>
      <c r="H61" t="s">
        <v>35</v>
      </c>
      <c r="I61">
        <v>86838.5</v>
      </c>
      <c r="J61">
        <v>85173.456282500498</v>
      </c>
      <c r="K61">
        <v>1.9174026698982001E-2</v>
      </c>
      <c r="L61">
        <v>3601.3531141281101</v>
      </c>
      <c r="M61" t="s">
        <v>30</v>
      </c>
      <c r="N61">
        <v>283</v>
      </c>
      <c r="P61">
        <v>9000</v>
      </c>
      <c r="Q61">
        <v>48120</v>
      </c>
      <c r="R61">
        <v>17811</v>
      </c>
      <c r="S61">
        <v>7464</v>
      </c>
      <c r="T61">
        <v>0</v>
      </c>
      <c r="U61">
        <v>0</v>
      </c>
      <c r="V61">
        <v>4443.5</v>
      </c>
      <c r="W61">
        <v>2193</v>
      </c>
      <c r="X61">
        <v>3328</v>
      </c>
      <c r="Y61">
        <v>0</v>
      </c>
      <c r="Z61">
        <v>515</v>
      </c>
      <c r="AA61">
        <v>0</v>
      </c>
      <c r="AB61">
        <v>7.5597790371057002E-5</v>
      </c>
      <c r="AC61">
        <v>1.7191678720425001E-4</v>
      </c>
      <c r="AD61">
        <v>3.81578554783121E-3</v>
      </c>
      <c r="AE61">
        <v>6.5004859564913803E-3</v>
      </c>
      <c r="AF61">
        <v>6.8586226681183096E-2</v>
      </c>
    </row>
    <row r="62" spans="1:32" x14ac:dyDescent="0.2">
      <c r="A62" t="s">
        <v>27</v>
      </c>
      <c r="B62" t="str" cm="1">
        <f t="array" ref="B62:F62">_xlfn.TEXTSPLIT(A62,"_")</f>
        <v>MVPRP</v>
      </c>
      <c r="C62" t="str">
        <v>C20</v>
      </c>
      <c r="D62" t="str">
        <v>P3</v>
      </c>
      <c r="E62" t="str">
        <v>V2</v>
      </c>
      <c r="F62" t="str">
        <v>I1.dat</v>
      </c>
      <c r="G62" t="s">
        <v>45</v>
      </c>
      <c r="H62" t="s">
        <v>29</v>
      </c>
      <c r="I62">
        <v>23484.935335688999</v>
      </c>
      <c r="J62">
        <v>23484.5819787986</v>
      </c>
      <c r="K62">
        <v>1.50461087248471E-5</v>
      </c>
      <c r="L62">
        <v>2.31983494758606</v>
      </c>
      <c r="M62" t="s">
        <v>30</v>
      </c>
      <c r="N62">
        <v>283</v>
      </c>
      <c r="P62">
        <v>3000</v>
      </c>
      <c r="Q62">
        <v>12030</v>
      </c>
      <c r="R62">
        <v>4509</v>
      </c>
      <c r="S62">
        <v>2671</v>
      </c>
      <c r="T62">
        <v>0</v>
      </c>
      <c r="U62">
        <v>0</v>
      </c>
      <c r="V62">
        <v>1274.9353356890499</v>
      </c>
      <c r="W62">
        <v>21</v>
      </c>
      <c r="X62">
        <v>12</v>
      </c>
      <c r="Y62">
        <v>0</v>
      </c>
      <c r="Z62">
        <v>23</v>
      </c>
      <c r="AA62">
        <v>0</v>
      </c>
      <c r="AB62">
        <v>1.05416774749756E-4</v>
      </c>
      <c r="AC62">
        <v>3.3688545227050798E-4</v>
      </c>
      <c r="AD62">
        <v>6.4901569310356604E-3</v>
      </c>
      <c r="AE62">
        <v>1.01902325948079E-2</v>
      </c>
      <c r="AF62">
        <v>4.811931848526E-2</v>
      </c>
    </row>
    <row r="63" spans="1:32" x14ac:dyDescent="0.2">
      <c r="A63" t="s">
        <v>31</v>
      </c>
      <c r="B63" t="str" cm="1">
        <f t="array" ref="B63:F63">_xlfn.TEXTSPLIT(A63,"_")</f>
        <v>MVPRP</v>
      </c>
      <c r="C63" t="str">
        <v>C10</v>
      </c>
      <c r="D63" t="str">
        <v>P9</v>
      </c>
      <c r="E63" t="str">
        <v>V2</v>
      </c>
      <c r="F63" t="str">
        <v>I1.dat</v>
      </c>
      <c r="G63" t="s">
        <v>45</v>
      </c>
      <c r="H63" t="s">
        <v>29</v>
      </c>
      <c r="I63">
        <v>52882.8996133619</v>
      </c>
      <c r="J63">
        <v>52882.8996133619</v>
      </c>
      <c r="K63">
        <v>0</v>
      </c>
      <c r="L63">
        <v>99.843696594238295</v>
      </c>
      <c r="M63" t="s">
        <v>30</v>
      </c>
      <c r="N63">
        <v>198</v>
      </c>
      <c r="P63">
        <v>9000</v>
      </c>
      <c r="Q63">
        <v>26370</v>
      </c>
      <c r="R63">
        <v>10336</v>
      </c>
      <c r="S63">
        <v>5223</v>
      </c>
      <c r="T63">
        <v>0</v>
      </c>
      <c r="U63">
        <v>0</v>
      </c>
      <c r="V63">
        <v>1953.89961336187</v>
      </c>
      <c r="W63">
        <v>166</v>
      </c>
      <c r="X63">
        <v>121</v>
      </c>
      <c r="Y63">
        <v>0</v>
      </c>
      <c r="Z63">
        <v>22</v>
      </c>
      <c r="AA63">
        <v>0</v>
      </c>
      <c r="AB63">
        <v>4.9100709586680803E-5</v>
      </c>
      <c r="AC63">
        <v>1.1946585933858E-4</v>
      </c>
      <c r="AD63">
        <v>3.4452234683786799E-3</v>
      </c>
      <c r="AE63">
        <v>5.4403412893184898E-3</v>
      </c>
      <c r="AF63">
        <v>2.5304679212899001E-2</v>
      </c>
    </row>
    <row r="64" spans="1:32" x14ac:dyDescent="0.2">
      <c r="A64" t="s">
        <v>32</v>
      </c>
      <c r="B64" t="str" cm="1">
        <f t="array" ref="B64:F64">_xlfn.TEXTSPLIT(A64,"_")</f>
        <v>MVPRP</v>
      </c>
      <c r="C64" t="str">
        <v>C15</v>
      </c>
      <c r="D64" t="str">
        <v>P3</v>
      </c>
      <c r="E64" t="str">
        <v>V2</v>
      </c>
      <c r="F64" t="str">
        <v>I1.dat</v>
      </c>
      <c r="G64" t="s">
        <v>45</v>
      </c>
      <c r="H64" t="s">
        <v>29</v>
      </c>
      <c r="I64">
        <v>20511.5</v>
      </c>
      <c r="J64">
        <v>20511.5</v>
      </c>
      <c r="K64">
        <v>0</v>
      </c>
      <c r="L64">
        <v>7.5994932651519802</v>
      </c>
      <c r="M64" t="s">
        <v>30</v>
      </c>
      <c r="N64">
        <v>198</v>
      </c>
      <c r="P64">
        <v>3000</v>
      </c>
      <c r="Q64">
        <v>9960</v>
      </c>
      <c r="R64">
        <v>3896</v>
      </c>
      <c r="S64">
        <v>2762</v>
      </c>
      <c r="T64">
        <v>0</v>
      </c>
      <c r="U64">
        <v>0</v>
      </c>
      <c r="V64">
        <v>893.5</v>
      </c>
      <c r="W64">
        <v>16</v>
      </c>
      <c r="X64">
        <v>118</v>
      </c>
      <c r="Y64">
        <v>0</v>
      </c>
      <c r="Z64">
        <v>28</v>
      </c>
      <c r="AA64">
        <v>0</v>
      </c>
      <c r="AB64">
        <v>1.06016794840495E-4</v>
      </c>
      <c r="AC64">
        <v>1.810485481197E-4</v>
      </c>
      <c r="AD64">
        <v>6.64146928226247E-3</v>
      </c>
      <c r="AE64">
        <v>8.3927592487199904E-3</v>
      </c>
      <c r="AF64">
        <v>3.1059265136718799E-2</v>
      </c>
    </row>
    <row r="65" spans="1:32" x14ac:dyDescent="0.2">
      <c r="A65" t="s">
        <v>33</v>
      </c>
      <c r="B65" t="str" cm="1">
        <f t="array" ref="B65:F65">_xlfn.TEXTSPLIT(A65,"_")</f>
        <v>MVPRP</v>
      </c>
      <c r="C65" t="str">
        <v>C10</v>
      </c>
      <c r="D65" t="str">
        <v>P3</v>
      </c>
      <c r="E65" t="str">
        <v>V2</v>
      </c>
      <c r="F65" t="str">
        <v>I1.dat</v>
      </c>
      <c r="G65" t="s">
        <v>45</v>
      </c>
      <c r="H65" t="s">
        <v>29</v>
      </c>
      <c r="I65">
        <v>14480.9</v>
      </c>
      <c r="J65">
        <v>14480.9</v>
      </c>
      <c r="K65">
        <v>0</v>
      </c>
      <c r="L65">
        <v>0.67783951759338401</v>
      </c>
      <c r="M65" t="s">
        <v>30</v>
      </c>
      <c r="N65">
        <v>198</v>
      </c>
      <c r="P65">
        <v>3000</v>
      </c>
      <c r="Q65">
        <v>6390</v>
      </c>
      <c r="R65">
        <v>2999</v>
      </c>
      <c r="S65">
        <v>1535</v>
      </c>
      <c r="T65">
        <v>0</v>
      </c>
      <c r="U65">
        <v>0</v>
      </c>
      <c r="V65">
        <v>556.9</v>
      </c>
      <c r="W65">
        <v>7</v>
      </c>
      <c r="X65">
        <v>5</v>
      </c>
      <c r="Y65">
        <v>0</v>
      </c>
      <c r="Z65">
        <v>10</v>
      </c>
      <c r="AA65">
        <v>0</v>
      </c>
      <c r="AB65">
        <v>8.8877794219226406E-5</v>
      </c>
      <c r="AC65">
        <v>1.6628901163736999E-4</v>
      </c>
      <c r="AD65">
        <v>5.84442747963799E-3</v>
      </c>
      <c r="AE65">
        <v>5.3318142890930202E-3</v>
      </c>
      <c r="AF65">
        <v>1.47781372070313E-2</v>
      </c>
    </row>
    <row r="66" spans="1:32" x14ac:dyDescent="0.2">
      <c r="A66" t="s">
        <v>34</v>
      </c>
      <c r="B66" t="str" cm="1">
        <f t="array" ref="B66:F66">_xlfn.TEXTSPLIT(A66,"_")</f>
        <v>MVPRP</v>
      </c>
      <c r="C66" t="str">
        <v>C15</v>
      </c>
      <c r="D66" t="str">
        <v>P9</v>
      </c>
      <c r="E66" t="str">
        <v>V2</v>
      </c>
      <c r="F66" t="str">
        <v>I1.dat</v>
      </c>
      <c r="G66" t="s">
        <v>45</v>
      </c>
      <c r="H66" t="s">
        <v>35</v>
      </c>
      <c r="I66">
        <v>78089</v>
      </c>
      <c r="J66">
        <v>75737.653136297304</v>
      </c>
      <c r="K66">
        <v>3.0111115057212701E-2</v>
      </c>
      <c r="L66">
        <v>3600.33223938942</v>
      </c>
      <c r="M66" t="s">
        <v>30</v>
      </c>
      <c r="N66">
        <v>198</v>
      </c>
      <c r="P66">
        <v>9000</v>
      </c>
      <c r="Q66">
        <v>40950</v>
      </c>
      <c r="R66">
        <v>15269</v>
      </c>
      <c r="S66">
        <v>8590</v>
      </c>
      <c r="T66">
        <v>0</v>
      </c>
      <c r="U66">
        <v>0</v>
      </c>
      <c r="V66">
        <v>4280</v>
      </c>
      <c r="W66">
        <v>2558</v>
      </c>
      <c r="X66">
        <v>2945</v>
      </c>
      <c r="Y66">
        <v>0</v>
      </c>
      <c r="Z66">
        <v>324</v>
      </c>
      <c r="AA66">
        <v>0</v>
      </c>
      <c r="AB66">
        <v>8.6387975992454496E-5</v>
      </c>
      <c r="AC66">
        <v>1.83460105289548E-4</v>
      </c>
      <c r="AD66">
        <v>5.0133485737908802E-3</v>
      </c>
      <c r="AE66">
        <v>7.30447064643265E-3</v>
      </c>
      <c r="AF66">
        <v>6.3974950386053595E-2</v>
      </c>
    </row>
    <row r="67" spans="1:32" x14ac:dyDescent="0.2">
      <c r="A67" t="s">
        <v>36</v>
      </c>
      <c r="B67" t="str" cm="1">
        <f t="array" ref="B67:F67">_xlfn.TEXTSPLIT(A67,"_")</f>
        <v>MVPRP</v>
      </c>
      <c r="C67" t="str">
        <v>C10</v>
      </c>
      <c r="D67" t="str">
        <v>P6</v>
      </c>
      <c r="E67" t="str">
        <v>V2</v>
      </c>
      <c r="F67" t="str">
        <v>I1.dat</v>
      </c>
      <c r="G67" t="s">
        <v>45</v>
      </c>
      <c r="H67" t="s">
        <v>29</v>
      </c>
      <c r="I67">
        <v>30459.9</v>
      </c>
      <c r="J67">
        <v>30459.9</v>
      </c>
      <c r="K67">
        <v>0</v>
      </c>
      <c r="L67">
        <v>3.5169930458068799</v>
      </c>
      <c r="M67" t="s">
        <v>30</v>
      </c>
      <c r="N67">
        <v>198</v>
      </c>
      <c r="P67">
        <v>6000</v>
      </c>
      <c r="Q67">
        <v>12690</v>
      </c>
      <c r="R67">
        <v>8163</v>
      </c>
      <c r="S67">
        <v>2706</v>
      </c>
      <c r="T67">
        <v>0</v>
      </c>
      <c r="U67">
        <v>0</v>
      </c>
      <c r="V67">
        <v>900.9</v>
      </c>
      <c r="W67">
        <v>10</v>
      </c>
      <c r="X67">
        <v>28</v>
      </c>
      <c r="Y67">
        <v>0</v>
      </c>
      <c r="Z67">
        <v>15</v>
      </c>
      <c r="AA67">
        <v>0</v>
      </c>
      <c r="AB67">
        <v>7.6505602622518699E-5</v>
      </c>
      <c r="AC67">
        <v>1.34951029068384E-4</v>
      </c>
      <c r="AD67">
        <v>4.3620136049058698E-3</v>
      </c>
      <c r="AE67">
        <v>5.6698555881912601E-3</v>
      </c>
      <c r="AF67">
        <v>2.6275726465078499E-2</v>
      </c>
    </row>
    <row r="68" spans="1:32" x14ac:dyDescent="0.2">
      <c r="A68" t="s">
        <v>37</v>
      </c>
      <c r="B68" t="str" cm="1">
        <f t="array" ref="B68:F68">_xlfn.TEXTSPLIT(A68,"_")</f>
        <v>MVPRP</v>
      </c>
      <c r="C68" t="str">
        <v>C15</v>
      </c>
      <c r="D68" t="str">
        <v>P6</v>
      </c>
      <c r="E68" t="str">
        <v>V2</v>
      </c>
      <c r="F68" t="str">
        <v>I1.dat</v>
      </c>
      <c r="G68" t="s">
        <v>45</v>
      </c>
      <c r="H68" t="s">
        <v>29</v>
      </c>
      <c r="I68">
        <v>43302.0999505</v>
      </c>
      <c r="J68">
        <v>43302.0999505</v>
      </c>
      <c r="K68">
        <v>0</v>
      </c>
      <c r="L68">
        <v>412.19820618629501</v>
      </c>
      <c r="M68" t="s">
        <v>30</v>
      </c>
      <c r="N68">
        <v>198</v>
      </c>
      <c r="P68">
        <v>6000</v>
      </c>
      <c r="Q68">
        <v>19800</v>
      </c>
      <c r="R68">
        <v>10877</v>
      </c>
      <c r="S68">
        <v>5022.9998775000004</v>
      </c>
      <c r="T68">
        <v>0</v>
      </c>
      <c r="U68">
        <v>0</v>
      </c>
      <c r="V68">
        <v>1602.1000730000001</v>
      </c>
      <c r="W68">
        <v>941</v>
      </c>
      <c r="X68">
        <v>384</v>
      </c>
      <c r="Y68">
        <v>0</v>
      </c>
      <c r="Z68">
        <v>51</v>
      </c>
      <c r="AA68">
        <v>0</v>
      </c>
      <c r="AB68">
        <v>5.7153888807249201E-5</v>
      </c>
      <c r="AC68">
        <v>1.3317397178912201E-4</v>
      </c>
      <c r="AD68">
        <v>3.7170301898772199E-3</v>
      </c>
      <c r="AE68">
        <v>5.4425991218508699E-3</v>
      </c>
      <c r="AF68">
        <v>2.26094053146687E-2</v>
      </c>
    </row>
    <row r="69" spans="1:32" x14ac:dyDescent="0.2">
      <c r="A69" t="s">
        <v>38</v>
      </c>
      <c r="B69" t="str" cm="1">
        <f t="array" ref="B69:F69">_xlfn.TEXTSPLIT(A69,"_")</f>
        <v>MVPRP</v>
      </c>
      <c r="C69" t="str">
        <v>C20</v>
      </c>
      <c r="D69" t="str">
        <v>P6</v>
      </c>
      <c r="E69" t="str">
        <v>V2</v>
      </c>
      <c r="F69" t="str">
        <v>I1.dat</v>
      </c>
      <c r="G69" t="s">
        <v>45</v>
      </c>
      <c r="H69" t="s">
        <v>29</v>
      </c>
      <c r="I69">
        <v>49276.699999999597</v>
      </c>
      <c r="J69">
        <v>49276.699999999597</v>
      </c>
      <c r="K69">
        <v>0</v>
      </c>
      <c r="L69">
        <v>31.435534238815301</v>
      </c>
      <c r="M69" t="s">
        <v>30</v>
      </c>
      <c r="N69">
        <v>283</v>
      </c>
      <c r="P69">
        <v>6000</v>
      </c>
      <c r="Q69">
        <v>23820</v>
      </c>
      <c r="R69">
        <v>12905</v>
      </c>
      <c r="S69">
        <v>4842</v>
      </c>
      <c r="T69">
        <v>0</v>
      </c>
      <c r="U69">
        <v>0</v>
      </c>
      <c r="V69">
        <v>1709.7</v>
      </c>
      <c r="W69">
        <v>55</v>
      </c>
      <c r="X69">
        <v>122</v>
      </c>
      <c r="Y69">
        <v>0</v>
      </c>
      <c r="Z69">
        <v>44</v>
      </c>
      <c r="AA69">
        <v>0</v>
      </c>
      <c r="AB69">
        <v>7.4914523533412404E-5</v>
      </c>
      <c r="AC69">
        <v>1.2620891012796501E-4</v>
      </c>
      <c r="AD69">
        <v>4.0971396262185602E-3</v>
      </c>
      <c r="AE69">
        <v>4.6219404771238202E-3</v>
      </c>
      <c r="AF69">
        <v>0.102562420708793</v>
      </c>
    </row>
    <row r="70" spans="1:32" x14ac:dyDescent="0.2">
      <c r="A70" t="s">
        <v>39</v>
      </c>
      <c r="B70" t="str" cm="1">
        <f t="array" ref="B70:F70">_xlfn.TEXTSPLIT(A70,"_")</f>
        <v>MVPRP</v>
      </c>
      <c r="C70" t="str">
        <v>C25</v>
      </c>
      <c r="D70" t="str">
        <v>P9</v>
      </c>
      <c r="E70" t="str">
        <v>V2</v>
      </c>
      <c r="F70" t="str">
        <v>I1.dat</v>
      </c>
      <c r="G70" t="s">
        <v>45</v>
      </c>
      <c r="H70" t="s">
        <v>35</v>
      </c>
      <c r="I70">
        <v>109558</v>
      </c>
      <c r="J70">
        <v>103732.71774413</v>
      </c>
      <c r="K70">
        <v>5.3170761202926603E-2</v>
      </c>
      <c r="L70">
        <v>3600.92423868179</v>
      </c>
      <c r="M70" t="s">
        <v>30</v>
      </c>
      <c r="N70">
        <v>283</v>
      </c>
      <c r="P70">
        <v>9000</v>
      </c>
      <c r="Q70">
        <v>59880</v>
      </c>
      <c r="R70">
        <v>22765</v>
      </c>
      <c r="S70">
        <v>10880</v>
      </c>
      <c r="T70">
        <v>0</v>
      </c>
      <c r="U70">
        <v>0</v>
      </c>
      <c r="V70">
        <v>7033</v>
      </c>
      <c r="W70">
        <v>1429</v>
      </c>
      <c r="X70">
        <v>3786</v>
      </c>
      <c r="Y70">
        <v>0</v>
      </c>
      <c r="Z70">
        <v>1047</v>
      </c>
      <c r="AA70">
        <v>0</v>
      </c>
      <c r="AB70">
        <v>1.0817832436126799E-4</v>
      </c>
      <c r="AC70">
        <v>2.23463917699989E-4</v>
      </c>
      <c r="AD70">
        <v>4.9236907706523697E-3</v>
      </c>
      <c r="AE70">
        <v>7.78373763427786E-3</v>
      </c>
      <c r="AF70">
        <v>0.280958838539211</v>
      </c>
    </row>
    <row r="71" spans="1:32" x14ac:dyDescent="0.2">
      <c r="A71" t="s">
        <v>40</v>
      </c>
      <c r="B71" t="str" cm="1">
        <f t="array" ref="B71:F71">_xlfn.TEXTSPLIT(A71,"_")</f>
        <v>MVPRP</v>
      </c>
      <c r="C71" t="str">
        <v>C25</v>
      </c>
      <c r="D71" t="str">
        <v>P3</v>
      </c>
      <c r="E71" t="str">
        <v>V2</v>
      </c>
      <c r="F71" t="str">
        <v>I1.dat</v>
      </c>
      <c r="G71" t="s">
        <v>45</v>
      </c>
      <c r="H71" t="s">
        <v>29</v>
      </c>
      <c r="I71">
        <v>27643.200000000001</v>
      </c>
      <c r="J71">
        <v>27643.200000000001</v>
      </c>
      <c r="K71">
        <v>0</v>
      </c>
      <c r="L71">
        <v>6.2862789630889901</v>
      </c>
      <c r="M71" t="s">
        <v>30</v>
      </c>
      <c r="N71">
        <v>283</v>
      </c>
      <c r="P71">
        <v>3000</v>
      </c>
      <c r="Q71">
        <v>14340</v>
      </c>
      <c r="R71">
        <v>5901</v>
      </c>
      <c r="S71">
        <v>2865</v>
      </c>
      <c r="T71">
        <v>0</v>
      </c>
      <c r="U71">
        <v>0</v>
      </c>
      <c r="V71">
        <v>1537.2</v>
      </c>
      <c r="W71">
        <v>44</v>
      </c>
      <c r="X71">
        <v>67</v>
      </c>
      <c r="Y71">
        <v>0</v>
      </c>
      <c r="Z71">
        <v>42</v>
      </c>
      <c r="AA71">
        <v>0</v>
      </c>
      <c r="AB71">
        <v>1.28350538365981E-4</v>
      </c>
      <c r="AC71">
        <v>2.9377346364860897E-4</v>
      </c>
      <c r="AD71">
        <v>7.4375766818806296E-3</v>
      </c>
      <c r="AE71">
        <v>1.15870197423908E-2</v>
      </c>
      <c r="AF71">
        <v>0.12595210756574399</v>
      </c>
    </row>
    <row r="72" spans="1:32" x14ac:dyDescent="0.2">
      <c r="A72" t="s">
        <v>41</v>
      </c>
      <c r="B72" t="str" cm="1">
        <f t="array" ref="B72:F72">_xlfn.TEXTSPLIT(A72,"_")</f>
        <v>MVPRP</v>
      </c>
      <c r="C72" t="str">
        <v>C25</v>
      </c>
      <c r="D72" t="str">
        <v>P6</v>
      </c>
      <c r="E72" t="str">
        <v>V2</v>
      </c>
      <c r="F72" t="str">
        <v>I1.dat</v>
      </c>
      <c r="G72" t="s">
        <v>45</v>
      </c>
      <c r="H72" t="s">
        <v>35</v>
      </c>
      <c r="I72">
        <v>59073.299991763299</v>
      </c>
      <c r="J72">
        <v>58978.179810781803</v>
      </c>
      <c r="K72">
        <v>1.61020598129323E-3</v>
      </c>
      <c r="L72">
        <v>3600.39277291298</v>
      </c>
      <c r="M72" t="s">
        <v>30</v>
      </c>
      <c r="N72">
        <v>283</v>
      </c>
      <c r="P72">
        <v>6000</v>
      </c>
      <c r="Q72">
        <v>28379.999995288599</v>
      </c>
      <c r="R72">
        <v>17067.000000993499</v>
      </c>
      <c r="S72">
        <v>5582.9999949868497</v>
      </c>
      <c r="T72">
        <v>0</v>
      </c>
      <c r="U72">
        <v>0</v>
      </c>
      <c r="V72">
        <v>2043.3000004943201</v>
      </c>
      <c r="W72">
        <v>769</v>
      </c>
      <c r="X72">
        <v>1018</v>
      </c>
      <c r="Y72">
        <v>0</v>
      </c>
      <c r="Z72">
        <v>114</v>
      </c>
      <c r="AA72">
        <v>0</v>
      </c>
      <c r="AB72">
        <v>7.9776931406664906E-5</v>
      </c>
      <c r="AC72">
        <v>1.8759518406077599E-4</v>
      </c>
      <c r="AD72">
        <v>4.0815343587135003E-3</v>
      </c>
      <c r="AE72">
        <v>7.2174761142745399E-3</v>
      </c>
      <c r="AF72">
        <v>7.5083649500854305E-2</v>
      </c>
    </row>
    <row r="73" spans="1:32" x14ac:dyDescent="0.2">
      <c r="A73" t="s">
        <v>42</v>
      </c>
      <c r="B73" t="str" cm="1">
        <f t="array" ref="B73:F73">_xlfn.TEXTSPLIT(A73,"_")</f>
        <v>MVPRP</v>
      </c>
      <c r="C73" t="str">
        <v>C20</v>
      </c>
      <c r="D73" t="str">
        <v>P9</v>
      </c>
      <c r="E73" t="str">
        <v>V2</v>
      </c>
      <c r="F73" t="str">
        <v>I1.dat</v>
      </c>
      <c r="G73" t="s">
        <v>45</v>
      </c>
      <c r="H73" t="s">
        <v>35</v>
      </c>
      <c r="I73">
        <v>86931.9</v>
      </c>
      <c r="J73">
        <v>85130.492023328494</v>
      </c>
      <c r="K73">
        <v>2.072205918278E-2</v>
      </c>
      <c r="L73">
        <v>3601.8374607563001</v>
      </c>
      <c r="M73" t="s">
        <v>30</v>
      </c>
      <c r="N73">
        <v>283</v>
      </c>
      <c r="P73">
        <v>9000</v>
      </c>
      <c r="Q73">
        <v>48120</v>
      </c>
      <c r="R73">
        <v>17933</v>
      </c>
      <c r="S73">
        <v>7368</v>
      </c>
      <c r="T73">
        <v>0</v>
      </c>
      <c r="U73">
        <v>0</v>
      </c>
      <c r="V73">
        <v>4510.8999999999996</v>
      </c>
      <c r="W73">
        <v>2294</v>
      </c>
      <c r="X73">
        <v>3275</v>
      </c>
      <c r="Y73">
        <v>0</v>
      </c>
      <c r="Z73">
        <v>935</v>
      </c>
      <c r="AA73">
        <v>0</v>
      </c>
      <c r="AB73">
        <v>9.22053795000727E-5</v>
      </c>
      <c r="AC73">
        <v>1.89867971607688E-4</v>
      </c>
      <c r="AD73">
        <v>4.2449239038208899E-3</v>
      </c>
      <c r="AE73">
        <v>6.8046348934732697E-3</v>
      </c>
      <c r="AF73">
        <v>0.141556371923686</v>
      </c>
    </row>
    <row r="74" spans="1:32" x14ac:dyDescent="0.2">
      <c r="A74" t="s">
        <v>27</v>
      </c>
      <c r="B74" t="str" cm="1">
        <f t="array" ref="B74:F74">_xlfn.TEXTSPLIT(A74,"_")</f>
        <v>MVPRP</v>
      </c>
      <c r="C74" t="str">
        <v>C20</v>
      </c>
      <c r="D74" t="str">
        <v>P3</v>
      </c>
      <c r="E74" t="str">
        <v>V2</v>
      </c>
      <c r="F74" t="str">
        <v>I1.dat</v>
      </c>
      <c r="G74" t="s">
        <v>44</v>
      </c>
      <c r="H74" t="s">
        <v>29</v>
      </c>
      <c r="I74">
        <v>23484.9</v>
      </c>
      <c r="J74">
        <v>23484.9</v>
      </c>
      <c r="K74">
        <v>0</v>
      </c>
      <c r="L74">
        <v>4.2927539348602304</v>
      </c>
      <c r="M74" t="s">
        <v>30</v>
      </c>
      <c r="N74">
        <v>283</v>
      </c>
      <c r="P74">
        <v>3000</v>
      </c>
      <c r="Q74">
        <v>12030</v>
      </c>
      <c r="R74">
        <v>4509</v>
      </c>
      <c r="S74">
        <v>2671</v>
      </c>
      <c r="T74">
        <v>0</v>
      </c>
      <c r="U74">
        <v>0</v>
      </c>
      <c r="V74">
        <v>1274.9000000000001</v>
      </c>
      <c r="W74">
        <v>15</v>
      </c>
      <c r="X74">
        <v>55</v>
      </c>
      <c r="Y74">
        <v>0</v>
      </c>
      <c r="Z74">
        <v>27</v>
      </c>
      <c r="AA74">
        <v>0</v>
      </c>
      <c r="AB74">
        <v>8.85804494222005E-5</v>
      </c>
      <c r="AC74">
        <v>2.0811121950867399E-4</v>
      </c>
      <c r="AD74">
        <v>6.10154750300389E-3</v>
      </c>
      <c r="AE74">
        <v>8.2251744240707508E-3</v>
      </c>
      <c r="AF74">
        <v>0.105196073651314</v>
      </c>
    </row>
    <row r="75" spans="1:32" x14ac:dyDescent="0.2">
      <c r="A75" t="s">
        <v>31</v>
      </c>
      <c r="B75" t="str" cm="1">
        <f t="array" ref="B75:F75">_xlfn.TEXTSPLIT(A75,"_")</f>
        <v>MVPRP</v>
      </c>
      <c r="C75" t="str">
        <v>C10</v>
      </c>
      <c r="D75" t="str">
        <v>P9</v>
      </c>
      <c r="E75" t="str">
        <v>V2</v>
      </c>
      <c r="F75" t="str">
        <v>I1.dat</v>
      </c>
      <c r="G75" t="s">
        <v>44</v>
      </c>
      <c r="H75" t="s">
        <v>29</v>
      </c>
      <c r="I75">
        <v>52882.899877381104</v>
      </c>
      <c r="J75">
        <v>52882.899877381104</v>
      </c>
      <c r="K75">
        <v>0</v>
      </c>
      <c r="L75">
        <v>54.109435558319099</v>
      </c>
      <c r="M75" t="s">
        <v>30</v>
      </c>
      <c r="N75">
        <v>198</v>
      </c>
      <c r="P75">
        <v>9000</v>
      </c>
      <c r="Q75">
        <v>26370</v>
      </c>
      <c r="R75">
        <v>10336.0000142599</v>
      </c>
      <c r="S75">
        <v>5222.9999423885502</v>
      </c>
      <c r="T75">
        <v>0</v>
      </c>
      <c r="U75">
        <v>0</v>
      </c>
      <c r="V75">
        <v>1953.89991505694</v>
      </c>
      <c r="W75">
        <v>94</v>
      </c>
      <c r="X75">
        <v>137</v>
      </c>
      <c r="Y75">
        <v>0</v>
      </c>
      <c r="Z75">
        <v>24</v>
      </c>
      <c r="AA75">
        <v>0</v>
      </c>
      <c r="AB75">
        <v>4.4383018122993501E-5</v>
      </c>
      <c r="AC75">
        <v>1.0430138297532299E-4</v>
      </c>
      <c r="AD75">
        <v>3.4984350204467799E-3</v>
      </c>
      <c r="AE75">
        <v>5.1310543494154596E-3</v>
      </c>
      <c r="AF75">
        <v>6.0155612544009598E-2</v>
      </c>
    </row>
    <row r="76" spans="1:32" x14ac:dyDescent="0.2">
      <c r="A76" t="s">
        <v>32</v>
      </c>
      <c r="B76" t="str" cm="1">
        <f t="array" ref="B76:F76">_xlfn.TEXTSPLIT(A76,"_")</f>
        <v>MVPRP</v>
      </c>
      <c r="C76" t="str">
        <v>C15</v>
      </c>
      <c r="D76" t="str">
        <v>P3</v>
      </c>
      <c r="E76" t="str">
        <v>V2</v>
      </c>
      <c r="F76" t="str">
        <v>I1.dat</v>
      </c>
      <c r="G76" t="s">
        <v>44</v>
      </c>
      <c r="H76" t="s">
        <v>29</v>
      </c>
      <c r="I76">
        <v>20511.5</v>
      </c>
      <c r="J76">
        <v>20511.5</v>
      </c>
      <c r="K76">
        <v>0</v>
      </c>
      <c r="L76">
        <v>6.8995060920715297</v>
      </c>
      <c r="M76" t="s">
        <v>30</v>
      </c>
      <c r="N76">
        <v>198</v>
      </c>
      <c r="P76">
        <v>3000</v>
      </c>
      <c r="Q76">
        <v>9960</v>
      </c>
      <c r="R76">
        <v>3896</v>
      </c>
      <c r="S76">
        <v>2762</v>
      </c>
      <c r="T76">
        <v>0</v>
      </c>
      <c r="U76">
        <v>0</v>
      </c>
      <c r="V76">
        <v>893.5</v>
      </c>
      <c r="W76">
        <v>9</v>
      </c>
      <c r="X76">
        <v>114</v>
      </c>
      <c r="Y76">
        <v>0</v>
      </c>
      <c r="Z76">
        <v>28</v>
      </c>
      <c r="AA76">
        <v>0</v>
      </c>
      <c r="AB76">
        <v>8.1665721940405594E-5</v>
      </c>
      <c r="AC76">
        <v>1.6259214731568101E-4</v>
      </c>
      <c r="AD76">
        <v>6.0283342997233102E-3</v>
      </c>
      <c r="AE76">
        <v>8.0320311981497503E-3</v>
      </c>
      <c r="AF76">
        <v>5.7550631071391897E-2</v>
      </c>
    </row>
    <row r="77" spans="1:32" x14ac:dyDescent="0.2">
      <c r="A77" t="s">
        <v>33</v>
      </c>
      <c r="B77" t="str" cm="1">
        <f t="array" ref="B77:F77">_xlfn.TEXTSPLIT(A77,"_")</f>
        <v>MVPRP</v>
      </c>
      <c r="C77" t="str">
        <v>C10</v>
      </c>
      <c r="D77" t="str">
        <v>P3</v>
      </c>
      <c r="E77" t="str">
        <v>V2</v>
      </c>
      <c r="F77" t="str">
        <v>I1.dat</v>
      </c>
      <c r="G77" t="s">
        <v>44</v>
      </c>
      <c r="H77" t="s">
        <v>29</v>
      </c>
      <c r="I77">
        <v>14480.9</v>
      </c>
      <c r="J77">
        <v>14480.9</v>
      </c>
      <c r="K77">
        <v>0</v>
      </c>
      <c r="L77">
        <v>0.85931992530822798</v>
      </c>
      <c r="M77" t="s">
        <v>30</v>
      </c>
      <c r="N77">
        <v>198</v>
      </c>
      <c r="P77">
        <v>3000</v>
      </c>
      <c r="Q77">
        <v>6390</v>
      </c>
      <c r="R77">
        <v>2999</v>
      </c>
      <c r="S77">
        <v>1535</v>
      </c>
      <c r="T77">
        <v>0</v>
      </c>
      <c r="U77">
        <v>0</v>
      </c>
      <c r="V77">
        <v>556.9</v>
      </c>
      <c r="W77">
        <v>4</v>
      </c>
      <c r="X77">
        <v>8</v>
      </c>
      <c r="Y77">
        <v>0</v>
      </c>
      <c r="Z77">
        <v>13</v>
      </c>
      <c r="AA77">
        <v>0</v>
      </c>
      <c r="AB77">
        <v>7.1769668942406103E-5</v>
      </c>
      <c r="AC77">
        <v>1.6559163729349801E-4</v>
      </c>
      <c r="AD77">
        <v>5.28455461774554E-3</v>
      </c>
      <c r="AE77">
        <v>6.9639046986897796E-3</v>
      </c>
      <c r="AF77">
        <v>2.9034304618835501E-2</v>
      </c>
    </row>
    <row r="78" spans="1:32" x14ac:dyDescent="0.2">
      <c r="A78" t="s">
        <v>34</v>
      </c>
      <c r="B78" t="str" cm="1">
        <f t="array" ref="B78:F78">_xlfn.TEXTSPLIT(A78,"_")</f>
        <v>MVPRP</v>
      </c>
      <c r="C78" t="str">
        <v>C15</v>
      </c>
      <c r="D78" t="str">
        <v>P9</v>
      </c>
      <c r="E78" t="str">
        <v>V2</v>
      </c>
      <c r="F78" t="str">
        <v>I1.dat</v>
      </c>
      <c r="G78" t="s">
        <v>44</v>
      </c>
      <c r="H78" t="s">
        <v>35</v>
      </c>
      <c r="I78">
        <v>77960</v>
      </c>
      <c r="J78">
        <v>75849.186864563904</v>
      </c>
      <c r="K78">
        <v>2.7075591783429401E-2</v>
      </c>
      <c r="L78">
        <v>3600.3418192863501</v>
      </c>
      <c r="M78" t="s">
        <v>30</v>
      </c>
      <c r="N78">
        <v>198</v>
      </c>
      <c r="P78">
        <v>9000</v>
      </c>
      <c r="Q78">
        <v>40950</v>
      </c>
      <c r="R78">
        <v>15679</v>
      </c>
      <c r="S78">
        <v>8480</v>
      </c>
      <c r="T78">
        <v>0</v>
      </c>
      <c r="U78">
        <v>0</v>
      </c>
      <c r="V78">
        <v>3851</v>
      </c>
      <c r="W78">
        <v>1647</v>
      </c>
      <c r="X78">
        <v>3104</v>
      </c>
      <c r="Y78">
        <v>0</v>
      </c>
      <c r="Z78">
        <v>256</v>
      </c>
      <c r="AA78">
        <v>0</v>
      </c>
      <c r="AB78">
        <v>7.8302986232548302E-5</v>
      </c>
      <c r="AC78">
        <v>1.8255186583680599E-4</v>
      </c>
      <c r="AD78">
        <v>4.7680002238760502E-3</v>
      </c>
      <c r="AE78">
        <v>7.5960492093166999E-3</v>
      </c>
      <c r="AF78">
        <v>0.107949912326487</v>
      </c>
    </row>
    <row r="79" spans="1:32" x14ac:dyDescent="0.2">
      <c r="A79" t="s">
        <v>36</v>
      </c>
      <c r="B79" t="str" cm="1">
        <f t="array" ref="B79:F79">_xlfn.TEXTSPLIT(A79,"_")</f>
        <v>MVPRP</v>
      </c>
      <c r="C79" t="str">
        <v>C10</v>
      </c>
      <c r="D79" t="str">
        <v>P6</v>
      </c>
      <c r="E79" t="str">
        <v>V2</v>
      </c>
      <c r="F79" t="str">
        <v>I1.dat</v>
      </c>
      <c r="G79" t="s">
        <v>44</v>
      </c>
      <c r="H79" t="s">
        <v>29</v>
      </c>
      <c r="I79">
        <v>30459.9</v>
      </c>
      <c r="J79">
        <v>30459.9</v>
      </c>
      <c r="K79">
        <v>0</v>
      </c>
      <c r="L79">
        <v>3.59976029396057</v>
      </c>
      <c r="M79" t="s">
        <v>30</v>
      </c>
      <c r="N79">
        <v>198</v>
      </c>
      <c r="P79">
        <v>6000</v>
      </c>
      <c r="Q79">
        <v>12690</v>
      </c>
      <c r="R79">
        <v>8163</v>
      </c>
      <c r="S79">
        <v>2706</v>
      </c>
      <c r="T79">
        <v>0</v>
      </c>
      <c r="U79">
        <v>0</v>
      </c>
      <c r="V79">
        <v>900.9</v>
      </c>
      <c r="W79">
        <v>12</v>
      </c>
      <c r="X79">
        <v>26</v>
      </c>
      <c r="Y79">
        <v>0</v>
      </c>
      <c r="Z79">
        <v>12</v>
      </c>
      <c r="AA79">
        <v>0</v>
      </c>
      <c r="AB79">
        <v>6.8838156542731706E-5</v>
      </c>
      <c r="AC79">
        <v>1.5872612334134301E-4</v>
      </c>
      <c r="AD79">
        <v>4.21223640441895E-3</v>
      </c>
      <c r="AE79">
        <v>6.2547072216316496E-3</v>
      </c>
      <c r="AF79">
        <v>6.01080145154681E-2</v>
      </c>
    </row>
    <row r="80" spans="1:32" x14ac:dyDescent="0.2">
      <c r="A80" t="s">
        <v>37</v>
      </c>
      <c r="B80" t="str" cm="1">
        <f t="array" ref="B80:F80">_xlfn.TEXTSPLIT(A80,"_")</f>
        <v>MVPRP</v>
      </c>
      <c r="C80" t="str">
        <v>C15</v>
      </c>
      <c r="D80" t="str">
        <v>P6</v>
      </c>
      <c r="E80" t="str">
        <v>V2</v>
      </c>
      <c r="F80" t="str">
        <v>I1.dat</v>
      </c>
      <c r="G80" t="s">
        <v>44</v>
      </c>
      <c r="H80" t="s">
        <v>29</v>
      </c>
      <c r="I80">
        <v>43302.1</v>
      </c>
      <c r="J80">
        <v>43302.1</v>
      </c>
      <c r="K80">
        <v>0</v>
      </c>
      <c r="L80">
        <v>285.23405027389498</v>
      </c>
      <c r="M80" t="s">
        <v>30</v>
      </c>
      <c r="N80">
        <v>198</v>
      </c>
      <c r="P80">
        <v>6000</v>
      </c>
      <c r="Q80">
        <v>19800</v>
      </c>
      <c r="R80">
        <v>10877</v>
      </c>
      <c r="S80">
        <v>5023</v>
      </c>
      <c r="T80">
        <v>0</v>
      </c>
      <c r="U80">
        <v>0</v>
      </c>
      <c r="V80">
        <v>1602.1</v>
      </c>
      <c r="W80">
        <v>263</v>
      </c>
      <c r="X80">
        <v>330</v>
      </c>
      <c r="Y80">
        <v>0</v>
      </c>
      <c r="Z80">
        <v>49</v>
      </c>
      <c r="AA80">
        <v>0</v>
      </c>
      <c r="AB80">
        <v>6.6224564897253196E-5</v>
      </c>
      <c r="AC80">
        <v>1.4053192736892099E-4</v>
      </c>
      <c r="AD80">
        <v>3.83063205781596E-3</v>
      </c>
      <c r="AE80">
        <v>5.7302975353702599E-3</v>
      </c>
      <c r="AF80">
        <v>5.1540712053461599E-2</v>
      </c>
    </row>
    <row r="81" spans="1:32" x14ac:dyDescent="0.2">
      <c r="A81" t="s">
        <v>38</v>
      </c>
      <c r="B81" t="str" cm="1">
        <f t="array" ref="B81:F81">_xlfn.TEXTSPLIT(A81,"_")</f>
        <v>MVPRP</v>
      </c>
      <c r="C81" t="str">
        <v>C20</v>
      </c>
      <c r="D81" t="str">
        <v>P6</v>
      </c>
      <c r="E81" t="str">
        <v>V2</v>
      </c>
      <c r="F81" t="str">
        <v>I1.dat</v>
      </c>
      <c r="G81" t="s">
        <v>44</v>
      </c>
      <c r="H81" t="s">
        <v>29</v>
      </c>
      <c r="I81">
        <v>49276.7</v>
      </c>
      <c r="J81">
        <v>49276.7</v>
      </c>
      <c r="K81">
        <v>0</v>
      </c>
      <c r="L81">
        <v>46.991875171661398</v>
      </c>
      <c r="M81" t="s">
        <v>30</v>
      </c>
      <c r="N81">
        <v>283</v>
      </c>
      <c r="P81">
        <v>6000</v>
      </c>
      <c r="Q81">
        <v>23820</v>
      </c>
      <c r="R81">
        <v>12905</v>
      </c>
      <c r="S81">
        <v>4842</v>
      </c>
      <c r="T81">
        <v>0</v>
      </c>
      <c r="U81">
        <v>0</v>
      </c>
      <c r="V81">
        <v>1709.7</v>
      </c>
      <c r="W81">
        <v>40</v>
      </c>
      <c r="X81">
        <v>190</v>
      </c>
      <c r="Y81">
        <v>0</v>
      </c>
      <c r="Z81">
        <v>55</v>
      </c>
      <c r="AA81">
        <v>0</v>
      </c>
      <c r="AB81">
        <v>6.7607247720735802E-5</v>
      </c>
      <c r="AC81">
        <v>1.4373906161807001E-4</v>
      </c>
      <c r="AD81">
        <v>3.85283447369781E-3</v>
      </c>
      <c r="AE81">
        <v>5.6074282835107602E-3</v>
      </c>
      <c r="AF81">
        <v>0.17287336758204899</v>
      </c>
    </row>
    <row r="82" spans="1:32" x14ac:dyDescent="0.2">
      <c r="A82" t="s">
        <v>39</v>
      </c>
      <c r="B82" t="str" cm="1">
        <f t="array" ref="B82:F82">_xlfn.TEXTSPLIT(A82,"_")</f>
        <v>MVPRP</v>
      </c>
      <c r="C82" t="str">
        <v>C25</v>
      </c>
      <c r="D82" t="str">
        <v>P9</v>
      </c>
      <c r="E82" t="str">
        <v>V2</v>
      </c>
      <c r="F82" t="str">
        <v>I1.dat</v>
      </c>
      <c r="G82" t="s">
        <v>44</v>
      </c>
      <c r="H82" t="s">
        <v>35</v>
      </c>
      <c r="I82">
        <v>108574.7</v>
      </c>
      <c r="J82">
        <v>103716.242404925</v>
      </c>
      <c r="K82">
        <v>4.4747603217649701E-2</v>
      </c>
      <c r="L82">
        <v>3601.1329326629598</v>
      </c>
      <c r="M82" t="s">
        <v>30</v>
      </c>
      <c r="N82">
        <v>283</v>
      </c>
      <c r="P82">
        <v>9000</v>
      </c>
      <c r="Q82">
        <v>59880</v>
      </c>
      <c r="R82">
        <v>23208</v>
      </c>
      <c r="S82">
        <v>10847</v>
      </c>
      <c r="T82">
        <v>0</v>
      </c>
      <c r="U82">
        <v>0</v>
      </c>
      <c r="V82">
        <v>5639.7</v>
      </c>
      <c r="W82">
        <v>965</v>
      </c>
      <c r="X82">
        <v>4267</v>
      </c>
      <c r="Y82">
        <v>0</v>
      </c>
      <c r="Z82">
        <v>1212</v>
      </c>
      <c r="AA82">
        <v>0</v>
      </c>
      <c r="AB82">
        <v>1.03626015405666E-4</v>
      </c>
      <c r="AC82">
        <v>2.1167985047138301E-4</v>
      </c>
      <c r="AD82">
        <v>4.7004539268863804E-3</v>
      </c>
      <c r="AE82">
        <v>7.2808763194705398E-3</v>
      </c>
      <c r="AF82">
        <v>0.40198851718033501</v>
      </c>
    </row>
    <row r="83" spans="1:32" x14ac:dyDescent="0.2">
      <c r="A83" t="s">
        <v>40</v>
      </c>
      <c r="B83" t="str" cm="1">
        <f t="array" ref="B83:F83">_xlfn.TEXTSPLIT(A83,"_")</f>
        <v>MVPRP</v>
      </c>
      <c r="C83" t="str">
        <v>C25</v>
      </c>
      <c r="D83" t="str">
        <v>P3</v>
      </c>
      <c r="E83" t="str">
        <v>V2</v>
      </c>
      <c r="F83" t="str">
        <v>I1.dat</v>
      </c>
      <c r="G83" t="s">
        <v>44</v>
      </c>
      <c r="H83" t="s">
        <v>29</v>
      </c>
      <c r="I83">
        <v>27643.200000000001</v>
      </c>
      <c r="J83">
        <v>27643.200000000001</v>
      </c>
      <c r="K83">
        <v>0</v>
      </c>
      <c r="L83">
        <v>8.4752888679504395</v>
      </c>
      <c r="M83" t="s">
        <v>30</v>
      </c>
      <c r="N83">
        <v>283</v>
      </c>
      <c r="P83">
        <v>3000</v>
      </c>
      <c r="Q83">
        <v>14340</v>
      </c>
      <c r="R83">
        <v>5901</v>
      </c>
      <c r="S83">
        <v>2865</v>
      </c>
      <c r="T83">
        <v>0</v>
      </c>
      <c r="U83">
        <v>0</v>
      </c>
      <c r="V83">
        <v>1537.2</v>
      </c>
      <c r="W83">
        <v>48</v>
      </c>
      <c r="X83">
        <v>49</v>
      </c>
      <c r="Y83">
        <v>0</v>
      </c>
      <c r="Z83">
        <v>42</v>
      </c>
      <c r="AA83">
        <v>0</v>
      </c>
      <c r="AB83">
        <v>1.6698837280273399E-4</v>
      </c>
      <c r="AC83">
        <v>2.3453541291065699E-4</v>
      </c>
      <c r="AD83">
        <v>8.0807105354640807E-3</v>
      </c>
      <c r="AE83">
        <v>9.0519749657225201E-3</v>
      </c>
      <c r="AF83">
        <v>0.297286227345467</v>
      </c>
    </row>
    <row r="84" spans="1:32" x14ac:dyDescent="0.2">
      <c r="A84" t="s">
        <v>41</v>
      </c>
      <c r="B84" t="str" cm="1">
        <f t="array" ref="B84:F84">_xlfn.TEXTSPLIT(A84,"_")</f>
        <v>MVPRP</v>
      </c>
      <c r="C84" t="str">
        <v>C25</v>
      </c>
      <c r="D84" t="str">
        <v>P6</v>
      </c>
      <c r="E84" t="str">
        <v>V2</v>
      </c>
      <c r="F84" t="str">
        <v>I1.dat</v>
      </c>
      <c r="G84" t="s">
        <v>44</v>
      </c>
      <c r="H84" t="s">
        <v>35</v>
      </c>
      <c r="I84">
        <v>59073.3</v>
      </c>
      <c r="J84">
        <v>58955.107366672702</v>
      </c>
      <c r="K84">
        <v>2.00077925775737E-3</v>
      </c>
      <c r="L84">
        <v>3601.8189318180098</v>
      </c>
      <c r="M84" t="s">
        <v>30</v>
      </c>
      <c r="N84">
        <v>283</v>
      </c>
      <c r="P84">
        <v>6000</v>
      </c>
      <c r="Q84">
        <v>28380</v>
      </c>
      <c r="R84">
        <v>17067</v>
      </c>
      <c r="S84">
        <v>5583</v>
      </c>
      <c r="T84">
        <v>0</v>
      </c>
      <c r="U84">
        <v>0</v>
      </c>
      <c r="V84">
        <v>2043.3</v>
      </c>
      <c r="W84">
        <v>441</v>
      </c>
      <c r="X84">
        <v>1052</v>
      </c>
      <c r="Y84">
        <v>0</v>
      </c>
      <c r="Z84">
        <v>89</v>
      </c>
      <c r="AA84">
        <v>0</v>
      </c>
      <c r="AB84">
        <v>8.2111636209684504E-5</v>
      </c>
      <c r="AC84">
        <v>1.8665942402393599E-4</v>
      </c>
      <c r="AD84">
        <v>3.9741029870796803E-3</v>
      </c>
      <c r="AE84">
        <v>6.9193786168379101E-3</v>
      </c>
      <c r="AF84">
        <v>0.15357339773449399</v>
      </c>
    </row>
    <row r="85" spans="1:32" x14ac:dyDescent="0.2">
      <c r="A85" t="s">
        <v>42</v>
      </c>
      <c r="B85" t="str" cm="1">
        <f t="array" ref="B85:F85">_xlfn.TEXTSPLIT(A85,"_")</f>
        <v>MVPRP</v>
      </c>
      <c r="C85" t="str">
        <v>C20</v>
      </c>
      <c r="D85" t="str">
        <v>P9</v>
      </c>
      <c r="E85" t="str">
        <v>V2</v>
      </c>
      <c r="F85" t="str">
        <v>I1.dat</v>
      </c>
      <c r="G85" t="s">
        <v>44</v>
      </c>
      <c r="H85" t="s">
        <v>35</v>
      </c>
      <c r="I85">
        <v>86864.399261354396</v>
      </c>
      <c r="J85">
        <v>85166.920189371696</v>
      </c>
      <c r="K85">
        <v>1.95417119834728E-2</v>
      </c>
      <c r="L85">
        <v>3602.38801884651</v>
      </c>
      <c r="M85" t="s">
        <v>30</v>
      </c>
      <c r="N85">
        <v>283</v>
      </c>
      <c r="P85">
        <v>9000</v>
      </c>
      <c r="Q85">
        <v>48120</v>
      </c>
      <c r="R85">
        <v>17441</v>
      </c>
      <c r="S85">
        <v>7622.00015775869</v>
      </c>
      <c r="T85">
        <v>0</v>
      </c>
      <c r="U85">
        <v>0</v>
      </c>
      <c r="V85">
        <v>4681.3991035957597</v>
      </c>
      <c r="W85">
        <v>1750</v>
      </c>
      <c r="X85">
        <v>3268</v>
      </c>
      <c r="Y85">
        <v>0</v>
      </c>
      <c r="Z85">
        <v>566</v>
      </c>
      <c r="AA85">
        <v>0</v>
      </c>
      <c r="AB85">
        <v>7.5505672036566197E-5</v>
      </c>
      <c r="AC85">
        <v>1.6376992429099999E-4</v>
      </c>
      <c r="AD85">
        <v>3.7809561530591199E-3</v>
      </c>
      <c r="AE85">
        <v>6.4511622997154303E-3</v>
      </c>
      <c r="AF85">
        <v>0.14153862589239699</v>
      </c>
    </row>
    <row r="86" spans="1:32" x14ac:dyDescent="0.2">
      <c r="A86" t="s">
        <v>27</v>
      </c>
      <c r="B86" t="str" cm="1">
        <f t="array" ref="B86:F86">_xlfn.TEXTSPLIT(A86,"_")</f>
        <v>MVPRP</v>
      </c>
      <c r="C86" t="str">
        <v>C20</v>
      </c>
      <c r="D86" t="str">
        <v>P3</v>
      </c>
      <c r="E86" t="str">
        <v>V2</v>
      </c>
      <c r="F86" t="str">
        <v>I1.dat</v>
      </c>
      <c r="G86" t="s">
        <v>44</v>
      </c>
      <c r="H86" t="s">
        <v>29</v>
      </c>
      <c r="I86">
        <v>23484.9</v>
      </c>
      <c r="J86">
        <v>23483.214052838699</v>
      </c>
      <c r="K86">
        <v>7.1788560363804699E-5</v>
      </c>
      <c r="L86">
        <v>2.83452248573303</v>
      </c>
      <c r="M86" t="s">
        <v>30</v>
      </c>
      <c r="N86">
        <v>283</v>
      </c>
      <c r="P86">
        <v>3000</v>
      </c>
      <c r="Q86">
        <v>12030</v>
      </c>
      <c r="R86">
        <v>4509</v>
      </c>
      <c r="S86">
        <v>2671</v>
      </c>
      <c r="T86">
        <v>0</v>
      </c>
      <c r="U86">
        <v>0</v>
      </c>
      <c r="V86">
        <v>1274.9000000000001</v>
      </c>
      <c r="W86">
        <v>10</v>
      </c>
      <c r="X86">
        <v>14</v>
      </c>
      <c r="Y86">
        <v>0</v>
      </c>
      <c r="Z86">
        <v>25</v>
      </c>
      <c r="AA86">
        <v>0</v>
      </c>
      <c r="AB86">
        <v>1.35854438499168E-4</v>
      </c>
      <c r="AC86">
        <v>3.9026472303602399E-4</v>
      </c>
      <c r="AD86">
        <v>7.6264256522769001E-3</v>
      </c>
      <c r="AE86">
        <v>1.25923016492058E-2</v>
      </c>
      <c r="AF86">
        <v>0.12652343511581399</v>
      </c>
    </row>
    <row r="87" spans="1:32" x14ac:dyDescent="0.2">
      <c r="A87" t="s">
        <v>31</v>
      </c>
      <c r="B87" t="str" cm="1">
        <f t="array" ref="B87:F87">_xlfn.TEXTSPLIT(A87,"_")</f>
        <v>MVPRP</v>
      </c>
      <c r="C87" t="str">
        <v>C10</v>
      </c>
      <c r="D87" t="str">
        <v>P9</v>
      </c>
      <c r="E87" t="str">
        <v>V2</v>
      </c>
      <c r="F87" t="str">
        <v>I1.dat</v>
      </c>
      <c r="G87" t="s">
        <v>44</v>
      </c>
      <c r="H87" t="s">
        <v>29</v>
      </c>
      <c r="I87">
        <v>52882.899306082698</v>
      </c>
      <c r="J87">
        <v>52882.899306082698</v>
      </c>
      <c r="K87">
        <v>0</v>
      </c>
      <c r="L87">
        <v>63.8819417953491</v>
      </c>
      <c r="M87" t="s">
        <v>30</v>
      </c>
      <c r="N87">
        <v>198</v>
      </c>
      <c r="P87">
        <v>9000</v>
      </c>
      <c r="Q87">
        <v>26370</v>
      </c>
      <c r="R87">
        <v>10336</v>
      </c>
      <c r="S87">
        <v>5222.9995103232604</v>
      </c>
      <c r="T87">
        <v>0</v>
      </c>
      <c r="U87">
        <v>0</v>
      </c>
      <c r="V87">
        <v>1953.89979575947</v>
      </c>
      <c r="W87">
        <v>95</v>
      </c>
      <c r="X87">
        <v>115</v>
      </c>
      <c r="Y87">
        <v>0</v>
      </c>
      <c r="Z87">
        <v>26</v>
      </c>
      <c r="AA87">
        <v>0</v>
      </c>
      <c r="AB87">
        <v>5.1220784387314799E-5</v>
      </c>
      <c r="AC87">
        <v>1.2493988858210101E-4</v>
      </c>
      <c r="AD87">
        <v>3.84176251024989E-3</v>
      </c>
      <c r="AE87">
        <v>5.7741926215472E-3</v>
      </c>
      <c r="AF87">
        <v>6.1695728409156401E-2</v>
      </c>
    </row>
    <row r="88" spans="1:32" x14ac:dyDescent="0.2">
      <c r="A88" t="s">
        <v>32</v>
      </c>
      <c r="B88" t="str" cm="1">
        <f t="array" ref="B88:F88">_xlfn.TEXTSPLIT(A88,"_")</f>
        <v>MVPRP</v>
      </c>
      <c r="C88" t="str">
        <v>C15</v>
      </c>
      <c r="D88" t="str">
        <v>P3</v>
      </c>
      <c r="E88" t="str">
        <v>V2</v>
      </c>
      <c r="F88" t="str">
        <v>I1.dat</v>
      </c>
      <c r="G88" t="s">
        <v>44</v>
      </c>
      <c r="H88" t="s">
        <v>29</v>
      </c>
      <c r="I88">
        <v>20511.5</v>
      </c>
      <c r="J88">
        <v>20511.5</v>
      </c>
      <c r="K88">
        <v>0</v>
      </c>
      <c r="L88">
        <v>4.6363651752471897</v>
      </c>
      <c r="M88" t="s">
        <v>30</v>
      </c>
      <c r="N88">
        <v>198</v>
      </c>
      <c r="P88">
        <v>3000</v>
      </c>
      <c r="Q88">
        <v>9960</v>
      </c>
      <c r="R88">
        <v>3896</v>
      </c>
      <c r="S88">
        <v>2762</v>
      </c>
      <c r="T88">
        <v>0</v>
      </c>
      <c r="U88">
        <v>0</v>
      </c>
      <c r="V88">
        <v>893.5</v>
      </c>
      <c r="W88">
        <v>7</v>
      </c>
      <c r="X88">
        <v>50</v>
      </c>
      <c r="Y88">
        <v>0</v>
      </c>
      <c r="Z88">
        <v>21</v>
      </c>
      <c r="AA88">
        <v>0</v>
      </c>
      <c r="AB88">
        <v>1.2116347040448899E-4</v>
      </c>
      <c r="AC88">
        <v>2.34221418698629E-4</v>
      </c>
      <c r="AD88">
        <v>7.3142495266226796E-3</v>
      </c>
      <c r="AE88">
        <v>9.9622636868808793E-3</v>
      </c>
      <c r="AF88">
        <v>6.7185839017232296E-2</v>
      </c>
    </row>
    <row r="89" spans="1:32" x14ac:dyDescent="0.2">
      <c r="A89" t="s">
        <v>33</v>
      </c>
      <c r="B89" t="str" cm="1">
        <f t="array" ref="B89:F89">_xlfn.TEXTSPLIT(A89,"_")</f>
        <v>MVPRP</v>
      </c>
      <c r="C89" t="str">
        <v>C10</v>
      </c>
      <c r="D89" t="str">
        <v>P3</v>
      </c>
      <c r="E89" t="str">
        <v>V2</v>
      </c>
      <c r="F89" t="str">
        <v>I1.dat</v>
      </c>
      <c r="G89" t="s">
        <v>44</v>
      </c>
      <c r="H89" t="s">
        <v>29</v>
      </c>
      <c r="I89">
        <v>14480.9</v>
      </c>
      <c r="J89">
        <v>14480.9</v>
      </c>
      <c r="K89">
        <v>0</v>
      </c>
      <c r="L89">
        <v>0.84489488601684604</v>
      </c>
      <c r="M89" t="s">
        <v>30</v>
      </c>
      <c r="N89">
        <v>198</v>
      </c>
      <c r="P89">
        <v>3000</v>
      </c>
      <c r="Q89">
        <v>6390</v>
      </c>
      <c r="R89">
        <v>2999</v>
      </c>
      <c r="S89">
        <v>1535</v>
      </c>
      <c r="T89">
        <v>0</v>
      </c>
      <c r="U89">
        <v>0</v>
      </c>
      <c r="V89">
        <v>556.9</v>
      </c>
      <c r="W89">
        <v>4</v>
      </c>
      <c r="X89">
        <v>5</v>
      </c>
      <c r="Y89">
        <v>0</v>
      </c>
      <c r="Z89">
        <v>11</v>
      </c>
      <c r="AA89">
        <v>0</v>
      </c>
      <c r="AB89">
        <v>8.3896848890516499E-5</v>
      </c>
      <c r="AC89">
        <v>2.0227167341444201E-4</v>
      </c>
      <c r="AD89">
        <v>5.4490963617960598E-3</v>
      </c>
      <c r="AE89">
        <v>7.5895388921101902E-3</v>
      </c>
      <c r="AF89">
        <v>3.6694394217597098E-2</v>
      </c>
    </row>
    <row r="90" spans="1:32" x14ac:dyDescent="0.2">
      <c r="A90" t="s">
        <v>34</v>
      </c>
      <c r="B90" t="str" cm="1">
        <f t="array" ref="B90:F90">_xlfn.TEXTSPLIT(A90,"_")</f>
        <v>MVPRP</v>
      </c>
      <c r="C90" t="str">
        <v>C15</v>
      </c>
      <c r="D90" t="str">
        <v>P9</v>
      </c>
      <c r="E90" t="str">
        <v>V2</v>
      </c>
      <c r="F90" t="str">
        <v>I1.dat</v>
      </c>
      <c r="G90" t="s">
        <v>44</v>
      </c>
      <c r="H90" t="s">
        <v>35</v>
      </c>
      <c r="I90">
        <v>77854.899999000001</v>
      </c>
      <c r="J90">
        <v>75795.093973316907</v>
      </c>
      <c r="K90">
        <v>2.6456986338811699E-2</v>
      </c>
      <c r="L90">
        <v>3600.7283608913399</v>
      </c>
      <c r="M90" t="s">
        <v>30</v>
      </c>
      <c r="N90">
        <v>198</v>
      </c>
      <c r="P90">
        <v>9000</v>
      </c>
      <c r="Q90">
        <v>40950</v>
      </c>
      <c r="R90">
        <v>15182</v>
      </c>
      <c r="S90">
        <v>8603</v>
      </c>
      <c r="T90">
        <v>0</v>
      </c>
      <c r="U90">
        <v>0</v>
      </c>
      <c r="V90">
        <v>4119.8999990000002</v>
      </c>
      <c r="W90">
        <v>1485</v>
      </c>
      <c r="X90">
        <v>2797</v>
      </c>
      <c r="Y90">
        <v>0</v>
      </c>
      <c r="Z90">
        <v>231</v>
      </c>
      <c r="AA90">
        <v>0</v>
      </c>
      <c r="AB90">
        <v>7.8869170664715304E-5</v>
      </c>
      <c r="AC90">
        <v>1.9316791045916301E-4</v>
      </c>
      <c r="AD90">
        <v>4.9391295631842896E-3</v>
      </c>
      <c r="AE90">
        <v>8.23039530636821E-3</v>
      </c>
      <c r="AF90">
        <v>0.12352366151109299</v>
      </c>
    </row>
    <row r="91" spans="1:32" x14ac:dyDescent="0.2">
      <c r="A91" t="s">
        <v>36</v>
      </c>
      <c r="B91" t="str" cm="1">
        <f t="array" ref="B91:F91">_xlfn.TEXTSPLIT(A91,"_")</f>
        <v>MVPRP</v>
      </c>
      <c r="C91" t="str">
        <v>C10</v>
      </c>
      <c r="D91" t="str">
        <v>P6</v>
      </c>
      <c r="E91" t="str">
        <v>V2</v>
      </c>
      <c r="F91" t="str">
        <v>I1.dat</v>
      </c>
      <c r="G91" t="s">
        <v>44</v>
      </c>
      <c r="H91" t="s">
        <v>29</v>
      </c>
      <c r="I91">
        <v>30459.9</v>
      </c>
      <c r="J91">
        <v>30459.9</v>
      </c>
      <c r="K91">
        <v>0</v>
      </c>
      <c r="L91">
        <v>5.4700043201446498</v>
      </c>
      <c r="M91" t="s">
        <v>30</v>
      </c>
      <c r="N91">
        <v>198</v>
      </c>
      <c r="P91">
        <v>6000</v>
      </c>
      <c r="Q91">
        <v>12690</v>
      </c>
      <c r="R91">
        <v>8163</v>
      </c>
      <c r="S91">
        <v>2706</v>
      </c>
      <c r="T91">
        <v>0</v>
      </c>
      <c r="U91">
        <v>0</v>
      </c>
      <c r="V91">
        <v>900.9</v>
      </c>
      <c r="W91">
        <v>16</v>
      </c>
      <c r="X91">
        <v>24</v>
      </c>
      <c r="Y91">
        <v>0</v>
      </c>
      <c r="Z91">
        <v>11</v>
      </c>
      <c r="AA91">
        <v>0</v>
      </c>
      <c r="AB91">
        <v>5.9179439666164902E-5</v>
      </c>
      <c r="AC91">
        <v>1.5909555885526899E-4</v>
      </c>
      <c r="AD91">
        <v>4.5533650799801503E-3</v>
      </c>
      <c r="AE91">
        <v>7.2958095230325299E-3</v>
      </c>
      <c r="AF91">
        <v>6.8400323390960693E-2</v>
      </c>
    </row>
    <row r="92" spans="1:32" x14ac:dyDescent="0.2">
      <c r="A92" t="s">
        <v>37</v>
      </c>
      <c r="B92" t="str" cm="1">
        <f t="array" ref="B92:F92">_xlfn.TEXTSPLIT(A92,"_")</f>
        <v>MVPRP</v>
      </c>
      <c r="C92" t="str">
        <v>C15</v>
      </c>
      <c r="D92" t="str">
        <v>P6</v>
      </c>
      <c r="E92" t="str">
        <v>V2</v>
      </c>
      <c r="F92" t="str">
        <v>I1.dat</v>
      </c>
      <c r="G92" t="s">
        <v>44</v>
      </c>
      <c r="H92" t="s">
        <v>29</v>
      </c>
      <c r="I92">
        <v>43302.099998999998</v>
      </c>
      <c r="J92">
        <v>43302.099998999998</v>
      </c>
      <c r="K92">
        <v>0</v>
      </c>
      <c r="L92">
        <v>298.74319458007801</v>
      </c>
      <c r="M92" t="s">
        <v>30</v>
      </c>
      <c r="N92">
        <v>198</v>
      </c>
      <c r="P92">
        <v>6000</v>
      </c>
      <c r="Q92">
        <v>19800</v>
      </c>
      <c r="R92">
        <v>10877</v>
      </c>
      <c r="S92">
        <v>5023</v>
      </c>
      <c r="T92">
        <v>0</v>
      </c>
      <c r="U92">
        <v>0</v>
      </c>
      <c r="V92">
        <v>1602.1</v>
      </c>
      <c r="W92">
        <v>246</v>
      </c>
      <c r="X92">
        <v>344</v>
      </c>
      <c r="Y92">
        <v>0</v>
      </c>
      <c r="Z92">
        <v>40</v>
      </c>
      <c r="AA92">
        <v>0</v>
      </c>
      <c r="AB92">
        <v>6.6387906462216499E-5</v>
      </c>
      <c r="AC92">
        <v>1.4331841174467099E-4</v>
      </c>
      <c r="AD92">
        <v>4.2925108046758696E-3</v>
      </c>
      <c r="AE92">
        <v>5.9382705920009099E-3</v>
      </c>
      <c r="AF92">
        <v>6.0517927564947699E-2</v>
      </c>
    </row>
    <row r="93" spans="1:32" x14ac:dyDescent="0.2">
      <c r="A93" t="s">
        <v>38</v>
      </c>
      <c r="B93" t="str" cm="1">
        <f t="array" ref="B93:F93">_xlfn.TEXTSPLIT(A93,"_")</f>
        <v>MVPRP</v>
      </c>
      <c r="C93" t="str">
        <v>C20</v>
      </c>
      <c r="D93" t="str">
        <v>P6</v>
      </c>
      <c r="E93" t="str">
        <v>V2</v>
      </c>
      <c r="F93" t="str">
        <v>I1.dat</v>
      </c>
      <c r="G93" t="s">
        <v>44</v>
      </c>
      <c r="H93" t="s">
        <v>29</v>
      </c>
      <c r="I93">
        <v>49276.7</v>
      </c>
      <c r="J93">
        <v>49276.7</v>
      </c>
      <c r="K93">
        <v>0</v>
      </c>
      <c r="L93">
        <v>40.250910043716402</v>
      </c>
      <c r="M93" t="s">
        <v>30</v>
      </c>
      <c r="N93">
        <v>283</v>
      </c>
      <c r="P93">
        <v>6000</v>
      </c>
      <c r="Q93">
        <v>23820</v>
      </c>
      <c r="R93">
        <v>12905</v>
      </c>
      <c r="S93">
        <v>4842</v>
      </c>
      <c r="T93">
        <v>0</v>
      </c>
      <c r="U93">
        <v>0</v>
      </c>
      <c r="V93">
        <v>1709.7</v>
      </c>
      <c r="W93">
        <v>35</v>
      </c>
      <c r="X93">
        <v>183</v>
      </c>
      <c r="Y93">
        <v>0</v>
      </c>
      <c r="Z93">
        <v>49</v>
      </c>
      <c r="AA93">
        <v>0</v>
      </c>
      <c r="AB93">
        <v>7.82567010798924E-5</v>
      </c>
      <c r="AC93">
        <v>1.5465138944948501E-4</v>
      </c>
      <c r="AD93">
        <v>4.7109227914076601E-3</v>
      </c>
      <c r="AE93">
        <v>5.7129474369796004E-3</v>
      </c>
      <c r="AF93">
        <v>0.211077855692969</v>
      </c>
    </row>
    <row r="94" spans="1:32" x14ac:dyDescent="0.2">
      <c r="A94" t="s">
        <v>39</v>
      </c>
      <c r="B94" t="str" cm="1">
        <f t="array" ref="B94:F94">_xlfn.TEXTSPLIT(A94,"_")</f>
        <v>MVPRP</v>
      </c>
      <c r="C94" t="str">
        <v>C25</v>
      </c>
      <c r="D94" t="str">
        <v>P9</v>
      </c>
      <c r="E94" t="str">
        <v>V2</v>
      </c>
      <c r="F94" t="str">
        <v>I1.dat</v>
      </c>
      <c r="G94" t="s">
        <v>44</v>
      </c>
      <c r="H94" t="s">
        <v>35</v>
      </c>
      <c r="I94">
        <v>109130.999998</v>
      </c>
      <c r="J94">
        <v>103723.522044941</v>
      </c>
      <c r="K94">
        <v>4.9550338154673801E-2</v>
      </c>
      <c r="L94">
        <v>3602.89255547524</v>
      </c>
      <c r="M94" t="s">
        <v>30</v>
      </c>
      <c r="N94">
        <v>283</v>
      </c>
      <c r="P94">
        <v>9000</v>
      </c>
      <c r="Q94">
        <v>59880</v>
      </c>
      <c r="R94">
        <v>24190</v>
      </c>
      <c r="S94">
        <v>9815</v>
      </c>
      <c r="T94">
        <v>0</v>
      </c>
      <c r="U94">
        <v>0</v>
      </c>
      <c r="V94">
        <v>6245.9999979998802</v>
      </c>
      <c r="W94">
        <v>827</v>
      </c>
      <c r="X94">
        <v>3924</v>
      </c>
      <c r="Y94">
        <v>0</v>
      </c>
      <c r="Z94">
        <v>1043</v>
      </c>
      <c r="AA94">
        <v>0</v>
      </c>
      <c r="AB94">
        <v>1.07677674022096E-4</v>
      </c>
      <c r="AC94">
        <v>2.2329677811624101E-4</v>
      </c>
      <c r="AD94">
        <v>4.9219601157826903E-3</v>
      </c>
      <c r="AE94">
        <v>7.8685964884499596E-3</v>
      </c>
      <c r="AF94">
        <v>0.52438147862752305</v>
      </c>
    </row>
    <row r="95" spans="1:32" x14ac:dyDescent="0.2">
      <c r="A95" t="s">
        <v>40</v>
      </c>
      <c r="B95" t="str" cm="1">
        <f t="array" ref="B95:F95">_xlfn.TEXTSPLIT(A95,"_")</f>
        <v>MVPRP</v>
      </c>
      <c r="C95" t="str">
        <v>C25</v>
      </c>
      <c r="D95" t="str">
        <v>P3</v>
      </c>
      <c r="E95" t="str">
        <v>V2</v>
      </c>
      <c r="F95" t="str">
        <v>I1.dat</v>
      </c>
      <c r="G95" t="s">
        <v>44</v>
      </c>
      <c r="H95" t="s">
        <v>29</v>
      </c>
      <c r="I95">
        <v>27643.200000000001</v>
      </c>
      <c r="J95">
        <v>27643.200000000001</v>
      </c>
      <c r="K95">
        <v>0</v>
      </c>
      <c r="L95">
        <v>8.8706884384155291</v>
      </c>
      <c r="M95" t="s">
        <v>30</v>
      </c>
      <c r="N95">
        <v>283</v>
      </c>
      <c r="P95">
        <v>3000</v>
      </c>
      <c r="Q95">
        <v>14340</v>
      </c>
      <c r="R95">
        <v>5901</v>
      </c>
      <c r="S95">
        <v>2865</v>
      </c>
      <c r="T95">
        <v>0</v>
      </c>
      <c r="U95">
        <v>0</v>
      </c>
      <c r="V95">
        <v>1537.2</v>
      </c>
      <c r="W95">
        <v>40</v>
      </c>
      <c r="X95">
        <v>54</v>
      </c>
      <c r="Y95">
        <v>0</v>
      </c>
      <c r="Z95">
        <v>40</v>
      </c>
      <c r="AA95">
        <v>0</v>
      </c>
      <c r="AB95">
        <v>1.8840000547211701E-4</v>
      </c>
      <c r="AC95">
        <v>2.7346716986762198E-4</v>
      </c>
      <c r="AD95">
        <v>8.6570121347904205E-3</v>
      </c>
      <c r="AE95">
        <v>9.7428566129336806E-3</v>
      </c>
      <c r="AF95">
        <v>0.306408786773682</v>
      </c>
    </row>
    <row r="96" spans="1:32" x14ac:dyDescent="0.2">
      <c r="A96" t="s">
        <v>41</v>
      </c>
      <c r="B96" t="str" cm="1">
        <f t="array" ref="B96:F96">_xlfn.TEXTSPLIT(A96,"_")</f>
        <v>MVPRP</v>
      </c>
      <c r="C96" t="str">
        <v>C25</v>
      </c>
      <c r="D96" t="str">
        <v>P6</v>
      </c>
      <c r="E96" t="str">
        <v>V2</v>
      </c>
      <c r="F96" t="str">
        <v>I1.dat</v>
      </c>
      <c r="G96" t="s">
        <v>44</v>
      </c>
      <c r="H96" t="s">
        <v>35</v>
      </c>
      <c r="I96">
        <v>59073.299986102698</v>
      </c>
      <c r="J96">
        <v>58969.761587252797</v>
      </c>
      <c r="K96">
        <v>1.7527105963987999E-3</v>
      </c>
      <c r="L96">
        <v>3603.22964549065</v>
      </c>
      <c r="M96" t="s">
        <v>30</v>
      </c>
      <c r="N96">
        <v>283</v>
      </c>
      <c r="P96">
        <v>6000</v>
      </c>
      <c r="Q96">
        <v>28379.999988418898</v>
      </c>
      <c r="R96">
        <v>17066.999997683801</v>
      </c>
      <c r="S96">
        <v>5583</v>
      </c>
      <c r="T96">
        <v>0</v>
      </c>
      <c r="U96">
        <v>0</v>
      </c>
      <c r="V96">
        <v>2043.3</v>
      </c>
      <c r="W96">
        <v>436</v>
      </c>
      <c r="X96">
        <v>948</v>
      </c>
      <c r="Y96">
        <v>0</v>
      </c>
      <c r="Z96">
        <v>81</v>
      </c>
      <c r="AA96">
        <v>0</v>
      </c>
      <c r="AB96">
        <v>8.0605236842781395E-5</v>
      </c>
      <c r="AC96">
        <v>1.9226334433057401E-4</v>
      </c>
      <c r="AD96">
        <v>4.1884153556450499E-3</v>
      </c>
      <c r="AE96">
        <v>7.2095742867285496E-3</v>
      </c>
      <c r="AF96">
        <v>0.15195229159461099</v>
      </c>
    </row>
    <row r="97" spans="1:32" x14ac:dyDescent="0.2">
      <c r="A97" t="s">
        <v>42</v>
      </c>
      <c r="B97" t="str" cm="1">
        <f t="array" ref="B97:F97">_xlfn.TEXTSPLIT(A97,"_")</f>
        <v>MVPRP</v>
      </c>
      <c r="C97" t="str">
        <v>C20</v>
      </c>
      <c r="D97" t="str">
        <v>P9</v>
      </c>
      <c r="E97" t="str">
        <v>V2</v>
      </c>
      <c r="F97" t="str">
        <v>I1.dat</v>
      </c>
      <c r="G97" t="s">
        <v>44</v>
      </c>
      <c r="H97" t="s">
        <v>35</v>
      </c>
      <c r="I97">
        <v>86963.199999999997</v>
      </c>
      <c r="J97">
        <v>85132.186868856006</v>
      </c>
      <c r="K97">
        <v>2.10550339815458E-2</v>
      </c>
      <c r="L97">
        <v>3600.2498593330401</v>
      </c>
      <c r="M97" t="s">
        <v>30</v>
      </c>
      <c r="N97">
        <v>283</v>
      </c>
      <c r="P97">
        <v>9000</v>
      </c>
      <c r="Q97">
        <v>48120</v>
      </c>
      <c r="R97">
        <v>17895</v>
      </c>
      <c r="S97">
        <v>7560</v>
      </c>
      <c r="T97">
        <v>0</v>
      </c>
      <c r="U97">
        <v>0</v>
      </c>
      <c r="V97">
        <v>4388.2</v>
      </c>
      <c r="W97">
        <v>1477</v>
      </c>
      <c r="X97">
        <v>3129</v>
      </c>
      <c r="Y97">
        <v>0</v>
      </c>
      <c r="Z97">
        <v>586</v>
      </c>
      <c r="AA97">
        <v>0</v>
      </c>
      <c r="AB97">
        <v>8.5811369625200397E-5</v>
      </c>
      <c r="AC97">
        <v>1.8847577267778901E-4</v>
      </c>
      <c r="AD97">
        <v>4.1106678552879699E-3</v>
      </c>
      <c r="AE97">
        <v>6.78174944465981E-3</v>
      </c>
      <c r="AF97">
        <v>0.16788672725530099</v>
      </c>
    </row>
    <row r="98" spans="1:32" x14ac:dyDescent="0.2">
      <c r="A98" t="s">
        <v>27</v>
      </c>
      <c r="B98" t="str" cm="1">
        <f t="array" ref="B98:F98">_xlfn.TEXTSPLIT(A98,"_")</f>
        <v>MVPRP</v>
      </c>
      <c r="C98" t="str">
        <v>C20</v>
      </c>
      <c r="D98" t="str">
        <v>P3</v>
      </c>
      <c r="E98" t="str">
        <v>V2</v>
      </c>
      <c r="F98" t="str">
        <v>I1.dat</v>
      </c>
      <c r="G98" t="s">
        <v>28</v>
      </c>
      <c r="H98" t="s">
        <v>29</v>
      </c>
      <c r="I98">
        <v>23484.8999999999</v>
      </c>
      <c r="J98">
        <v>23484.8999999999</v>
      </c>
      <c r="K98">
        <v>0</v>
      </c>
      <c r="L98">
        <v>3.1829795837402299</v>
      </c>
      <c r="M98" t="s">
        <v>30</v>
      </c>
      <c r="N98">
        <v>283</v>
      </c>
      <c r="P98">
        <v>3000</v>
      </c>
      <c r="Q98">
        <v>12030</v>
      </c>
      <c r="R98">
        <v>4509</v>
      </c>
      <c r="S98">
        <v>2671</v>
      </c>
      <c r="T98">
        <v>0</v>
      </c>
      <c r="U98">
        <v>0</v>
      </c>
      <c r="V98">
        <v>1274.9000000000001</v>
      </c>
      <c r="W98">
        <v>20</v>
      </c>
      <c r="X98">
        <v>11</v>
      </c>
      <c r="Y98">
        <v>0</v>
      </c>
      <c r="Z98">
        <v>25</v>
      </c>
      <c r="AA98">
        <v>0</v>
      </c>
      <c r="AB98">
        <v>1.22680550529843E-4</v>
      </c>
      <c r="AC98">
        <v>2.9710487083152502E-4</v>
      </c>
      <c r="AD98">
        <v>6.9073563191428102E-3</v>
      </c>
      <c r="AE98">
        <v>9.9321944372994606E-3</v>
      </c>
      <c r="AF98">
        <v>9.6413173173603303E-2</v>
      </c>
    </row>
    <row r="99" spans="1:32" x14ac:dyDescent="0.2">
      <c r="A99" t="s">
        <v>31</v>
      </c>
      <c r="B99" t="str" cm="1">
        <f t="array" ref="B99:F99">_xlfn.TEXTSPLIT(A99,"_")</f>
        <v>MVPRP</v>
      </c>
      <c r="C99" t="str">
        <v>C10</v>
      </c>
      <c r="D99" t="str">
        <v>P9</v>
      </c>
      <c r="E99" t="str">
        <v>V2</v>
      </c>
      <c r="F99" t="str">
        <v>I1.dat</v>
      </c>
      <c r="G99" t="s">
        <v>28</v>
      </c>
      <c r="H99" t="s">
        <v>29</v>
      </c>
      <c r="I99">
        <v>52882.899954212902</v>
      </c>
      <c r="J99">
        <v>52882.899954212902</v>
      </c>
      <c r="K99">
        <v>0</v>
      </c>
      <c r="L99">
        <v>51.592538595199599</v>
      </c>
      <c r="M99" t="s">
        <v>30</v>
      </c>
      <c r="N99">
        <v>198</v>
      </c>
      <c r="P99">
        <v>9000</v>
      </c>
      <c r="Q99">
        <v>26370</v>
      </c>
      <c r="R99">
        <v>10336</v>
      </c>
      <c r="S99">
        <v>5223</v>
      </c>
      <c r="T99">
        <v>0</v>
      </c>
      <c r="U99">
        <v>0</v>
      </c>
      <c r="V99">
        <v>1953.89994932429</v>
      </c>
      <c r="W99">
        <v>86</v>
      </c>
      <c r="X99">
        <v>108</v>
      </c>
      <c r="Y99">
        <v>0</v>
      </c>
      <c r="Z99">
        <v>19</v>
      </c>
      <c r="AA99">
        <v>0</v>
      </c>
      <c r="AB99">
        <v>4.90868091583252E-5</v>
      </c>
      <c r="AC99">
        <v>1.0880853375817999E-4</v>
      </c>
      <c r="AD99">
        <v>3.4559244974719798E-3</v>
      </c>
      <c r="AE99">
        <v>5.22793095821978E-3</v>
      </c>
      <c r="AF99">
        <v>5.8478286862373399E-2</v>
      </c>
    </row>
    <row r="100" spans="1:32" x14ac:dyDescent="0.2">
      <c r="A100" t="s">
        <v>32</v>
      </c>
      <c r="B100" t="str" cm="1">
        <f t="array" ref="B100:F100">_xlfn.TEXTSPLIT(A100,"_")</f>
        <v>MVPRP</v>
      </c>
      <c r="C100" t="str">
        <v>C15</v>
      </c>
      <c r="D100" t="str">
        <v>P3</v>
      </c>
      <c r="E100" t="str">
        <v>V2</v>
      </c>
      <c r="F100" t="str">
        <v>I1.dat</v>
      </c>
      <c r="G100" t="s">
        <v>28</v>
      </c>
      <c r="H100" t="s">
        <v>29</v>
      </c>
      <c r="I100">
        <v>20511.5</v>
      </c>
      <c r="J100">
        <v>20511.5</v>
      </c>
      <c r="K100">
        <v>0</v>
      </c>
      <c r="L100">
        <v>6.9297988414764404</v>
      </c>
      <c r="M100" t="s">
        <v>30</v>
      </c>
      <c r="N100">
        <v>198</v>
      </c>
      <c r="P100">
        <v>3000</v>
      </c>
      <c r="Q100">
        <v>9960</v>
      </c>
      <c r="R100">
        <v>3896</v>
      </c>
      <c r="S100">
        <v>2762</v>
      </c>
      <c r="T100">
        <v>0</v>
      </c>
      <c r="U100">
        <v>0</v>
      </c>
      <c r="V100">
        <v>893.5</v>
      </c>
      <c r="W100">
        <v>9</v>
      </c>
      <c r="X100">
        <v>105</v>
      </c>
      <c r="Y100">
        <v>0</v>
      </c>
      <c r="Z100">
        <v>31</v>
      </c>
      <c r="AA100">
        <v>0</v>
      </c>
      <c r="AB100">
        <v>9.7999205956092304E-5</v>
      </c>
      <c r="AC100">
        <v>1.5412366136591501E-4</v>
      </c>
      <c r="AD100">
        <v>6.6233681094261896E-3</v>
      </c>
      <c r="AE100">
        <v>7.8390402828945795E-3</v>
      </c>
      <c r="AF100">
        <v>6.3040565041934699E-2</v>
      </c>
    </row>
    <row r="101" spans="1:32" x14ac:dyDescent="0.2">
      <c r="A101" t="s">
        <v>33</v>
      </c>
      <c r="B101" t="str" cm="1">
        <f t="array" ref="B101:F101">_xlfn.TEXTSPLIT(A101,"_")</f>
        <v>MVPRP</v>
      </c>
      <c r="C101" t="str">
        <v>C10</v>
      </c>
      <c r="D101" t="str">
        <v>P3</v>
      </c>
      <c r="E101" t="str">
        <v>V2</v>
      </c>
      <c r="F101" t="str">
        <v>I1.dat</v>
      </c>
      <c r="G101" t="s">
        <v>28</v>
      </c>
      <c r="H101" t="s">
        <v>29</v>
      </c>
      <c r="I101">
        <v>14480.9</v>
      </c>
      <c r="J101">
        <v>14480.9</v>
      </c>
      <c r="K101">
        <v>0</v>
      </c>
      <c r="L101">
        <v>0.725988149642944</v>
      </c>
      <c r="M101" t="s">
        <v>30</v>
      </c>
      <c r="N101">
        <v>198</v>
      </c>
      <c r="P101">
        <v>3000</v>
      </c>
      <c r="Q101">
        <v>6390</v>
      </c>
      <c r="R101">
        <v>2999</v>
      </c>
      <c r="S101">
        <v>1535</v>
      </c>
      <c r="T101">
        <v>0</v>
      </c>
      <c r="U101">
        <v>0</v>
      </c>
      <c r="V101">
        <v>556.9</v>
      </c>
      <c r="W101">
        <v>4</v>
      </c>
      <c r="X101">
        <v>5</v>
      </c>
      <c r="Y101">
        <v>0</v>
      </c>
      <c r="Z101">
        <v>11</v>
      </c>
      <c r="AA101">
        <v>0</v>
      </c>
      <c r="AB101">
        <v>6.4704153272840704E-5</v>
      </c>
      <c r="AC101">
        <v>1.36468145582411E-4</v>
      </c>
      <c r="AD101">
        <v>4.9919764200846402E-3</v>
      </c>
      <c r="AE101">
        <v>6.34857018788656E-3</v>
      </c>
      <c r="AF101">
        <v>2.9092205895317899E-2</v>
      </c>
    </row>
    <row r="102" spans="1:32" x14ac:dyDescent="0.2">
      <c r="A102" t="s">
        <v>34</v>
      </c>
      <c r="B102" t="str" cm="1">
        <f t="array" ref="B102:F102">_xlfn.TEXTSPLIT(A102,"_")</f>
        <v>MVPRP</v>
      </c>
      <c r="C102" t="str">
        <v>C15</v>
      </c>
      <c r="D102" t="str">
        <v>P9</v>
      </c>
      <c r="E102" t="str">
        <v>V2</v>
      </c>
      <c r="F102" t="str">
        <v>I1.dat</v>
      </c>
      <c r="G102" t="s">
        <v>28</v>
      </c>
      <c r="H102" t="s">
        <v>35</v>
      </c>
      <c r="I102">
        <v>77618.899999000001</v>
      </c>
      <c r="J102">
        <v>75905.156842005206</v>
      </c>
      <c r="K102">
        <v>2.20789415595537E-2</v>
      </c>
      <c r="L102">
        <v>3600.94333481789</v>
      </c>
      <c r="M102" t="s">
        <v>30</v>
      </c>
      <c r="N102">
        <v>198</v>
      </c>
      <c r="P102">
        <v>9000</v>
      </c>
      <c r="Q102">
        <v>40950</v>
      </c>
      <c r="R102">
        <v>15072</v>
      </c>
      <c r="S102">
        <v>8251</v>
      </c>
      <c r="T102">
        <v>0</v>
      </c>
      <c r="U102">
        <v>0</v>
      </c>
      <c r="V102">
        <v>4345.8999989999902</v>
      </c>
      <c r="W102">
        <v>1624</v>
      </c>
      <c r="X102">
        <v>2795</v>
      </c>
      <c r="Y102">
        <v>0</v>
      </c>
      <c r="Z102">
        <v>270</v>
      </c>
      <c r="AA102">
        <v>0</v>
      </c>
      <c r="AB102">
        <v>7.41556173503927E-5</v>
      </c>
      <c r="AC102">
        <v>1.7245737760988899E-4</v>
      </c>
      <c r="AD102">
        <v>4.7366770222446999E-3</v>
      </c>
      <c r="AE102">
        <v>7.6035982077371396E-3</v>
      </c>
      <c r="AF102">
        <v>9.8842057238198E-2</v>
      </c>
    </row>
    <row r="103" spans="1:32" x14ac:dyDescent="0.2">
      <c r="A103" t="s">
        <v>36</v>
      </c>
      <c r="B103" t="str" cm="1">
        <f t="array" ref="B103:F103">_xlfn.TEXTSPLIT(A103,"_")</f>
        <v>MVPRP</v>
      </c>
      <c r="C103" t="str">
        <v>C10</v>
      </c>
      <c r="D103" t="str">
        <v>P6</v>
      </c>
      <c r="E103" t="str">
        <v>V2</v>
      </c>
      <c r="F103" t="str">
        <v>I1.dat</v>
      </c>
      <c r="G103" t="s">
        <v>28</v>
      </c>
      <c r="H103" t="s">
        <v>29</v>
      </c>
      <c r="I103">
        <v>30459.9</v>
      </c>
      <c r="J103">
        <v>30459.9</v>
      </c>
      <c r="K103">
        <v>0</v>
      </c>
      <c r="L103">
        <v>4.5542266368866002</v>
      </c>
      <c r="M103" t="s">
        <v>30</v>
      </c>
      <c r="N103">
        <v>198</v>
      </c>
      <c r="P103">
        <v>6000</v>
      </c>
      <c r="Q103">
        <v>12690</v>
      </c>
      <c r="R103">
        <v>8163</v>
      </c>
      <c r="S103">
        <v>2706</v>
      </c>
      <c r="T103">
        <v>0</v>
      </c>
      <c r="U103">
        <v>0</v>
      </c>
      <c r="V103">
        <v>900.9</v>
      </c>
      <c r="W103">
        <v>14</v>
      </c>
      <c r="X103">
        <v>38</v>
      </c>
      <c r="Y103">
        <v>0</v>
      </c>
      <c r="Z103">
        <v>16</v>
      </c>
      <c r="AA103">
        <v>0</v>
      </c>
      <c r="AB103">
        <v>5.4565675419532502E-5</v>
      </c>
      <c r="AC103">
        <v>1.08862207049415E-4</v>
      </c>
      <c r="AD103">
        <v>3.76053333282471E-3</v>
      </c>
      <c r="AE103">
        <v>5.13145411125968E-3</v>
      </c>
      <c r="AF103">
        <v>5.7724630832672097E-2</v>
      </c>
    </row>
    <row r="104" spans="1:32" x14ac:dyDescent="0.2">
      <c r="A104" t="s">
        <v>37</v>
      </c>
      <c r="B104" t="str" cm="1">
        <f t="array" ref="B104:F104">_xlfn.TEXTSPLIT(A104,"_")</f>
        <v>MVPRP</v>
      </c>
      <c r="C104" t="str">
        <v>C15</v>
      </c>
      <c r="D104" t="str">
        <v>P6</v>
      </c>
      <c r="E104" t="str">
        <v>V2</v>
      </c>
      <c r="F104" t="str">
        <v>I1.dat</v>
      </c>
      <c r="G104" t="s">
        <v>28</v>
      </c>
      <c r="H104" t="s">
        <v>29</v>
      </c>
      <c r="I104">
        <v>43302.1</v>
      </c>
      <c r="J104">
        <v>43302.1</v>
      </c>
      <c r="K104">
        <v>0</v>
      </c>
      <c r="L104">
        <v>265.62673425674399</v>
      </c>
      <c r="M104" t="s">
        <v>30</v>
      </c>
      <c r="N104">
        <v>198</v>
      </c>
      <c r="P104">
        <v>6000</v>
      </c>
      <c r="Q104">
        <v>19800</v>
      </c>
      <c r="R104">
        <v>10877</v>
      </c>
      <c r="S104">
        <v>5023</v>
      </c>
      <c r="T104">
        <v>0</v>
      </c>
      <c r="U104">
        <v>0</v>
      </c>
      <c r="V104">
        <v>1602.1</v>
      </c>
      <c r="W104">
        <v>289</v>
      </c>
      <c r="X104">
        <v>364</v>
      </c>
      <c r="Y104">
        <v>0</v>
      </c>
      <c r="Z104">
        <v>43</v>
      </c>
      <c r="AA104">
        <v>0</v>
      </c>
      <c r="AB104">
        <v>5.4269621537338603E-5</v>
      </c>
      <c r="AC104">
        <v>1.1887858311335201E-4</v>
      </c>
      <c r="AD104">
        <v>3.5465475844794299E-3</v>
      </c>
      <c r="AE104">
        <v>5.2405475309988897E-3</v>
      </c>
      <c r="AF104">
        <v>4.71903694087061E-2</v>
      </c>
    </row>
    <row r="105" spans="1:32" x14ac:dyDescent="0.2">
      <c r="A105" t="s">
        <v>38</v>
      </c>
      <c r="B105" t="str" cm="1">
        <f t="array" ref="B105:F105">_xlfn.TEXTSPLIT(A105,"_")</f>
        <v>MVPRP</v>
      </c>
      <c r="C105" t="str">
        <v>C20</v>
      </c>
      <c r="D105" t="str">
        <v>P6</v>
      </c>
      <c r="E105" t="str">
        <v>V2</v>
      </c>
      <c r="F105" t="str">
        <v>I1.dat</v>
      </c>
      <c r="G105" t="s">
        <v>28</v>
      </c>
      <c r="H105" t="s">
        <v>29</v>
      </c>
      <c r="I105">
        <v>49276.699978712699</v>
      </c>
      <c r="J105">
        <v>49276.699978712699</v>
      </c>
      <c r="K105">
        <v>0</v>
      </c>
      <c r="L105">
        <v>39.228999376296997</v>
      </c>
      <c r="M105" t="s">
        <v>30</v>
      </c>
      <c r="N105">
        <v>283</v>
      </c>
      <c r="P105">
        <v>6000</v>
      </c>
      <c r="Q105">
        <v>23820</v>
      </c>
      <c r="R105">
        <v>12905.000201586199</v>
      </c>
      <c r="S105">
        <v>4841.9998059534601</v>
      </c>
      <c r="T105">
        <v>0</v>
      </c>
      <c r="U105">
        <v>0</v>
      </c>
      <c r="V105">
        <v>1709.69997117302</v>
      </c>
      <c r="W105">
        <v>38</v>
      </c>
      <c r="X105">
        <v>197</v>
      </c>
      <c r="Y105">
        <v>0</v>
      </c>
      <c r="Z105">
        <v>54</v>
      </c>
      <c r="AA105">
        <v>0</v>
      </c>
      <c r="AB105">
        <v>7.3601576414975296E-5</v>
      </c>
      <c r="AC105">
        <v>1.51180919689401E-4</v>
      </c>
      <c r="AD105">
        <v>4.0947438762653004E-3</v>
      </c>
      <c r="AE105">
        <v>5.76243718723828E-3</v>
      </c>
      <c r="AF105">
        <v>0.161479199926058</v>
      </c>
    </row>
    <row r="106" spans="1:32" x14ac:dyDescent="0.2">
      <c r="A106" t="s">
        <v>39</v>
      </c>
      <c r="B106" t="str" cm="1">
        <f t="array" ref="B106:F106">_xlfn.TEXTSPLIT(A106,"_")</f>
        <v>MVPRP</v>
      </c>
      <c r="C106" t="str">
        <v>C25</v>
      </c>
      <c r="D106" t="str">
        <v>P9</v>
      </c>
      <c r="E106" t="str">
        <v>V2</v>
      </c>
      <c r="F106" t="str">
        <v>I1.dat</v>
      </c>
      <c r="G106" t="s">
        <v>28</v>
      </c>
      <c r="H106" t="s">
        <v>35</v>
      </c>
      <c r="I106">
        <v>109756.099999</v>
      </c>
      <c r="J106">
        <v>103709.90135471099</v>
      </c>
      <c r="K106">
        <v>5.5087586424303003E-2</v>
      </c>
      <c r="L106">
        <v>3601.8674402236902</v>
      </c>
      <c r="M106" t="s">
        <v>30</v>
      </c>
      <c r="N106">
        <v>283</v>
      </c>
      <c r="P106">
        <v>12000</v>
      </c>
      <c r="Q106">
        <v>59880</v>
      </c>
      <c r="R106">
        <v>23422</v>
      </c>
      <c r="S106">
        <v>8556</v>
      </c>
      <c r="T106">
        <v>0</v>
      </c>
      <c r="U106">
        <v>0</v>
      </c>
      <c r="V106">
        <v>5898.09999899995</v>
      </c>
      <c r="W106">
        <v>1313</v>
      </c>
      <c r="X106">
        <v>4449</v>
      </c>
      <c r="Y106">
        <v>0</v>
      </c>
      <c r="Z106">
        <v>1341</v>
      </c>
      <c r="AA106">
        <v>0</v>
      </c>
      <c r="AB106">
        <v>9.7793272106888701E-5</v>
      </c>
      <c r="AC106">
        <v>1.98954165679206E-4</v>
      </c>
      <c r="AD106">
        <v>4.2901379670616602E-3</v>
      </c>
      <c r="AE106">
        <v>7.09783015759014E-3</v>
      </c>
      <c r="AF106">
        <v>0.54352549527268501</v>
      </c>
    </row>
    <row r="107" spans="1:32" x14ac:dyDescent="0.2">
      <c r="A107" t="s">
        <v>40</v>
      </c>
      <c r="B107" t="str" cm="1">
        <f t="array" ref="B107:F107">_xlfn.TEXTSPLIT(A107,"_")</f>
        <v>MVPRP</v>
      </c>
      <c r="C107" t="str">
        <v>C25</v>
      </c>
      <c r="D107" t="str">
        <v>P3</v>
      </c>
      <c r="E107" t="str">
        <v>V2</v>
      </c>
      <c r="F107" t="str">
        <v>I1.dat</v>
      </c>
      <c r="G107" t="s">
        <v>28</v>
      </c>
      <c r="H107" t="s">
        <v>29</v>
      </c>
      <c r="I107">
        <v>27643.200000000001</v>
      </c>
      <c r="J107">
        <v>27643.200000000001</v>
      </c>
      <c r="K107">
        <v>0</v>
      </c>
      <c r="L107">
        <v>7.0981364250183097</v>
      </c>
      <c r="M107" t="s">
        <v>30</v>
      </c>
      <c r="N107">
        <v>283</v>
      </c>
      <c r="P107">
        <v>3000</v>
      </c>
      <c r="Q107">
        <v>14340</v>
      </c>
      <c r="R107">
        <v>5901</v>
      </c>
      <c r="S107">
        <v>2865</v>
      </c>
      <c r="T107">
        <v>0</v>
      </c>
      <c r="U107">
        <v>0</v>
      </c>
      <c r="V107">
        <v>1537.2</v>
      </c>
      <c r="W107">
        <v>42</v>
      </c>
      <c r="X107">
        <v>25</v>
      </c>
      <c r="Y107">
        <v>0</v>
      </c>
      <c r="Z107">
        <v>45</v>
      </c>
      <c r="AA107">
        <v>0</v>
      </c>
      <c r="AB107">
        <v>1.25908851623535E-4</v>
      </c>
      <c r="AC107">
        <v>2.5632691248662101E-4</v>
      </c>
      <c r="AD107">
        <v>7.3863448518695302E-3</v>
      </c>
      <c r="AE107">
        <v>8.7744326967942095E-3</v>
      </c>
      <c r="AF107">
        <v>0.23738352954387701</v>
      </c>
    </row>
    <row r="108" spans="1:32" x14ac:dyDescent="0.2">
      <c r="A108" t="s">
        <v>41</v>
      </c>
      <c r="B108" t="str" cm="1">
        <f t="array" ref="B108:F108">_xlfn.TEXTSPLIT(A108,"_")</f>
        <v>MVPRP</v>
      </c>
      <c r="C108" t="str">
        <v>C25</v>
      </c>
      <c r="D108" t="str">
        <v>P6</v>
      </c>
      <c r="E108" t="str">
        <v>V2</v>
      </c>
      <c r="F108" t="str">
        <v>I1.dat</v>
      </c>
      <c r="G108" t="s">
        <v>28</v>
      </c>
      <c r="H108" t="s">
        <v>35</v>
      </c>
      <c r="I108">
        <v>59073.3</v>
      </c>
      <c r="J108">
        <v>58987.717741242101</v>
      </c>
      <c r="K108">
        <v>1.4487468747798301E-3</v>
      </c>
      <c r="L108">
        <v>3601.208725214</v>
      </c>
      <c r="M108" t="s">
        <v>30</v>
      </c>
      <c r="N108">
        <v>283</v>
      </c>
      <c r="P108">
        <v>6000</v>
      </c>
      <c r="Q108">
        <v>28380</v>
      </c>
      <c r="R108">
        <v>17067</v>
      </c>
      <c r="S108">
        <v>5583</v>
      </c>
      <c r="T108">
        <v>0</v>
      </c>
      <c r="U108">
        <v>0</v>
      </c>
      <c r="V108">
        <v>2043.3</v>
      </c>
      <c r="W108">
        <v>555</v>
      </c>
      <c r="X108">
        <v>1113</v>
      </c>
      <c r="Y108">
        <v>0</v>
      </c>
      <c r="Z108">
        <v>106</v>
      </c>
      <c r="AA108">
        <v>0</v>
      </c>
      <c r="AB108">
        <v>7.0011453721129804E-5</v>
      </c>
      <c r="AC108">
        <v>1.6265637632729399E-4</v>
      </c>
      <c r="AD108">
        <v>3.6666079435978302E-3</v>
      </c>
      <c r="AE108">
        <v>6.3707717782755403E-3</v>
      </c>
      <c r="AF108">
        <v>0.13330020946368801</v>
      </c>
    </row>
    <row r="109" spans="1:32" x14ac:dyDescent="0.2">
      <c r="A109" t="s">
        <v>42</v>
      </c>
      <c r="B109" t="str" cm="1">
        <f t="array" ref="B109:F109">_xlfn.TEXTSPLIT(A109,"_")</f>
        <v>MVPRP</v>
      </c>
      <c r="C109" t="str">
        <v>C20</v>
      </c>
      <c r="D109" t="str">
        <v>P9</v>
      </c>
      <c r="E109" t="str">
        <v>V2</v>
      </c>
      <c r="F109" t="str">
        <v>I1.dat</v>
      </c>
      <c r="G109" t="s">
        <v>28</v>
      </c>
      <c r="H109" t="s">
        <v>35</v>
      </c>
      <c r="I109">
        <v>86927.999997999999</v>
      </c>
      <c r="J109">
        <v>85151.579948086001</v>
      </c>
      <c r="K109">
        <v>2.0435533429445998E-2</v>
      </c>
      <c r="L109">
        <v>3601.2230870723702</v>
      </c>
      <c r="M109" t="s">
        <v>30</v>
      </c>
      <c r="N109">
        <v>283</v>
      </c>
      <c r="P109">
        <v>9000</v>
      </c>
      <c r="Q109">
        <v>48120</v>
      </c>
      <c r="R109">
        <v>17681</v>
      </c>
      <c r="S109">
        <v>7575</v>
      </c>
      <c r="T109">
        <v>0</v>
      </c>
      <c r="U109">
        <v>0</v>
      </c>
      <c r="V109">
        <v>4551.9999980000002</v>
      </c>
      <c r="W109">
        <v>2237</v>
      </c>
      <c r="X109">
        <v>3893</v>
      </c>
      <c r="Y109">
        <v>0</v>
      </c>
      <c r="Z109">
        <v>933</v>
      </c>
      <c r="AA109">
        <v>0</v>
      </c>
      <c r="AB109">
        <v>8.0338590074664006E-5</v>
      </c>
      <c r="AC109">
        <v>1.6185000132206001E-4</v>
      </c>
      <c r="AD109">
        <v>3.9614534682815804E-3</v>
      </c>
      <c r="AE109">
        <v>6.0317996566905899E-3</v>
      </c>
      <c r="AF109">
        <v>0.20763519988662901</v>
      </c>
    </row>
    <row r="110" spans="1:32" x14ac:dyDescent="0.2">
      <c r="A110" t="s">
        <v>27</v>
      </c>
      <c r="B110" t="str" cm="1">
        <f t="array" ref="B110:F110">_xlfn.TEXTSPLIT(A110,"_")</f>
        <v>MVPRP</v>
      </c>
      <c r="C110" t="str">
        <v>C20</v>
      </c>
      <c r="D110" t="str">
        <v>P3</v>
      </c>
      <c r="E110" t="str">
        <v>V2</v>
      </c>
      <c r="F110" t="str">
        <v>I1.dat</v>
      </c>
      <c r="G110" t="s">
        <v>28</v>
      </c>
      <c r="H110" t="s">
        <v>29</v>
      </c>
      <c r="I110">
        <v>23484.935335689101</v>
      </c>
      <c r="J110">
        <v>23484.5819787986</v>
      </c>
      <c r="K110">
        <v>1.5046108724537201E-5</v>
      </c>
      <c r="L110">
        <v>4.1988716125488299</v>
      </c>
      <c r="M110" t="s">
        <v>30</v>
      </c>
      <c r="N110">
        <v>283</v>
      </c>
      <c r="P110">
        <v>3000</v>
      </c>
      <c r="Q110">
        <v>12030</v>
      </c>
      <c r="R110">
        <v>4509</v>
      </c>
      <c r="S110">
        <v>2671</v>
      </c>
      <c r="T110">
        <v>0</v>
      </c>
      <c r="U110">
        <v>0</v>
      </c>
      <c r="V110">
        <v>1274.9353356890499</v>
      </c>
      <c r="W110">
        <v>27</v>
      </c>
      <c r="X110">
        <v>17</v>
      </c>
      <c r="Y110">
        <v>0</v>
      </c>
      <c r="Z110">
        <v>22</v>
      </c>
      <c r="AA110">
        <v>0</v>
      </c>
      <c r="AB110">
        <v>1.1471958903523201E-4</v>
      </c>
      <c r="AC110">
        <v>3.7626659168916603E-4</v>
      </c>
      <c r="AD110">
        <v>7.4468020236853399E-3</v>
      </c>
      <c r="AE110">
        <v>1.16721283305775E-2</v>
      </c>
      <c r="AF110">
        <v>0.11561075448989901</v>
      </c>
    </row>
    <row r="111" spans="1:32" x14ac:dyDescent="0.2">
      <c r="A111" t="s">
        <v>31</v>
      </c>
      <c r="B111" t="str" cm="1">
        <f t="array" ref="B111:F111">_xlfn.TEXTSPLIT(A111,"_")</f>
        <v>MVPRP</v>
      </c>
      <c r="C111" t="str">
        <v>C10</v>
      </c>
      <c r="D111" t="str">
        <v>P9</v>
      </c>
      <c r="E111" t="str">
        <v>V2</v>
      </c>
      <c r="F111" t="str">
        <v>I1.dat</v>
      </c>
      <c r="G111" t="s">
        <v>28</v>
      </c>
      <c r="H111" t="s">
        <v>29</v>
      </c>
      <c r="I111">
        <v>52882.899866570602</v>
      </c>
      <c r="J111">
        <v>52882.899866570602</v>
      </c>
      <c r="K111">
        <v>0</v>
      </c>
      <c r="L111">
        <v>61.672943830490098</v>
      </c>
      <c r="M111" t="s">
        <v>30</v>
      </c>
      <c r="N111">
        <v>198</v>
      </c>
      <c r="P111">
        <v>9000</v>
      </c>
      <c r="Q111">
        <v>26370</v>
      </c>
      <c r="R111">
        <v>10335.999968800001</v>
      </c>
      <c r="S111">
        <v>5223.0000345196204</v>
      </c>
      <c r="T111">
        <v>0</v>
      </c>
      <c r="U111">
        <v>0</v>
      </c>
      <c r="V111">
        <v>1953.89986325102</v>
      </c>
      <c r="W111">
        <v>85</v>
      </c>
      <c r="X111">
        <v>105</v>
      </c>
      <c r="Y111">
        <v>0</v>
      </c>
      <c r="Z111">
        <v>27</v>
      </c>
      <c r="AA111">
        <v>0</v>
      </c>
      <c r="AB111">
        <v>5.6427070893437002E-5</v>
      </c>
      <c r="AC111">
        <v>1.2256633703087199E-4</v>
      </c>
      <c r="AD111">
        <v>3.87935038632567E-3</v>
      </c>
      <c r="AE111">
        <v>5.7240978969799296E-3</v>
      </c>
      <c r="AF111">
        <v>6.8495331583796296E-2</v>
      </c>
    </row>
    <row r="112" spans="1:32" x14ac:dyDescent="0.2">
      <c r="A112" t="s">
        <v>32</v>
      </c>
      <c r="B112" t="str" cm="1">
        <f t="array" ref="B112:F112">_xlfn.TEXTSPLIT(A112,"_")</f>
        <v>MVPRP</v>
      </c>
      <c r="C112" t="str">
        <v>C15</v>
      </c>
      <c r="D112" t="str">
        <v>P3</v>
      </c>
      <c r="E112" t="str">
        <v>V2</v>
      </c>
      <c r="F112" t="str">
        <v>I1.dat</v>
      </c>
      <c r="G112" t="s">
        <v>28</v>
      </c>
      <c r="H112" t="s">
        <v>29</v>
      </c>
      <c r="I112">
        <v>20511.5</v>
      </c>
      <c r="J112">
        <v>20511.5</v>
      </c>
      <c r="K112">
        <v>0</v>
      </c>
      <c r="L112">
        <v>5.0371623039245597</v>
      </c>
      <c r="M112" t="s">
        <v>30</v>
      </c>
      <c r="N112">
        <v>198</v>
      </c>
      <c r="P112">
        <v>3000</v>
      </c>
      <c r="Q112">
        <v>9960</v>
      </c>
      <c r="R112">
        <v>3896</v>
      </c>
      <c r="S112">
        <v>2762</v>
      </c>
      <c r="T112">
        <v>0</v>
      </c>
      <c r="U112">
        <v>0</v>
      </c>
      <c r="V112">
        <v>893.5</v>
      </c>
      <c r="W112">
        <v>8</v>
      </c>
      <c r="X112">
        <v>89</v>
      </c>
      <c r="Y112">
        <v>0</v>
      </c>
      <c r="Z112">
        <v>27</v>
      </c>
      <c r="AA112">
        <v>0</v>
      </c>
      <c r="AB112">
        <v>8.9984191091437105E-5</v>
      </c>
      <c r="AC112">
        <v>1.68106091097466E-4</v>
      </c>
      <c r="AD112">
        <v>6.5243705626456998E-3</v>
      </c>
      <c r="AE112">
        <v>8.1654637065154793E-3</v>
      </c>
      <c r="AF112">
        <v>5.95960476819207E-2</v>
      </c>
    </row>
    <row r="113" spans="1:32" x14ac:dyDescent="0.2">
      <c r="A113" t="s">
        <v>33</v>
      </c>
      <c r="B113" t="str" cm="1">
        <f t="array" ref="B113:F113">_xlfn.TEXTSPLIT(A113,"_")</f>
        <v>MVPRP</v>
      </c>
      <c r="C113" t="str">
        <v>C10</v>
      </c>
      <c r="D113" t="str">
        <v>P3</v>
      </c>
      <c r="E113" t="str">
        <v>V2</v>
      </c>
      <c r="F113" t="str">
        <v>I1.dat</v>
      </c>
      <c r="G113" t="s">
        <v>28</v>
      </c>
      <c r="H113" t="s">
        <v>29</v>
      </c>
      <c r="I113">
        <v>14480.9</v>
      </c>
      <c r="J113">
        <v>14480.9</v>
      </c>
      <c r="K113">
        <v>0</v>
      </c>
      <c r="L113">
        <v>0.76865243911743197</v>
      </c>
      <c r="M113" t="s">
        <v>30</v>
      </c>
      <c r="N113">
        <v>198</v>
      </c>
      <c r="P113">
        <v>3000</v>
      </c>
      <c r="Q113">
        <v>6390</v>
      </c>
      <c r="R113">
        <v>2999</v>
      </c>
      <c r="S113">
        <v>1535</v>
      </c>
      <c r="T113">
        <v>0</v>
      </c>
      <c r="U113">
        <v>0</v>
      </c>
      <c r="V113">
        <v>556.9</v>
      </c>
      <c r="W113">
        <v>7</v>
      </c>
      <c r="X113">
        <v>2</v>
      </c>
      <c r="Y113">
        <v>0</v>
      </c>
      <c r="Z113">
        <v>11</v>
      </c>
      <c r="AA113">
        <v>0</v>
      </c>
      <c r="AB113">
        <v>7.9697370529174799E-5</v>
      </c>
      <c r="AC113">
        <v>1.6015370686848999E-4</v>
      </c>
      <c r="AD113">
        <v>5.56021025686553E-3</v>
      </c>
      <c r="AE113">
        <v>3.7451812199183901E-3</v>
      </c>
      <c r="AF113">
        <v>3.08680534362793E-2</v>
      </c>
    </row>
    <row r="114" spans="1:32" x14ac:dyDescent="0.2">
      <c r="A114" t="s">
        <v>34</v>
      </c>
      <c r="B114" t="str" cm="1">
        <f t="array" ref="B114:F114">_xlfn.TEXTSPLIT(A114,"_")</f>
        <v>MVPRP</v>
      </c>
      <c r="C114" t="str">
        <v>C15</v>
      </c>
      <c r="D114" t="str">
        <v>P9</v>
      </c>
      <c r="E114" t="str">
        <v>V2</v>
      </c>
      <c r="F114" t="str">
        <v>I1.dat</v>
      </c>
      <c r="G114" t="s">
        <v>28</v>
      </c>
      <c r="H114" t="s">
        <v>35</v>
      </c>
      <c r="I114">
        <v>78046.8</v>
      </c>
      <c r="J114">
        <v>75833.570013698001</v>
      </c>
      <c r="K114">
        <v>2.83577287768625E-2</v>
      </c>
      <c r="L114">
        <v>3600.5852036476099</v>
      </c>
      <c r="M114" t="s">
        <v>30</v>
      </c>
      <c r="N114">
        <v>198</v>
      </c>
      <c r="P114">
        <v>9000</v>
      </c>
      <c r="Q114">
        <v>40950</v>
      </c>
      <c r="R114">
        <v>14707</v>
      </c>
      <c r="S114">
        <v>9501</v>
      </c>
      <c r="T114">
        <v>0</v>
      </c>
      <c r="U114">
        <v>0</v>
      </c>
      <c r="V114">
        <v>3888.8</v>
      </c>
      <c r="W114">
        <v>1177</v>
      </c>
      <c r="X114">
        <v>2542</v>
      </c>
      <c r="Y114">
        <v>0</v>
      </c>
      <c r="Z114">
        <v>214</v>
      </c>
      <c r="AA114">
        <v>0</v>
      </c>
      <c r="AB114">
        <v>8.9037501109882601E-5</v>
      </c>
      <c r="AC114">
        <v>2.00397934238301E-4</v>
      </c>
      <c r="AD114">
        <v>5.0380303653377997E-3</v>
      </c>
      <c r="AE114">
        <v>8.5168667124722198E-3</v>
      </c>
      <c r="AF114">
        <v>0.100966823491402</v>
      </c>
    </row>
    <row r="115" spans="1:32" x14ac:dyDescent="0.2">
      <c r="A115" t="s">
        <v>36</v>
      </c>
      <c r="B115" t="str" cm="1">
        <f t="array" ref="B115:F115">_xlfn.TEXTSPLIT(A115,"_")</f>
        <v>MVPRP</v>
      </c>
      <c r="C115" t="str">
        <v>C10</v>
      </c>
      <c r="D115" t="str">
        <v>P6</v>
      </c>
      <c r="E115" t="str">
        <v>V2</v>
      </c>
      <c r="F115" t="str">
        <v>I1.dat</v>
      </c>
      <c r="G115" t="s">
        <v>28</v>
      </c>
      <c r="H115" t="s">
        <v>29</v>
      </c>
      <c r="I115">
        <v>30459.9</v>
      </c>
      <c r="J115">
        <v>30459.9</v>
      </c>
      <c r="K115">
        <v>0</v>
      </c>
      <c r="L115">
        <v>3.72987008094788</v>
      </c>
      <c r="M115" t="s">
        <v>30</v>
      </c>
      <c r="N115">
        <v>198</v>
      </c>
      <c r="P115">
        <v>6000</v>
      </c>
      <c r="Q115">
        <v>12690</v>
      </c>
      <c r="R115">
        <v>8163</v>
      </c>
      <c r="S115">
        <v>2706</v>
      </c>
      <c r="T115">
        <v>0</v>
      </c>
      <c r="U115">
        <v>0</v>
      </c>
      <c r="V115">
        <v>900.9</v>
      </c>
      <c r="W115">
        <v>13</v>
      </c>
      <c r="X115">
        <v>26</v>
      </c>
      <c r="Y115">
        <v>0</v>
      </c>
      <c r="Z115">
        <v>14</v>
      </c>
      <c r="AA115">
        <v>0</v>
      </c>
      <c r="AB115">
        <v>7.5711343521462301E-5</v>
      </c>
      <c r="AC115">
        <v>1.2702601296561101E-4</v>
      </c>
      <c r="AD115">
        <v>4.8930188020070396E-3</v>
      </c>
      <c r="AE115">
        <v>5.3193676166045402E-3</v>
      </c>
      <c r="AF115">
        <v>7.74634033441544E-2</v>
      </c>
    </row>
    <row r="116" spans="1:32" x14ac:dyDescent="0.2">
      <c r="A116" t="s">
        <v>37</v>
      </c>
      <c r="B116" t="str" cm="1">
        <f t="array" ref="B116:F116">_xlfn.TEXTSPLIT(A116,"_")</f>
        <v>MVPRP</v>
      </c>
      <c r="C116" t="str">
        <v>C15</v>
      </c>
      <c r="D116" t="str">
        <v>P6</v>
      </c>
      <c r="E116" t="str">
        <v>V2</v>
      </c>
      <c r="F116" t="str">
        <v>I1.dat</v>
      </c>
      <c r="G116" t="s">
        <v>28</v>
      </c>
      <c r="H116" t="s">
        <v>29</v>
      </c>
      <c r="I116">
        <v>43302.1</v>
      </c>
      <c r="J116">
        <v>43297.900001000002</v>
      </c>
      <c r="K116">
        <v>9.6992963389859298E-5</v>
      </c>
      <c r="L116">
        <v>249.010143041611</v>
      </c>
      <c r="M116" t="s">
        <v>30</v>
      </c>
      <c r="N116">
        <v>198</v>
      </c>
      <c r="P116">
        <v>6000</v>
      </c>
      <c r="Q116">
        <v>19800</v>
      </c>
      <c r="R116">
        <v>10877</v>
      </c>
      <c r="S116">
        <v>5023</v>
      </c>
      <c r="T116">
        <v>0</v>
      </c>
      <c r="U116">
        <v>0</v>
      </c>
      <c r="V116">
        <v>1602.1</v>
      </c>
      <c r="W116">
        <v>259</v>
      </c>
      <c r="X116">
        <v>332</v>
      </c>
      <c r="Y116">
        <v>0</v>
      </c>
      <c r="Z116">
        <v>49</v>
      </c>
      <c r="AA116">
        <v>0</v>
      </c>
      <c r="AB116">
        <v>6.2134125925625801E-5</v>
      </c>
      <c r="AC116">
        <v>1.2677046489795201E-4</v>
      </c>
      <c r="AD116">
        <v>3.9787723821693701E-3</v>
      </c>
      <c r="AE116">
        <v>5.6140173666540004E-3</v>
      </c>
      <c r="AF116">
        <v>5.46451197325728E-2</v>
      </c>
    </row>
    <row r="117" spans="1:32" x14ac:dyDescent="0.2">
      <c r="A117" t="s">
        <v>38</v>
      </c>
      <c r="B117" t="str" cm="1">
        <f t="array" ref="B117:F117">_xlfn.TEXTSPLIT(A117,"_")</f>
        <v>MVPRP</v>
      </c>
      <c r="C117" t="str">
        <v>C20</v>
      </c>
      <c r="D117" t="str">
        <v>P6</v>
      </c>
      <c r="E117" t="str">
        <v>V2</v>
      </c>
      <c r="F117" t="str">
        <v>I1.dat</v>
      </c>
      <c r="G117" t="s">
        <v>28</v>
      </c>
      <c r="H117" t="s">
        <v>29</v>
      </c>
      <c r="I117">
        <v>49276.7</v>
      </c>
      <c r="J117">
        <v>49276.7</v>
      </c>
      <c r="K117">
        <v>0</v>
      </c>
      <c r="L117">
        <v>49.398425340652501</v>
      </c>
      <c r="M117" t="s">
        <v>30</v>
      </c>
      <c r="N117">
        <v>283</v>
      </c>
      <c r="P117">
        <v>6000</v>
      </c>
      <c r="Q117">
        <v>23820</v>
      </c>
      <c r="R117">
        <v>12905</v>
      </c>
      <c r="S117">
        <v>4842</v>
      </c>
      <c r="T117">
        <v>0</v>
      </c>
      <c r="U117">
        <v>0</v>
      </c>
      <c r="V117">
        <v>1709.7</v>
      </c>
      <c r="W117">
        <v>38</v>
      </c>
      <c r="X117">
        <v>163</v>
      </c>
      <c r="Y117">
        <v>0</v>
      </c>
      <c r="Z117">
        <v>49</v>
      </c>
      <c r="AA117">
        <v>0</v>
      </c>
      <c r="AB117">
        <v>8.9817635288322596E-5</v>
      </c>
      <c r="AC117">
        <v>1.4369153746084299E-4</v>
      </c>
      <c r="AD117">
        <v>4.78358843817783E-3</v>
      </c>
      <c r="AE117">
        <v>5.5819098154703799E-3</v>
      </c>
      <c r="AF117">
        <v>0.20044552838360799</v>
      </c>
    </row>
    <row r="118" spans="1:32" x14ac:dyDescent="0.2">
      <c r="A118" t="s">
        <v>39</v>
      </c>
      <c r="B118" t="str" cm="1">
        <f t="array" ref="B118:F118">_xlfn.TEXTSPLIT(A118,"_")</f>
        <v>MVPRP</v>
      </c>
      <c r="C118" t="str">
        <v>C25</v>
      </c>
      <c r="D118" t="str">
        <v>P9</v>
      </c>
      <c r="E118" t="str">
        <v>V2</v>
      </c>
      <c r="F118" t="str">
        <v>I1.dat</v>
      </c>
      <c r="G118" t="s">
        <v>28</v>
      </c>
      <c r="H118" t="s">
        <v>35</v>
      </c>
      <c r="I118">
        <v>110498.89999997</v>
      </c>
      <c r="J118">
        <v>103708.23065734901</v>
      </c>
      <c r="K118">
        <v>6.14546329657829E-2</v>
      </c>
      <c r="L118">
        <v>3603.89449167252</v>
      </c>
      <c r="M118" t="s">
        <v>30</v>
      </c>
      <c r="N118">
        <v>283</v>
      </c>
      <c r="P118">
        <v>12000</v>
      </c>
      <c r="Q118">
        <v>59880</v>
      </c>
      <c r="R118">
        <v>21346</v>
      </c>
      <c r="S118">
        <v>9645</v>
      </c>
      <c r="T118">
        <v>0</v>
      </c>
      <c r="U118">
        <v>0</v>
      </c>
      <c r="V118">
        <v>7627.9</v>
      </c>
      <c r="W118">
        <v>1306</v>
      </c>
      <c r="X118">
        <v>4330</v>
      </c>
      <c r="Y118">
        <v>0</v>
      </c>
      <c r="Z118">
        <v>1381</v>
      </c>
      <c r="AA118">
        <v>0</v>
      </c>
      <c r="AB118">
        <v>1.0884134686517901E-4</v>
      </c>
      <c r="AC118">
        <v>2.1407571247602001E-4</v>
      </c>
      <c r="AD118">
        <v>4.4973278470603001E-3</v>
      </c>
      <c r="AE118">
        <v>7.4227400225620596E-3</v>
      </c>
      <c r="AF118">
        <v>0.55893864553695805</v>
      </c>
    </row>
    <row r="119" spans="1:32" x14ac:dyDescent="0.2">
      <c r="A119" t="s">
        <v>40</v>
      </c>
      <c r="B119" t="str" cm="1">
        <f t="array" ref="B119:F119">_xlfn.TEXTSPLIT(A119,"_")</f>
        <v>MVPRP</v>
      </c>
      <c r="C119" t="str">
        <v>C25</v>
      </c>
      <c r="D119" t="str">
        <v>P3</v>
      </c>
      <c r="E119" t="str">
        <v>V2</v>
      </c>
      <c r="F119" t="str">
        <v>I1.dat</v>
      </c>
      <c r="G119" t="s">
        <v>28</v>
      </c>
      <c r="H119" t="s">
        <v>29</v>
      </c>
      <c r="I119">
        <v>27643.200000000001</v>
      </c>
      <c r="J119">
        <v>27643.200000000001</v>
      </c>
      <c r="K119">
        <v>0</v>
      </c>
      <c r="L119">
        <v>13.009693622589101</v>
      </c>
      <c r="M119" t="s">
        <v>30</v>
      </c>
      <c r="N119">
        <v>283</v>
      </c>
      <c r="P119">
        <v>3000</v>
      </c>
      <c r="Q119">
        <v>14340</v>
      </c>
      <c r="R119">
        <v>5901</v>
      </c>
      <c r="S119">
        <v>2865</v>
      </c>
      <c r="T119">
        <v>0</v>
      </c>
      <c r="U119">
        <v>0</v>
      </c>
      <c r="V119">
        <v>1537.2</v>
      </c>
      <c r="W119">
        <v>35</v>
      </c>
      <c r="X119">
        <v>90</v>
      </c>
      <c r="Y119">
        <v>0</v>
      </c>
      <c r="Z119">
        <v>38</v>
      </c>
      <c r="AA119">
        <v>0</v>
      </c>
      <c r="AB119">
        <v>2.0622363132713099E-4</v>
      </c>
      <c r="AC119">
        <v>3.5695641685345699E-4</v>
      </c>
      <c r="AD119">
        <v>8.6109928968476097E-3</v>
      </c>
      <c r="AE119">
        <v>1.35321435721024E-2</v>
      </c>
      <c r="AF119">
        <v>0.293247580528259</v>
      </c>
    </row>
    <row r="120" spans="1:32" x14ac:dyDescent="0.2">
      <c r="A120" t="s">
        <v>41</v>
      </c>
      <c r="B120" t="str" cm="1">
        <f t="array" ref="B120:F120">_xlfn.TEXTSPLIT(A120,"_")</f>
        <v>MVPRP</v>
      </c>
      <c r="C120" t="str">
        <v>C25</v>
      </c>
      <c r="D120" t="str">
        <v>P6</v>
      </c>
      <c r="E120" t="str">
        <v>V2</v>
      </c>
      <c r="F120" t="str">
        <v>I1.dat</v>
      </c>
      <c r="G120" t="s">
        <v>28</v>
      </c>
      <c r="H120" t="s">
        <v>35</v>
      </c>
      <c r="I120">
        <v>59073.299941122597</v>
      </c>
      <c r="J120">
        <v>58994.765145617603</v>
      </c>
      <c r="K120">
        <v>1.32944656186996E-3</v>
      </c>
      <c r="L120">
        <v>3600.3955848217001</v>
      </c>
      <c r="M120" t="s">
        <v>30</v>
      </c>
      <c r="N120">
        <v>283</v>
      </c>
      <c r="P120">
        <v>6000</v>
      </c>
      <c r="Q120">
        <v>28379.999974186099</v>
      </c>
      <c r="R120">
        <v>17067.000114445302</v>
      </c>
      <c r="S120">
        <v>5582.9999118573196</v>
      </c>
      <c r="T120">
        <v>0</v>
      </c>
      <c r="U120">
        <v>0</v>
      </c>
      <c r="V120">
        <v>2043.29994063393</v>
      </c>
      <c r="W120">
        <v>447</v>
      </c>
      <c r="X120">
        <v>947</v>
      </c>
      <c r="Y120">
        <v>0</v>
      </c>
      <c r="Z120">
        <v>87</v>
      </c>
      <c r="AA120">
        <v>0</v>
      </c>
      <c r="AB120">
        <v>9.2677641985125102E-5</v>
      </c>
      <c r="AC120">
        <v>1.97279547888135E-4</v>
      </c>
      <c r="AD120">
        <v>4.2787612724930896E-3</v>
      </c>
      <c r="AE120">
        <v>7.3040601891092597E-3</v>
      </c>
      <c r="AF120">
        <v>0.16757898523043199</v>
      </c>
    </row>
    <row r="121" spans="1:32" x14ac:dyDescent="0.2">
      <c r="A121" t="s">
        <v>42</v>
      </c>
      <c r="B121" t="str" cm="1">
        <f t="array" ref="B121:F121">_xlfn.TEXTSPLIT(A121,"_")</f>
        <v>MVPRP</v>
      </c>
      <c r="C121" t="str">
        <v>C20</v>
      </c>
      <c r="D121" t="str">
        <v>P9</v>
      </c>
      <c r="E121" t="str">
        <v>V2</v>
      </c>
      <c r="F121" t="str">
        <v>I1.dat</v>
      </c>
      <c r="G121" t="s">
        <v>28</v>
      </c>
      <c r="H121" t="s">
        <v>35</v>
      </c>
      <c r="I121">
        <v>86838.899943257493</v>
      </c>
      <c r="J121">
        <v>85151.900380156207</v>
      </c>
      <c r="K121">
        <v>1.9426772612314899E-2</v>
      </c>
      <c r="L121">
        <v>3600.3015921115898</v>
      </c>
      <c r="M121" t="s">
        <v>30</v>
      </c>
      <c r="N121">
        <v>283</v>
      </c>
      <c r="P121">
        <v>9000</v>
      </c>
      <c r="Q121">
        <v>48120</v>
      </c>
      <c r="R121">
        <v>17465</v>
      </c>
      <c r="S121">
        <v>7817.0002904475696</v>
      </c>
      <c r="T121">
        <v>0</v>
      </c>
      <c r="U121">
        <v>0</v>
      </c>
      <c r="V121">
        <v>4436.8996528098896</v>
      </c>
      <c r="W121">
        <v>1399</v>
      </c>
      <c r="X121">
        <v>3056</v>
      </c>
      <c r="Y121">
        <v>0</v>
      </c>
      <c r="Z121">
        <v>525</v>
      </c>
      <c r="AA121">
        <v>0</v>
      </c>
      <c r="AB121">
        <v>8.0115020346591004E-5</v>
      </c>
      <c r="AC121">
        <v>1.7683355917942099E-4</v>
      </c>
      <c r="AD121">
        <v>3.7816068147651198E-3</v>
      </c>
      <c r="AE121">
        <v>6.9906912165856299E-3</v>
      </c>
      <c r="AF121">
        <v>0.143264231806356</v>
      </c>
    </row>
    <row r="122" spans="1:32" x14ac:dyDescent="0.2">
      <c r="A122" t="s">
        <v>27</v>
      </c>
      <c r="B122" t="str" cm="1">
        <f t="array" ref="B122:F122">_xlfn.TEXTSPLIT(A122,"_")</f>
        <v>MVPRP</v>
      </c>
      <c r="C122" t="str">
        <v>C20</v>
      </c>
      <c r="D122" t="str">
        <v>P3</v>
      </c>
      <c r="E122" t="str">
        <v>V2</v>
      </c>
      <c r="F122" t="str">
        <v>I1.dat</v>
      </c>
      <c r="G122" t="s">
        <v>43</v>
      </c>
      <c r="H122" t="s">
        <v>29</v>
      </c>
      <c r="I122">
        <v>23484.9</v>
      </c>
      <c r="J122">
        <v>23484.9</v>
      </c>
      <c r="K122">
        <v>0</v>
      </c>
      <c r="L122">
        <v>3.0464005470275901</v>
      </c>
      <c r="M122" t="s">
        <v>30</v>
      </c>
      <c r="N122">
        <v>283</v>
      </c>
      <c r="P122">
        <v>3000</v>
      </c>
      <c r="Q122">
        <v>12030</v>
      </c>
      <c r="R122">
        <v>4509</v>
      </c>
      <c r="S122">
        <v>2671</v>
      </c>
      <c r="T122">
        <v>0</v>
      </c>
      <c r="U122">
        <v>0</v>
      </c>
      <c r="V122">
        <v>1274.9000000000001</v>
      </c>
      <c r="W122">
        <v>12</v>
      </c>
      <c r="X122">
        <v>12</v>
      </c>
      <c r="Y122">
        <v>0</v>
      </c>
      <c r="Z122">
        <v>25</v>
      </c>
      <c r="AA122">
        <v>0</v>
      </c>
      <c r="AB122">
        <v>1.4361643022106499E-4</v>
      </c>
      <c r="AC122">
        <v>3.8390448599150698E-4</v>
      </c>
      <c r="AD122">
        <v>7.91773796081543E-3</v>
      </c>
      <c r="AE122">
        <v>1.21264159679413E-2</v>
      </c>
      <c r="AF122">
        <v>0.12764269965035599</v>
      </c>
    </row>
    <row r="123" spans="1:32" x14ac:dyDescent="0.2">
      <c r="A123" t="s">
        <v>31</v>
      </c>
      <c r="B123" t="str" cm="1">
        <f t="array" ref="B123:F123">_xlfn.TEXTSPLIT(A123,"_")</f>
        <v>MVPRP</v>
      </c>
      <c r="C123" t="str">
        <v>C10</v>
      </c>
      <c r="D123" t="str">
        <v>P9</v>
      </c>
      <c r="E123" t="str">
        <v>V2</v>
      </c>
      <c r="F123" t="str">
        <v>I1.dat</v>
      </c>
      <c r="G123" t="s">
        <v>43</v>
      </c>
      <c r="H123" t="s">
        <v>29</v>
      </c>
      <c r="I123">
        <v>52882.899854083204</v>
      </c>
      <c r="J123">
        <v>52880.256437552503</v>
      </c>
      <c r="K123">
        <v>4.9986224998341199E-5</v>
      </c>
      <c r="L123">
        <v>62.888027429580703</v>
      </c>
      <c r="M123" t="s">
        <v>30</v>
      </c>
      <c r="N123">
        <v>198</v>
      </c>
      <c r="P123">
        <v>9000</v>
      </c>
      <c r="Q123">
        <v>26369.999989792199</v>
      </c>
      <c r="R123">
        <v>10336</v>
      </c>
      <c r="S123">
        <v>5223</v>
      </c>
      <c r="T123">
        <v>0</v>
      </c>
      <c r="U123">
        <v>0</v>
      </c>
      <c r="V123">
        <v>1953.8998642909901</v>
      </c>
      <c r="W123">
        <v>86</v>
      </c>
      <c r="X123">
        <v>96</v>
      </c>
      <c r="Y123">
        <v>0</v>
      </c>
      <c r="Z123">
        <v>22</v>
      </c>
      <c r="AA123">
        <v>0</v>
      </c>
      <c r="AB123">
        <v>6.1369312859569795E-5</v>
      </c>
      <c r="AC123">
        <v>1.4553947905829301E-4</v>
      </c>
      <c r="AD123">
        <v>4.1324945301536601E-3</v>
      </c>
      <c r="AE123">
        <v>6.5077623787644402E-3</v>
      </c>
      <c r="AF123">
        <v>6.9051755799187597E-2</v>
      </c>
    </row>
    <row r="124" spans="1:32" x14ac:dyDescent="0.2">
      <c r="A124" t="s">
        <v>32</v>
      </c>
      <c r="B124" t="str" cm="1">
        <f t="array" ref="B124:F124">_xlfn.TEXTSPLIT(A124,"_")</f>
        <v>MVPRP</v>
      </c>
      <c r="C124" t="str">
        <v>C15</v>
      </c>
      <c r="D124" t="str">
        <v>P3</v>
      </c>
      <c r="E124" t="str">
        <v>V2</v>
      </c>
      <c r="F124" t="str">
        <v>I1.dat</v>
      </c>
      <c r="G124" t="s">
        <v>43</v>
      </c>
      <c r="H124" t="s">
        <v>29</v>
      </c>
      <c r="I124">
        <v>20511.5</v>
      </c>
      <c r="J124">
        <v>20511.5</v>
      </c>
      <c r="K124">
        <v>0</v>
      </c>
      <c r="L124">
        <v>8.4867391586303693</v>
      </c>
      <c r="M124" t="s">
        <v>30</v>
      </c>
      <c r="N124">
        <v>198</v>
      </c>
      <c r="P124">
        <v>3000</v>
      </c>
      <c r="Q124">
        <v>9960</v>
      </c>
      <c r="R124">
        <v>3896</v>
      </c>
      <c r="S124">
        <v>2762</v>
      </c>
      <c r="T124">
        <v>0</v>
      </c>
      <c r="U124">
        <v>0</v>
      </c>
      <c r="V124">
        <v>893.5</v>
      </c>
      <c r="W124">
        <v>10</v>
      </c>
      <c r="X124">
        <v>137</v>
      </c>
      <c r="Y124">
        <v>0</v>
      </c>
      <c r="Z124">
        <v>29</v>
      </c>
      <c r="AA124">
        <v>0</v>
      </c>
      <c r="AB124">
        <v>1.25391343060662E-4</v>
      </c>
      <c r="AC124">
        <v>2.1804475236213101E-4</v>
      </c>
      <c r="AD124">
        <v>7.4370252913323002E-3</v>
      </c>
      <c r="AE124">
        <v>9.60980826770335E-3</v>
      </c>
      <c r="AF124">
        <v>6.9008838046680801E-2</v>
      </c>
    </row>
    <row r="125" spans="1:32" x14ac:dyDescent="0.2">
      <c r="A125" t="s">
        <v>33</v>
      </c>
      <c r="B125" t="str" cm="1">
        <f t="array" ref="B125:F125">_xlfn.TEXTSPLIT(A125,"_")</f>
        <v>MVPRP</v>
      </c>
      <c r="C125" t="str">
        <v>C10</v>
      </c>
      <c r="D125" t="str">
        <v>P3</v>
      </c>
      <c r="E125" t="str">
        <v>V2</v>
      </c>
      <c r="F125" t="str">
        <v>I1.dat</v>
      </c>
      <c r="G125" t="s">
        <v>43</v>
      </c>
      <c r="H125" t="s">
        <v>29</v>
      </c>
      <c r="I125">
        <v>14480.9</v>
      </c>
      <c r="J125">
        <v>14480.9</v>
      </c>
      <c r="K125">
        <v>0</v>
      </c>
      <c r="L125">
        <v>0.76182770729064897</v>
      </c>
      <c r="M125" t="s">
        <v>30</v>
      </c>
      <c r="N125">
        <v>198</v>
      </c>
      <c r="P125">
        <v>3000</v>
      </c>
      <c r="Q125">
        <v>6390</v>
      </c>
      <c r="R125">
        <v>2999</v>
      </c>
      <c r="S125">
        <v>1535</v>
      </c>
      <c r="T125">
        <v>0</v>
      </c>
      <c r="U125">
        <v>0</v>
      </c>
      <c r="V125">
        <v>556.9</v>
      </c>
      <c r="W125">
        <v>4</v>
      </c>
      <c r="X125">
        <v>5</v>
      </c>
      <c r="Y125">
        <v>0</v>
      </c>
      <c r="Z125">
        <v>11</v>
      </c>
      <c r="AA125">
        <v>0</v>
      </c>
      <c r="AB125">
        <v>8.5188282860649994E-5</v>
      </c>
      <c r="AC125">
        <v>1.67157914903429E-4</v>
      </c>
      <c r="AD125">
        <v>5.5896282196044901E-3</v>
      </c>
      <c r="AE125">
        <v>7.2068770726521798E-3</v>
      </c>
      <c r="AF125">
        <v>3.1360069910685198E-2</v>
      </c>
    </row>
    <row r="126" spans="1:32" x14ac:dyDescent="0.2">
      <c r="A126" t="s">
        <v>34</v>
      </c>
      <c r="B126" t="str" cm="1">
        <f t="array" ref="B126:F126">_xlfn.TEXTSPLIT(A126,"_")</f>
        <v>MVPRP</v>
      </c>
      <c r="C126" t="str">
        <v>C15</v>
      </c>
      <c r="D126" t="str">
        <v>P9</v>
      </c>
      <c r="E126" t="str">
        <v>V2</v>
      </c>
      <c r="F126" t="str">
        <v>I1.dat</v>
      </c>
      <c r="G126" t="s">
        <v>43</v>
      </c>
      <c r="H126" t="s">
        <v>35</v>
      </c>
      <c r="I126">
        <v>77700.2</v>
      </c>
      <c r="J126">
        <v>75852.938173634597</v>
      </c>
      <c r="K126">
        <v>2.37742222846964E-2</v>
      </c>
      <c r="L126">
        <v>3601.0404717922202</v>
      </c>
      <c r="M126" t="s">
        <v>30</v>
      </c>
      <c r="N126">
        <v>198</v>
      </c>
      <c r="P126">
        <v>9000</v>
      </c>
      <c r="Q126">
        <v>40950</v>
      </c>
      <c r="R126">
        <v>14947</v>
      </c>
      <c r="S126">
        <v>8634</v>
      </c>
      <c r="T126">
        <v>0</v>
      </c>
      <c r="U126">
        <v>0</v>
      </c>
      <c r="V126">
        <v>4169.2</v>
      </c>
      <c r="W126">
        <v>1344</v>
      </c>
      <c r="X126">
        <v>2750</v>
      </c>
      <c r="Y126">
        <v>0</v>
      </c>
      <c r="Z126">
        <v>233</v>
      </c>
      <c r="AA126">
        <v>0</v>
      </c>
      <c r="AB126">
        <v>8.0826663205285504E-5</v>
      </c>
      <c r="AC126">
        <v>1.8639638258653E-4</v>
      </c>
      <c r="AD126">
        <v>4.9328447688153504E-3</v>
      </c>
      <c r="AE126">
        <v>8.1728355019591095E-3</v>
      </c>
      <c r="AF126">
        <v>0.102227666137511</v>
      </c>
    </row>
    <row r="127" spans="1:32" x14ac:dyDescent="0.2">
      <c r="A127" t="s">
        <v>36</v>
      </c>
      <c r="B127" t="str" cm="1">
        <f t="array" ref="B127:F127">_xlfn.TEXTSPLIT(A127,"_")</f>
        <v>MVPRP</v>
      </c>
      <c r="C127" t="str">
        <v>C10</v>
      </c>
      <c r="D127" t="str">
        <v>P6</v>
      </c>
      <c r="E127" t="str">
        <v>V2</v>
      </c>
      <c r="F127" t="str">
        <v>I1.dat</v>
      </c>
      <c r="G127" t="s">
        <v>43</v>
      </c>
      <c r="H127" t="s">
        <v>29</v>
      </c>
      <c r="I127">
        <v>30459.9</v>
      </c>
      <c r="J127">
        <v>30459.9</v>
      </c>
      <c r="K127">
        <v>0</v>
      </c>
      <c r="L127">
        <v>4.5368242263793901</v>
      </c>
      <c r="M127" t="s">
        <v>30</v>
      </c>
      <c r="N127">
        <v>198</v>
      </c>
      <c r="P127">
        <v>6000</v>
      </c>
      <c r="Q127">
        <v>12690</v>
      </c>
      <c r="R127">
        <v>8163</v>
      </c>
      <c r="S127">
        <v>2706</v>
      </c>
      <c r="T127">
        <v>0</v>
      </c>
      <c r="U127">
        <v>0</v>
      </c>
      <c r="V127">
        <v>900.9</v>
      </c>
      <c r="W127">
        <v>13</v>
      </c>
      <c r="X127">
        <v>43</v>
      </c>
      <c r="Y127">
        <v>0</v>
      </c>
      <c r="Z127">
        <v>13</v>
      </c>
      <c r="AA127">
        <v>0</v>
      </c>
      <c r="AB127">
        <v>6.7575191094623404E-5</v>
      </c>
      <c r="AC127">
        <v>1.4789574811247699E-4</v>
      </c>
      <c r="AD127">
        <v>4.28459151037808E-3</v>
      </c>
      <c r="AE127">
        <v>6.7915039403097996E-3</v>
      </c>
      <c r="AF127">
        <v>6.4094886183738695E-2</v>
      </c>
    </row>
    <row r="128" spans="1:32" x14ac:dyDescent="0.2">
      <c r="A128" t="s">
        <v>37</v>
      </c>
      <c r="B128" t="str" cm="1">
        <f t="array" ref="B128:F128">_xlfn.TEXTSPLIT(A128,"_")</f>
        <v>MVPRP</v>
      </c>
      <c r="C128" t="str">
        <v>C15</v>
      </c>
      <c r="D128" t="str">
        <v>P6</v>
      </c>
      <c r="E128" t="str">
        <v>V2</v>
      </c>
      <c r="F128" t="str">
        <v>I1.dat</v>
      </c>
      <c r="G128" t="s">
        <v>43</v>
      </c>
      <c r="H128" t="s">
        <v>29</v>
      </c>
      <c r="I128">
        <v>43302.099837843103</v>
      </c>
      <c r="J128">
        <v>43302.099837843103</v>
      </c>
      <c r="K128">
        <v>0</v>
      </c>
      <c r="L128">
        <v>292.98530220985401</v>
      </c>
      <c r="M128" t="s">
        <v>30</v>
      </c>
      <c r="N128">
        <v>198</v>
      </c>
      <c r="P128">
        <v>6000</v>
      </c>
      <c r="Q128">
        <v>19800</v>
      </c>
      <c r="R128">
        <v>10877.000236616201</v>
      </c>
      <c r="S128">
        <v>5022.9997391057304</v>
      </c>
      <c r="T128">
        <v>0</v>
      </c>
      <c r="U128">
        <v>0</v>
      </c>
      <c r="V128">
        <v>1602.09986212121</v>
      </c>
      <c r="W128">
        <v>268</v>
      </c>
      <c r="X128">
        <v>340</v>
      </c>
      <c r="Y128">
        <v>0</v>
      </c>
      <c r="Z128">
        <v>43</v>
      </c>
      <c r="AA128">
        <v>0</v>
      </c>
      <c r="AB128">
        <v>6.3304658289308903E-5</v>
      </c>
      <c r="AC128">
        <v>1.2791252059997501E-4</v>
      </c>
      <c r="AD128">
        <v>3.96226874381437E-3</v>
      </c>
      <c r="AE128">
        <v>5.3147695127413698E-3</v>
      </c>
      <c r="AF128">
        <v>5.6466002167362903E-2</v>
      </c>
    </row>
    <row r="129" spans="1:32" x14ac:dyDescent="0.2">
      <c r="A129" t="s">
        <v>38</v>
      </c>
      <c r="B129" t="str" cm="1">
        <f t="array" ref="B129:F129">_xlfn.TEXTSPLIT(A129,"_")</f>
        <v>MVPRP</v>
      </c>
      <c r="C129" t="str">
        <v>C20</v>
      </c>
      <c r="D129" t="str">
        <v>P6</v>
      </c>
      <c r="E129" t="str">
        <v>V2</v>
      </c>
      <c r="F129" t="str">
        <v>I1.dat</v>
      </c>
      <c r="G129" t="s">
        <v>43</v>
      </c>
      <c r="H129" t="s">
        <v>29</v>
      </c>
      <c r="I129">
        <v>49276.7</v>
      </c>
      <c r="J129">
        <v>49276.7</v>
      </c>
      <c r="K129">
        <v>0</v>
      </c>
      <c r="L129">
        <v>41.000118494033799</v>
      </c>
      <c r="M129" t="s">
        <v>30</v>
      </c>
      <c r="N129">
        <v>283</v>
      </c>
      <c r="P129">
        <v>6000</v>
      </c>
      <c r="Q129">
        <v>23820</v>
      </c>
      <c r="R129">
        <v>12905</v>
      </c>
      <c r="S129">
        <v>4842</v>
      </c>
      <c r="T129">
        <v>0</v>
      </c>
      <c r="U129">
        <v>0</v>
      </c>
      <c r="V129">
        <v>1709.7</v>
      </c>
      <c r="W129">
        <v>31</v>
      </c>
      <c r="X129">
        <v>137</v>
      </c>
      <c r="Y129">
        <v>0</v>
      </c>
      <c r="Z129">
        <v>47</v>
      </c>
      <c r="AA129">
        <v>0</v>
      </c>
      <c r="AB129">
        <v>7.6043520042364603E-5</v>
      </c>
      <c r="AC129">
        <v>1.4399280393026699E-4</v>
      </c>
      <c r="AD129">
        <v>4.5288739451374198E-3</v>
      </c>
      <c r="AE129">
        <v>5.2766031156632597E-3</v>
      </c>
      <c r="AF129">
        <v>0.195980613881891</v>
      </c>
    </row>
    <row r="130" spans="1:32" x14ac:dyDescent="0.2">
      <c r="A130" t="s">
        <v>39</v>
      </c>
      <c r="B130" t="str" cm="1">
        <f t="array" ref="B130:F130">_xlfn.TEXTSPLIT(A130,"_")</f>
        <v>MVPRP</v>
      </c>
      <c r="C130" t="str">
        <v>C25</v>
      </c>
      <c r="D130" t="str">
        <v>P9</v>
      </c>
      <c r="E130" t="str">
        <v>V2</v>
      </c>
      <c r="F130" t="str">
        <v>I1.dat</v>
      </c>
      <c r="G130" t="s">
        <v>43</v>
      </c>
      <c r="H130" t="s">
        <v>35</v>
      </c>
      <c r="I130">
        <v>108971.89999799999</v>
      </c>
      <c r="J130">
        <v>103727.088867065</v>
      </c>
      <c r="K130">
        <v>4.8129941122722501E-2</v>
      </c>
      <c r="L130">
        <v>3602.9460835456898</v>
      </c>
      <c r="M130" t="s">
        <v>30</v>
      </c>
      <c r="N130">
        <v>283</v>
      </c>
      <c r="P130">
        <v>9000</v>
      </c>
      <c r="Q130">
        <v>59880</v>
      </c>
      <c r="R130">
        <v>22776</v>
      </c>
      <c r="S130">
        <v>10834</v>
      </c>
      <c r="T130">
        <v>0</v>
      </c>
      <c r="U130">
        <v>0</v>
      </c>
      <c r="V130">
        <v>6481.8999989998401</v>
      </c>
      <c r="W130">
        <v>781</v>
      </c>
      <c r="X130">
        <v>3451</v>
      </c>
      <c r="Y130">
        <v>0</v>
      </c>
      <c r="Z130">
        <v>918</v>
      </c>
      <c r="AA130">
        <v>0</v>
      </c>
      <c r="AB130">
        <v>1.09177763519167E-4</v>
      </c>
      <c r="AC130">
        <v>2.15394982062697E-4</v>
      </c>
      <c r="AD130">
        <v>4.9825159788627199E-3</v>
      </c>
      <c r="AE130">
        <v>7.49357611317662E-3</v>
      </c>
      <c r="AF130">
        <v>0.48258159807975698</v>
      </c>
    </row>
    <row r="131" spans="1:32" x14ac:dyDescent="0.2">
      <c r="A131" t="s">
        <v>40</v>
      </c>
      <c r="B131" t="str" cm="1">
        <f t="array" ref="B131:F131">_xlfn.TEXTSPLIT(A131,"_")</f>
        <v>MVPRP</v>
      </c>
      <c r="C131" t="str">
        <v>C25</v>
      </c>
      <c r="D131" t="str">
        <v>P3</v>
      </c>
      <c r="E131" t="str">
        <v>V2</v>
      </c>
      <c r="F131" t="str">
        <v>I1.dat</v>
      </c>
      <c r="G131" t="s">
        <v>43</v>
      </c>
      <c r="H131" t="s">
        <v>29</v>
      </c>
      <c r="I131">
        <v>27643.200000000001</v>
      </c>
      <c r="J131">
        <v>27642.3617647059</v>
      </c>
      <c r="K131">
        <v>3.0323381306954199E-5</v>
      </c>
      <c r="L131">
        <v>9.5168607234954798</v>
      </c>
      <c r="M131" t="s">
        <v>30</v>
      </c>
      <c r="N131">
        <v>283</v>
      </c>
      <c r="P131">
        <v>3000</v>
      </c>
      <c r="Q131">
        <v>14340</v>
      </c>
      <c r="R131">
        <v>5901</v>
      </c>
      <c r="S131">
        <v>2865</v>
      </c>
      <c r="T131">
        <v>0</v>
      </c>
      <c r="U131">
        <v>0</v>
      </c>
      <c r="V131">
        <v>1537.2</v>
      </c>
      <c r="W131">
        <v>43</v>
      </c>
      <c r="X131">
        <v>67</v>
      </c>
      <c r="Y131">
        <v>0</v>
      </c>
      <c r="Z131">
        <v>46</v>
      </c>
      <c r="AA131">
        <v>0</v>
      </c>
      <c r="AB131">
        <v>1.8166171179877401E-4</v>
      </c>
      <c r="AC131">
        <v>3.2643061965259199E-4</v>
      </c>
      <c r="AD131">
        <v>7.9794438680013003E-3</v>
      </c>
      <c r="AE131">
        <v>1.1669028771890201E-2</v>
      </c>
      <c r="AF131">
        <v>0.300013808643117</v>
      </c>
    </row>
    <row r="132" spans="1:32" x14ac:dyDescent="0.2">
      <c r="A132" t="s">
        <v>41</v>
      </c>
      <c r="B132" t="str" cm="1">
        <f t="array" ref="B132:F132">_xlfn.TEXTSPLIT(A132,"_")</f>
        <v>MVPRP</v>
      </c>
      <c r="C132" t="str">
        <v>C25</v>
      </c>
      <c r="D132" t="str">
        <v>P6</v>
      </c>
      <c r="E132" t="str">
        <v>V2</v>
      </c>
      <c r="F132" t="str">
        <v>I1.dat</v>
      </c>
      <c r="G132" t="s">
        <v>43</v>
      </c>
      <c r="H132" t="s">
        <v>29</v>
      </c>
      <c r="I132">
        <v>59073.299991880602</v>
      </c>
      <c r="J132">
        <v>59071.247423086803</v>
      </c>
      <c r="K132">
        <v>3.4746133940423201E-5</v>
      </c>
      <c r="L132">
        <v>2639.2888188362099</v>
      </c>
      <c r="M132" t="s">
        <v>30</v>
      </c>
      <c r="N132">
        <v>283</v>
      </c>
      <c r="P132">
        <v>6000</v>
      </c>
      <c r="Q132">
        <v>28380</v>
      </c>
      <c r="R132">
        <v>17067.000159277301</v>
      </c>
      <c r="S132">
        <v>5582.99984267325</v>
      </c>
      <c r="T132">
        <v>0</v>
      </c>
      <c r="U132">
        <v>0</v>
      </c>
      <c r="V132">
        <v>2043.2999899300801</v>
      </c>
      <c r="W132">
        <v>409</v>
      </c>
      <c r="X132">
        <v>936</v>
      </c>
      <c r="Y132">
        <v>0</v>
      </c>
      <c r="Z132">
        <v>81</v>
      </c>
      <c r="AA132">
        <v>0</v>
      </c>
      <c r="AB132">
        <v>8.9297956445476607E-5</v>
      </c>
      <c r="AC132">
        <v>1.7704789737461399E-4</v>
      </c>
      <c r="AD132">
        <v>4.1539326674646599E-3</v>
      </c>
      <c r="AE132">
        <v>6.9508547349118599E-3</v>
      </c>
      <c r="AF132">
        <v>0.169862479891743</v>
      </c>
    </row>
    <row r="133" spans="1:32" x14ac:dyDescent="0.2">
      <c r="A133" t="s">
        <v>42</v>
      </c>
      <c r="B133" t="str" cm="1">
        <f t="array" ref="B133:F133">_xlfn.TEXTSPLIT(A133,"_")</f>
        <v>MVPRP</v>
      </c>
      <c r="C133" t="str">
        <v>C20</v>
      </c>
      <c r="D133" t="str">
        <v>P9</v>
      </c>
      <c r="E133" t="str">
        <v>V2</v>
      </c>
      <c r="F133" t="str">
        <v>I1.dat</v>
      </c>
      <c r="G133" t="s">
        <v>43</v>
      </c>
      <c r="H133" t="s">
        <v>35</v>
      </c>
      <c r="I133">
        <v>86842.599998999605</v>
      </c>
      <c r="J133">
        <v>85178.496815224906</v>
      </c>
      <c r="K133">
        <v>1.9162291131239701E-2</v>
      </c>
      <c r="L133">
        <v>3602.6408309936501</v>
      </c>
      <c r="M133" t="s">
        <v>30</v>
      </c>
      <c r="N133">
        <v>283</v>
      </c>
      <c r="P133">
        <v>9000</v>
      </c>
      <c r="Q133">
        <v>48120</v>
      </c>
      <c r="R133">
        <v>17895</v>
      </c>
      <c r="S133">
        <v>7368</v>
      </c>
      <c r="T133">
        <v>0</v>
      </c>
      <c r="U133">
        <v>0</v>
      </c>
      <c r="V133">
        <v>4459.599999</v>
      </c>
      <c r="W133">
        <v>1491</v>
      </c>
      <c r="X133">
        <v>3077</v>
      </c>
      <c r="Y133">
        <v>0</v>
      </c>
      <c r="Z133">
        <v>484</v>
      </c>
      <c r="AA133">
        <v>0</v>
      </c>
      <c r="AB133">
        <v>7.7886869514428103E-5</v>
      </c>
      <c r="AC133">
        <v>1.6884417486911799E-4</v>
      </c>
      <c r="AD133">
        <v>3.81137838227367E-3</v>
      </c>
      <c r="AE133">
        <v>6.47981545841716E-3</v>
      </c>
      <c r="AF133">
        <v>0.14005093540164201</v>
      </c>
    </row>
    <row r="134" spans="1:32" x14ac:dyDescent="0.2">
      <c r="A134" t="s">
        <v>27</v>
      </c>
      <c r="B134" t="str" cm="1">
        <f t="array" ref="B134:F134">_xlfn.TEXTSPLIT(A134,"_")</f>
        <v>MVPRP</v>
      </c>
      <c r="C134" t="str">
        <v>C20</v>
      </c>
      <c r="D134" t="str">
        <v>P3</v>
      </c>
      <c r="E134" t="str">
        <v>V2</v>
      </c>
      <c r="F134" t="str">
        <v>I1.dat</v>
      </c>
      <c r="G134" t="s">
        <v>43</v>
      </c>
      <c r="H134" t="s">
        <v>29</v>
      </c>
      <c r="I134">
        <v>23484.9000000001</v>
      </c>
      <c r="J134">
        <v>23484.9000000001</v>
      </c>
      <c r="K134">
        <v>0</v>
      </c>
      <c r="L134">
        <v>4.0685291290283203</v>
      </c>
      <c r="M134" t="s">
        <v>30</v>
      </c>
      <c r="N134">
        <v>283</v>
      </c>
      <c r="P134">
        <v>3000</v>
      </c>
      <c r="Q134">
        <v>12030</v>
      </c>
      <c r="R134">
        <v>4509</v>
      </c>
      <c r="S134">
        <v>2671</v>
      </c>
      <c r="T134">
        <v>0</v>
      </c>
      <c r="U134">
        <v>0</v>
      </c>
      <c r="V134">
        <v>1274.9000000000001</v>
      </c>
      <c r="W134">
        <v>19</v>
      </c>
      <c r="X134">
        <v>15</v>
      </c>
      <c r="Y134">
        <v>0</v>
      </c>
      <c r="Z134">
        <v>26</v>
      </c>
      <c r="AA134">
        <v>0</v>
      </c>
      <c r="AB134">
        <v>1.13447974709903E-4</v>
      </c>
      <c r="AC134">
        <v>3.2523473103841203E-4</v>
      </c>
      <c r="AD134">
        <v>7.0235729217529297E-3</v>
      </c>
      <c r="AE134">
        <v>1.04177640034602E-2</v>
      </c>
      <c r="AF134">
        <v>0.122850406169891</v>
      </c>
    </row>
    <row r="135" spans="1:32" x14ac:dyDescent="0.2">
      <c r="A135" t="s">
        <v>31</v>
      </c>
      <c r="B135" t="str" cm="1">
        <f t="array" ref="B135:F135">_xlfn.TEXTSPLIT(A135,"_")</f>
        <v>MVPRP</v>
      </c>
      <c r="C135" t="str">
        <v>C10</v>
      </c>
      <c r="D135" t="str">
        <v>P9</v>
      </c>
      <c r="E135" t="str">
        <v>V2</v>
      </c>
      <c r="F135" t="str">
        <v>I1.dat</v>
      </c>
      <c r="G135" t="s">
        <v>43</v>
      </c>
      <c r="H135" t="s">
        <v>29</v>
      </c>
      <c r="I135">
        <v>52882.899879130098</v>
      </c>
      <c r="J135">
        <v>52882.899879130098</v>
      </c>
      <c r="K135">
        <v>0</v>
      </c>
      <c r="L135">
        <v>63.490483522415197</v>
      </c>
      <c r="M135" t="s">
        <v>30</v>
      </c>
      <c r="N135">
        <v>198</v>
      </c>
      <c r="P135">
        <v>9000</v>
      </c>
      <c r="Q135">
        <v>26370</v>
      </c>
      <c r="R135">
        <v>10336</v>
      </c>
      <c r="S135">
        <v>5223</v>
      </c>
      <c r="T135">
        <v>0</v>
      </c>
      <c r="U135">
        <v>0</v>
      </c>
      <c r="V135">
        <v>1953.89988098611</v>
      </c>
      <c r="W135">
        <v>92</v>
      </c>
      <c r="X135">
        <v>120</v>
      </c>
      <c r="Y135">
        <v>0</v>
      </c>
      <c r="Z135">
        <v>21</v>
      </c>
      <c r="AA135">
        <v>0</v>
      </c>
      <c r="AB135">
        <v>6.5536972898874206E-5</v>
      </c>
      <c r="AC135">
        <v>1.6175465627313001E-4</v>
      </c>
      <c r="AD135">
        <v>4.5519650664081097E-3</v>
      </c>
      <c r="AE135">
        <v>7.1199188221982099E-3</v>
      </c>
      <c r="AF135">
        <v>7.6257028697449505E-2</v>
      </c>
    </row>
    <row r="136" spans="1:32" x14ac:dyDescent="0.2">
      <c r="A136" t="s">
        <v>32</v>
      </c>
      <c r="B136" t="str" cm="1">
        <f t="array" ref="B136:F136">_xlfn.TEXTSPLIT(A136,"_")</f>
        <v>MVPRP</v>
      </c>
      <c r="C136" t="str">
        <v>C15</v>
      </c>
      <c r="D136" t="str">
        <v>P3</v>
      </c>
      <c r="E136" t="str">
        <v>V2</v>
      </c>
      <c r="F136" t="str">
        <v>I1.dat</v>
      </c>
      <c r="G136" t="s">
        <v>43</v>
      </c>
      <c r="H136" t="s">
        <v>29</v>
      </c>
      <c r="I136">
        <v>20511.5</v>
      </c>
      <c r="J136">
        <v>20511.5</v>
      </c>
      <c r="K136">
        <v>0</v>
      </c>
      <c r="L136">
        <v>6.3441903591155997</v>
      </c>
      <c r="M136" t="s">
        <v>30</v>
      </c>
      <c r="N136">
        <v>198</v>
      </c>
      <c r="P136">
        <v>3000</v>
      </c>
      <c r="Q136">
        <v>9960</v>
      </c>
      <c r="R136">
        <v>3896</v>
      </c>
      <c r="S136">
        <v>2762</v>
      </c>
      <c r="T136">
        <v>0</v>
      </c>
      <c r="U136">
        <v>0</v>
      </c>
      <c r="V136">
        <v>893.5</v>
      </c>
      <c r="W136">
        <v>12</v>
      </c>
      <c r="X136">
        <v>103</v>
      </c>
      <c r="Y136">
        <v>0</v>
      </c>
      <c r="Z136">
        <v>29</v>
      </c>
      <c r="AA136">
        <v>0</v>
      </c>
      <c r="AB136">
        <v>1.34432902101611E-4</v>
      </c>
      <c r="AC136">
        <v>2.1003372040554101E-4</v>
      </c>
      <c r="AD136">
        <v>7.5071404377619402E-3</v>
      </c>
      <c r="AE136">
        <v>9.6537884912992807E-3</v>
      </c>
      <c r="AF136">
        <v>7.2731409754071899E-2</v>
      </c>
    </row>
    <row r="137" spans="1:32" x14ac:dyDescent="0.2">
      <c r="A137" t="s">
        <v>33</v>
      </c>
      <c r="B137" t="str" cm="1">
        <f t="array" ref="B137:F137">_xlfn.TEXTSPLIT(A137,"_")</f>
        <v>MVPRP</v>
      </c>
      <c r="C137" t="str">
        <v>C10</v>
      </c>
      <c r="D137" t="str">
        <v>P3</v>
      </c>
      <c r="E137" t="str">
        <v>V2</v>
      </c>
      <c r="F137" t="str">
        <v>I1.dat</v>
      </c>
      <c r="G137" t="s">
        <v>43</v>
      </c>
      <c r="H137" t="s">
        <v>29</v>
      </c>
      <c r="I137">
        <v>14480.9</v>
      </c>
      <c r="J137">
        <v>14480.9</v>
      </c>
      <c r="K137">
        <v>0</v>
      </c>
      <c r="L137">
        <v>0.83750677108764704</v>
      </c>
      <c r="M137" t="s">
        <v>30</v>
      </c>
      <c r="N137">
        <v>198</v>
      </c>
      <c r="P137">
        <v>3000</v>
      </c>
      <c r="Q137">
        <v>6390</v>
      </c>
      <c r="R137">
        <v>2999</v>
      </c>
      <c r="S137">
        <v>1535</v>
      </c>
      <c r="T137">
        <v>0</v>
      </c>
      <c r="U137">
        <v>0</v>
      </c>
      <c r="V137">
        <v>556.9</v>
      </c>
      <c r="W137">
        <v>7</v>
      </c>
      <c r="X137">
        <v>2</v>
      </c>
      <c r="Y137">
        <v>0</v>
      </c>
      <c r="Z137">
        <v>12</v>
      </c>
      <c r="AA137">
        <v>0</v>
      </c>
      <c r="AB137">
        <v>1.06597558045999E-4</v>
      </c>
      <c r="AC137">
        <v>1.8782615661621101E-4</v>
      </c>
      <c r="AD137">
        <v>6.4893886446952802E-3</v>
      </c>
      <c r="AE137">
        <v>4.1572366441999199E-3</v>
      </c>
      <c r="AF137">
        <v>3.74501705169678E-2</v>
      </c>
    </row>
    <row r="138" spans="1:32" x14ac:dyDescent="0.2">
      <c r="A138" t="s">
        <v>34</v>
      </c>
      <c r="B138" t="str" cm="1">
        <f t="array" ref="B138:F138">_xlfn.TEXTSPLIT(A138,"_")</f>
        <v>MVPRP</v>
      </c>
      <c r="C138" t="str">
        <v>C15</v>
      </c>
      <c r="D138" t="str">
        <v>P9</v>
      </c>
      <c r="E138" t="str">
        <v>V2</v>
      </c>
      <c r="F138" t="str">
        <v>I1.dat</v>
      </c>
      <c r="G138" t="s">
        <v>43</v>
      </c>
      <c r="H138" t="s">
        <v>35</v>
      </c>
      <c r="I138">
        <v>77964.899999999994</v>
      </c>
      <c r="J138">
        <v>75859.5185194019</v>
      </c>
      <c r="K138">
        <v>2.70042221640516E-2</v>
      </c>
      <c r="L138">
        <v>3600.9322376251198</v>
      </c>
      <c r="M138" t="s">
        <v>30</v>
      </c>
      <c r="N138">
        <v>198</v>
      </c>
      <c r="P138">
        <v>9000</v>
      </c>
      <c r="Q138">
        <v>40950</v>
      </c>
      <c r="R138">
        <v>15174</v>
      </c>
      <c r="S138">
        <v>8924</v>
      </c>
      <c r="T138">
        <v>0</v>
      </c>
      <c r="U138">
        <v>0</v>
      </c>
      <c r="V138">
        <v>3916.9</v>
      </c>
      <c r="W138">
        <v>1350</v>
      </c>
      <c r="X138">
        <v>2675</v>
      </c>
      <c r="Y138">
        <v>0</v>
      </c>
      <c r="Z138">
        <v>265</v>
      </c>
      <c r="AA138">
        <v>0</v>
      </c>
      <c r="AB138">
        <v>7.71645894947884E-5</v>
      </c>
      <c r="AC138">
        <v>1.7431784845877899E-4</v>
      </c>
      <c r="AD138">
        <v>4.7260935532999404E-3</v>
      </c>
      <c r="AE138">
        <v>7.5281985120984702E-3</v>
      </c>
      <c r="AF138">
        <v>0.11891186899609001</v>
      </c>
    </row>
    <row r="139" spans="1:32" x14ac:dyDescent="0.2">
      <c r="A139" t="s">
        <v>36</v>
      </c>
      <c r="B139" t="str" cm="1">
        <f t="array" ref="B139:F139">_xlfn.TEXTSPLIT(A139,"_")</f>
        <v>MVPRP</v>
      </c>
      <c r="C139" t="str">
        <v>C10</v>
      </c>
      <c r="D139" t="str">
        <v>P6</v>
      </c>
      <c r="E139" t="str">
        <v>V2</v>
      </c>
      <c r="F139" t="str">
        <v>I1.dat</v>
      </c>
      <c r="G139" t="s">
        <v>43</v>
      </c>
      <c r="H139" t="s">
        <v>29</v>
      </c>
      <c r="I139">
        <v>30459.9</v>
      </c>
      <c r="J139">
        <v>30459.9</v>
      </c>
      <c r="K139">
        <v>0</v>
      </c>
      <c r="L139">
        <v>9.10754299163818</v>
      </c>
      <c r="M139" t="s">
        <v>30</v>
      </c>
      <c r="N139">
        <v>198</v>
      </c>
      <c r="P139">
        <v>6000</v>
      </c>
      <c r="Q139">
        <v>12690</v>
      </c>
      <c r="R139">
        <v>8163</v>
      </c>
      <c r="S139">
        <v>2706</v>
      </c>
      <c r="T139">
        <v>0</v>
      </c>
      <c r="U139">
        <v>0</v>
      </c>
      <c r="V139">
        <v>900.9</v>
      </c>
      <c r="W139">
        <v>17</v>
      </c>
      <c r="X139">
        <v>36</v>
      </c>
      <c r="Y139">
        <v>0</v>
      </c>
      <c r="Z139">
        <v>15</v>
      </c>
      <c r="AA139">
        <v>0</v>
      </c>
      <c r="AB139">
        <v>7.4869248925185793E-5</v>
      </c>
      <c r="AC139">
        <v>1.1960265669361801E-4</v>
      </c>
      <c r="AD139">
        <v>4.7247812345430499E-3</v>
      </c>
      <c r="AE139">
        <v>5.3006817509342798E-3</v>
      </c>
      <c r="AF139">
        <v>6.8928740241310807E-2</v>
      </c>
    </row>
    <row r="140" spans="1:32" x14ac:dyDescent="0.2">
      <c r="A140" t="s">
        <v>37</v>
      </c>
      <c r="B140" t="str" cm="1">
        <f t="array" ref="B140:F140">_xlfn.TEXTSPLIT(A140,"_")</f>
        <v>MVPRP</v>
      </c>
      <c r="C140" t="str">
        <v>C15</v>
      </c>
      <c r="D140" t="str">
        <v>P6</v>
      </c>
      <c r="E140" t="str">
        <v>V2</v>
      </c>
      <c r="F140" t="str">
        <v>I1.dat</v>
      </c>
      <c r="G140" t="s">
        <v>43</v>
      </c>
      <c r="H140" t="s">
        <v>29</v>
      </c>
      <c r="I140">
        <v>43302.1</v>
      </c>
      <c r="J140">
        <v>43302.1</v>
      </c>
      <c r="K140">
        <v>0</v>
      </c>
      <c r="L140">
        <v>227.98823738098099</v>
      </c>
      <c r="M140" t="s">
        <v>30</v>
      </c>
      <c r="N140">
        <v>198</v>
      </c>
      <c r="P140">
        <v>6000</v>
      </c>
      <c r="Q140">
        <v>19800</v>
      </c>
      <c r="R140">
        <v>10877</v>
      </c>
      <c r="S140">
        <v>5023</v>
      </c>
      <c r="T140">
        <v>0</v>
      </c>
      <c r="U140">
        <v>0</v>
      </c>
      <c r="V140">
        <v>1602.1</v>
      </c>
      <c r="W140">
        <v>289</v>
      </c>
      <c r="X140">
        <v>335</v>
      </c>
      <c r="Y140">
        <v>0</v>
      </c>
      <c r="Z140">
        <v>50</v>
      </c>
      <c r="AA140">
        <v>0</v>
      </c>
      <c r="AB140">
        <v>6.69970764013757E-5</v>
      </c>
      <c r="AC140">
        <v>1.5296977024023699E-4</v>
      </c>
      <c r="AD140">
        <v>3.99089988497463E-3</v>
      </c>
      <c r="AE140">
        <v>6.2702184885888596E-3</v>
      </c>
      <c r="AF140">
        <v>5.7854832469166603E-2</v>
      </c>
    </row>
    <row r="141" spans="1:32" x14ac:dyDescent="0.2">
      <c r="A141" t="s">
        <v>38</v>
      </c>
      <c r="B141" t="str" cm="1">
        <f t="array" ref="B141:F141">_xlfn.TEXTSPLIT(A141,"_")</f>
        <v>MVPRP</v>
      </c>
      <c r="C141" t="str">
        <v>C20</v>
      </c>
      <c r="D141" t="str">
        <v>P6</v>
      </c>
      <c r="E141" t="str">
        <v>V2</v>
      </c>
      <c r="F141" t="str">
        <v>I1.dat</v>
      </c>
      <c r="G141" t="s">
        <v>43</v>
      </c>
      <c r="H141" t="s">
        <v>29</v>
      </c>
      <c r="I141">
        <v>49276.7</v>
      </c>
      <c r="J141">
        <v>49276.7</v>
      </c>
      <c r="K141">
        <v>0</v>
      </c>
      <c r="L141">
        <v>43.803781032562298</v>
      </c>
      <c r="M141" t="s">
        <v>30</v>
      </c>
      <c r="N141">
        <v>283</v>
      </c>
      <c r="P141">
        <v>6000</v>
      </c>
      <c r="Q141">
        <v>23820</v>
      </c>
      <c r="R141">
        <v>12905</v>
      </c>
      <c r="S141">
        <v>4842</v>
      </c>
      <c r="T141">
        <v>0</v>
      </c>
      <c r="U141">
        <v>0</v>
      </c>
      <c r="V141">
        <v>1709.7</v>
      </c>
      <c r="W141">
        <v>51</v>
      </c>
      <c r="X141">
        <v>182</v>
      </c>
      <c r="Y141">
        <v>0</v>
      </c>
      <c r="Z141">
        <v>50</v>
      </c>
      <c r="AA141">
        <v>0</v>
      </c>
      <c r="AB141">
        <v>8.30829733669168E-5</v>
      </c>
      <c r="AC141">
        <v>1.90768750185894E-4</v>
      </c>
      <c r="AD141">
        <v>4.2588001733375701E-3</v>
      </c>
      <c r="AE141">
        <v>7.5709590745284602E-3</v>
      </c>
      <c r="AF141">
        <v>0.173926460115533</v>
      </c>
    </row>
    <row r="142" spans="1:32" x14ac:dyDescent="0.2">
      <c r="A142" t="s">
        <v>39</v>
      </c>
      <c r="B142" t="str" cm="1">
        <f t="array" ref="B142:F142">_xlfn.TEXTSPLIT(A142,"_")</f>
        <v>MVPRP</v>
      </c>
      <c r="C142" t="str">
        <v>C25</v>
      </c>
      <c r="D142" t="str">
        <v>P9</v>
      </c>
      <c r="E142" t="str">
        <v>V2</v>
      </c>
      <c r="F142" t="str">
        <v>I1.dat</v>
      </c>
      <c r="G142" t="s">
        <v>43</v>
      </c>
      <c r="H142" t="s">
        <v>35</v>
      </c>
      <c r="I142">
        <v>110742.7</v>
      </c>
      <c r="J142">
        <v>103730.576102987</v>
      </c>
      <c r="K142">
        <v>6.3319062087283703E-2</v>
      </c>
      <c r="L142">
        <v>3602.2209014892601</v>
      </c>
      <c r="M142" t="s">
        <v>30</v>
      </c>
      <c r="N142">
        <v>283</v>
      </c>
      <c r="P142">
        <v>12000</v>
      </c>
      <c r="Q142">
        <v>59880</v>
      </c>
      <c r="R142">
        <v>25188</v>
      </c>
      <c r="S142">
        <v>9624</v>
      </c>
      <c r="T142">
        <v>0</v>
      </c>
      <c r="U142">
        <v>0</v>
      </c>
      <c r="V142">
        <v>4050.7</v>
      </c>
      <c r="W142">
        <v>1251</v>
      </c>
      <c r="X142">
        <v>4521</v>
      </c>
      <c r="Y142">
        <v>0</v>
      </c>
      <c r="Z142">
        <v>1383</v>
      </c>
      <c r="AA142">
        <v>0</v>
      </c>
      <c r="AB142">
        <v>1.01320812433841E-4</v>
      </c>
      <c r="AC142">
        <v>2.0639244858567101E-4</v>
      </c>
      <c r="AD142">
        <v>4.3811167413580401E-3</v>
      </c>
      <c r="AE142">
        <v>7.2831838088860904E-3</v>
      </c>
      <c r="AF142">
        <v>0.56812896675971603</v>
      </c>
    </row>
    <row r="143" spans="1:32" x14ac:dyDescent="0.2">
      <c r="A143" t="s">
        <v>40</v>
      </c>
      <c r="B143" t="str" cm="1">
        <f t="array" ref="B143:F143">_xlfn.TEXTSPLIT(A143,"_")</f>
        <v>MVPRP</v>
      </c>
      <c r="C143" t="str">
        <v>C25</v>
      </c>
      <c r="D143" t="str">
        <v>P3</v>
      </c>
      <c r="E143" t="str">
        <v>V2</v>
      </c>
      <c r="F143" t="str">
        <v>I1.dat</v>
      </c>
      <c r="G143" t="s">
        <v>43</v>
      </c>
      <c r="H143" t="s">
        <v>29</v>
      </c>
      <c r="I143">
        <v>27643.200000000001</v>
      </c>
      <c r="J143">
        <v>27643.200000000001</v>
      </c>
      <c r="K143">
        <v>0</v>
      </c>
      <c r="L143">
        <v>7.4643738269805899</v>
      </c>
      <c r="M143" t="s">
        <v>30</v>
      </c>
      <c r="N143">
        <v>283</v>
      </c>
      <c r="P143">
        <v>3000</v>
      </c>
      <c r="Q143">
        <v>14340</v>
      </c>
      <c r="R143">
        <v>5901</v>
      </c>
      <c r="S143">
        <v>2865</v>
      </c>
      <c r="T143">
        <v>0</v>
      </c>
      <c r="U143">
        <v>0</v>
      </c>
      <c r="V143">
        <v>1537.2</v>
      </c>
      <c r="W143">
        <v>41</v>
      </c>
      <c r="X143">
        <v>44</v>
      </c>
      <c r="Y143">
        <v>0</v>
      </c>
      <c r="Z143">
        <v>53</v>
      </c>
      <c r="AA143">
        <v>0</v>
      </c>
      <c r="AB143">
        <v>1.30396622877855E-4</v>
      </c>
      <c r="AC143">
        <v>2.7517477671305302E-4</v>
      </c>
      <c r="AD143">
        <v>6.9751143455505397E-3</v>
      </c>
      <c r="AE143">
        <v>9.7881473343947797E-3</v>
      </c>
      <c r="AF143">
        <v>0.248585263888041</v>
      </c>
    </row>
    <row r="144" spans="1:32" x14ac:dyDescent="0.2">
      <c r="A144" t="s">
        <v>41</v>
      </c>
      <c r="B144" t="str" cm="1">
        <f t="array" ref="B144:F144">_xlfn.TEXTSPLIT(A144,"_")</f>
        <v>MVPRP</v>
      </c>
      <c r="C144" t="str">
        <v>C25</v>
      </c>
      <c r="D144" t="str">
        <v>P6</v>
      </c>
      <c r="E144" t="str">
        <v>V2</v>
      </c>
      <c r="F144" t="str">
        <v>I1.dat</v>
      </c>
      <c r="G144" t="s">
        <v>43</v>
      </c>
      <c r="H144" t="s">
        <v>29</v>
      </c>
      <c r="I144">
        <v>59073.3</v>
      </c>
      <c r="J144">
        <v>59067.761803634297</v>
      </c>
      <c r="K144">
        <v>9.3751260987467495E-5</v>
      </c>
      <c r="L144">
        <v>2679.7372784614599</v>
      </c>
      <c r="M144" t="s">
        <v>30</v>
      </c>
      <c r="N144">
        <v>283</v>
      </c>
      <c r="P144">
        <v>6000</v>
      </c>
      <c r="Q144">
        <v>28380</v>
      </c>
      <c r="R144">
        <v>17067</v>
      </c>
      <c r="S144">
        <v>5583</v>
      </c>
      <c r="T144">
        <v>0</v>
      </c>
      <c r="U144">
        <v>0</v>
      </c>
      <c r="V144">
        <v>2043.3</v>
      </c>
      <c r="W144">
        <v>560</v>
      </c>
      <c r="X144">
        <v>1153</v>
      </c>
      <c r="Y144">
        <v>0</v>
      </c>
      <c r="Z144">
        <v>140</v>
      </c>
      <c r="AA144">
        <v>0</v>
      </c>
      <c r="AB144">
        <v>6.7967026502252495E-5</v>
      </c>
      <c r="AC144">
        <v>1.5962445178726599E-4</v>
      </c>
      <c r="AD144">
        <v>3.5638383246566099E-3</v>
      </c>
      <c r="AE144">
        <v>6.49276397270011E-3</v>
      </c>
      <c r="AF144">
        <v>0.134030630471001</v>
      </c>
    </row>
    <row r="145" spans="1:32" x14ac:dyDescent="0.2">
      <c r="A145" t="s">
        <v>42</v>
      </c>
      <c r="B145" t="str" cm="1">
        <f t="array" ref="B145:F145">_xlfn.TEXTSPLIT(A145,"_")</f>
        <v>MVPRP</v>
      </c>
      <c r="C145" t="str">
        <v>C20</v>
      </c>
      <c r="D145" t="str">
        <v>P9</v>
      </c>
      <c r="E145" t="str">
        <v>V2</v>
      </c>
      <c r="F145" t="str">
        <v>I1.dat</v>
      </c>
      <c r="G145" t="s">
        <v>43</v>
      </c>
      <c r="H145" t="s">
        <v>35</v>
      </c>
      <c r="I145">
        <v>86893.899999000001</v>
      </c>
      <c r="J145">
        <v>85158.135285473298</v>
      </c>
      <c r="K145">
        <v>1.9975679691516701E-2</v>
      </c>
      <c r="L145">
        <v>3601.0554871559102</v>
      </c>
      <c r="M145" t="s">
        <v>30</v>
      </c>
      <c r="N145">
        <v>283</v>
      </c>
      <c r="P145">
        <v>9000</v>
      </c>
      <c r="Q145">
        <v>48120</v>
      </c>
      <c r="R145">
        <v>17895</v>
      </c>
      <c r="S145">
        <v>7368</v>
      </c>
      <c r="T145">
        <v>0</v>
      </c>
      <c r="U145">
        <v>0</v>
      </c>
      <c r="V145">
        <v>4510.8999990000002</v>
      </c>
      <c r="W145">
        <v>1878</v>
      </c>
      <c r="X145">
        <v>3586</v>
      </c>
      <c r="Y145">
        <v>0</v>
      </c>
      <c r="Z145">
        <v>778</v>
      </c>
      <c r="AA145">
        <v>0</v>
      </c>
      <c r="AB145">
        <v>6.8360220705006804E-5</v>
      </c>
      <c r="AC145">
        <v>1.4779295877797899E-4</v>
      </c>
      <c r="AD145">
        <v>3.4918808844770998E-3</v>
      </c>
      <c r="AE145">
        <v>5.9290748577751004E-3</v>
      </c>
      <c r="AF145">
        <v>0.166891930191605</v>
      </c>
    </row>
  </sheetData>
  <autoFilter ref="A1:A145" xr:uid="{00000000-0009-0000-0000-000000000000}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16"/>
  <sheetViews>
    <sheetView zoomScaleNormal="100" workbookViewId="0">
      <selection activeCell="E13" sqref="E13"/>
    </sheetView>
  </sheetViews>
  <sheetFormatPr defaultColWidth="11.5703125" defaultRowHeight="12.75" x14ac:dyDescent="0.2"/>
  <cols>
    <col min="1" max="1" width="66" customWidth="1"/>
    <col min="6" max="6" width="20.7109375" customWidth="1"/>
    <col min="7" max="7" width="18.7109375" customWidth="1"/>
  </cols>
  <sheetData>
    <row r="1" spans="1:17" x14ac:dyDescent="0.2">
      <c r="B1" s="1" t="s">
        <v>1</v>
      </c>
      <c r="C1" s="1" t="s">
        <v>50</v>
      </c>
    </row>
    <row r="2" spans="1:17" x14ac:dyDescent="0.2">
      <c r="B2" t="s">
        <v>28</v>
      </c>
      <c r="F2" t="s">
        <v>43</v>
      </c>
      <c r="J2" t="s">
        <v>44</v>
      </c>
      <c r="N2" t="s">
        <v>45</v>
      </c>
    </row>
    <row r="3" spans="1:17" x14ac:dyDescent="0.2">
      <c r="A3" s="1" t="s">
        <v>0</v>
      </c>
      <c r="B3" t="s">
        <v>46</v>
      </c>
      <c r="C3" t="s">
        <v>47</v>
      </c>
      <c r="D3" t="s">
        <v>48</v>
      </c>
      <c r="E3" t="s">
        <v>49</v>
      </c>
      <c r="F3" t="s">
        <v>46</v>
      </c>
      <c r="G3" t="s">
        <v>47</v>
      </c>
      <c r="H3" t="s">
        <v>48</v>
      </c>
      <c r="I3" t="s">
        <v>49</v>
      </c>
      <c r="J3" t="s">
        <v>46</v>
      </c>
      <c r="K3" t="s">
        <v>47</v>
      </c>
      <c r="L3" t="s">
        <v>48</v>
      </c>
      <c r="M3" t="s">
        <v>49</v>
      </c>
      <c r="N3" t="s">
        <v>46</v>
      </c>
      <c r="O3" t="s">
        <v>47</v>
      </c>
      <c r="P3" t="s">
        <v>48</v>
      </c>
      <c r="Q3" t="s">
        <v>49</v>
      </c>
    </row>
    <row r="4" spans="1:17" x14ac:dyDescent="0.2">
      <c r="A4" t="s">
        <v>33</v>
      </c>
      <c r="B4" s="2">
        <v>0</v>
      </c>
      <c r="C4" s="2">
        <v>0.73358567555745424</v>
      </c>
      <c r="D4" s="2">
        <v>6</v>
      </c>
      <c r="E4" s="2">
        <v>2.9993912025734232E-2</v>
      </c>
      <c r="F4" s="2">
        <v>0</v>
      </c>
      <c r="G4" s="2">
        <v>0.79469068845113133</v>
      </c>
      <c r="H4" s="2">
        <v>5</v>
      </c>
      <c r="I4" s="2">
        <v>3.3171357048882362E-2</v>
      </c>
      <c r="J4" s="2">
        <v>0</v>
      </c>
      <c r="K4" s="2">
        <v>0.74349514643351267</v>
      </c>
      <c r="L4" s="2">
        <v>3.6666666666666665</v>
      </c>
      <c r="M4" s="2">
        <v>3.1520151082800832E-2</v>
      </c>
      <c r="N4" s="2">
        <v>0</v>
      </c>
      <c r="O4" s="2">
        <v>0.59519410133361839</v>
      </c>
      <c r="P4" s="2">
        <v>6.666666666666667</v>
      </c>
      <c r="Q4" s="2">
        <v>1.3946208086880801E-2</v>
      </c>
    </row>
    <row r="5" spans="1:17" x14ac:dyDescent="0.2">
      <c r="A5" t="s">
        <v>36</v>
      </c>
      <c r="B5" s="2">
        <v>3.3103632425677865E-5</v>
      </c>
      <c r="C5" s="2">
        <v>3.9050868352254269</v>
      </c>
      <c r="D5" s="2">
        <v>14</v>
      </c>
      <c r="E5" s="2">
        <v>6.2982942085517094E-2</v>
      </c>
      <c r="F5" s="2">
        <v>0</v>
      </c>
      <c r="G5" s="2">
        <v>5.71175686518351</v>
      </c>
      <c r="H5" s="2">
        <v>13.666666666666666</v>
      </c>
      <c r="I5" s="2">
        <v>6.2299116944223132E-2</v>
      </c>
      <c r="J5" s="2">
        <v>0</v>
      </c>
      <c r="K5" s="2">
        <v>4.1232849756876595</v>
      </c>
      <c r="L5" s="2">
        <v>14.666666666666666</v>
      </c>
      <c r="M5" s="2">
        <v>6.3333765854911225E-2</v>
      </c>
      <c r="N5" s="2">
        <v>0</v>
      </c>
      <c r="O5" s="2">
        <v>2.8446867465972865</v>
      </c>
      <c r="P5" s="2">
        <v>11.333333333333334</v>
      </c>
      <c r="Q5" s="2">
        <v>2.5379391205616501E-2</v>
      </c>
    </row>
    <row r="6" spans="1:17" x14ac:dyDescent="0.2">
      <c r="A6" t="s">
        <v>31</v>
      </c>
      <c r="B6" s="2">
        <v>0</v>
      </c>
      <c r="C6" s="2">
        <v>53.324636379877724</v>
      </c>
      <c r="D6" s="2">
        <v>88.333333333333329</v>
      </c>
      <c r="E6" s="2">
        <v>6.0577428340603263E-2</v>
      </c>
      <c r="F6" s="2">
        <v>1.6662074999447066E-5</v>
      </c>
      <c r="G6" s="2">
        <v>57.493513186772667</v>
      </c>
      <c r="H6" s="2">
        <v>91</v>
      </c>
      <c r="I6" s="2">
        <v>6.6461973720126702E-2</v>
      </c>
      <c r="J6" s="2">
        <v>0</v>
      </c>
      <c r="K6" s="2">
        <v>55.624682823816933</v>
      </c>
      <c r="L6" s="2">
        <v>90.333333333333329</v>
      </c>
      <c r="M6" s="2">
        <v>5.8641552195220069E-2</v>
      </c>
      <c r="N6" s="2">
        <v>0</v>
      </c>
      <c r="O6" s="2">
        <v>87.549963633219406</v>
      </c>
      <c r="P6" s="2">
        <v>165</v>
      </c>
      <c r="Q6" s="2">
        <v>2.2836391615415997E-2</v>
      </c>
    </row>
    <row r="7" spans="1:17" x14ac:dyDescent="0.2">
      <c r="A7" t="s">
        <v>32</v>
      </c>
      <c r="B7" s="2">
        <v>0</v>
      </c>
      <c r="C7" s="2">
        <v>6.2890731493632002</v>
      </c>
      <c r="D7" s="2">
        <v>9</v>
      </c>
      <c r="E7" s="2">
        <v>6.120783856751353E-2</v>
      </c>
      <c r="F7" s="2">
        <v>0</v>
      </c>
      <c r="G7" s="2">
        <v>7.2284843921661368</v>
      </c>
      <c r="H7" s="2">
        <v>10.666666666666666</v>
      </c>
      <c r="I7" s="2">
        <v>6.9070377173850728E-2</v>
      </c>
      <c r="J7" s="2">
        <v>0</v>
      </c>
      <c r="K7" s="2">
        <v>6.4112250804901096</v>
      </c>
      <c r="L7" s="2">
        <v>8.6666666666666661</v>
      </c>
      <c r="M7" s="2">
        <v>6.2744973138061891E-2</v>
      </c>
      <c r="N7" s="2">
        <v>0</v>
      </c>
      <c r="O7" s="2">
        <v>6.3889365196228036</v>
      </c>
      <c r="P7" s="2">
        <v>17</v>
      </c>
      <c r="Q7" s="2">
        <v>2.9809804930203233E-2</v>
      </c>
    </row>
    <row r="8" spans="1:17" x14ac:dyDescent="0.2">
      <c r="A8" t="s">
        <v>37</v>
      </c>
      <c r="B8" s="2">
        <v>3.2330987796619766E-5</v>
      </c>
      <c r="C8" s="2">
        <v>253.27239688237501</v>
      </c>
      <c r="D8" s="2">
        <v>275</v>
      </c>
      <c r="E8" s="2">
        <v>4.8604619074544365E-2</v>
      </c>
      <c r="F8" s="2">
        <v>0</v>
      </c>
      <c r="G8" s="2">
        <v>272.58345643679269</v>
      </c>
      <c r="H8" s="2">
        <v>276.66666666666669</v>
      </c>
      <c r="I8" s="2">
        <v>5.3528952495671633E-2</v>
      </c>
      <c r="J8" s="2">
        <v>0</v>
      </c>
      <c r="K8" s="2">
        <v>307.033890644709</v>
      </c>
      <c r="L8" s="2">
        <v>254.66666666666666</v>
      </c>
      <c r="M8" s="2">
        <v>5.4855610343228105E-2</v>
      </c>
      <c r="N8" s="2">
        <v>2.5332944514562203E-6</v>
      </c>
      <c r="O8" s="2">
        <v>455.01293238004064</v>
      </c>
      <c r="P8" s="2">
        <v>946.66666666666663</v>
      </c>
      <c r="Q8" s="2">
        <v>2.182868682479433E-2</v>
      </c>
    </row>
    <row r="9" spans="1:17" x14ac:dyDescent="0.2">
      <c r="A9" t="s">
        <v>34</v>
      </c>
      <c r="B9" s="2">
        <v>2.49493761932955E-2</v>
      </c>
      <c r="C9" s="2">
        <v>3600.7242191632599</v>
      </c>
      <c r="D9" s="2">
        <v>1435.3333333333333</v>
      </c>
      <c r="E9" s="2">
        <v>9.41811710022913E-2</v>
      </c>
      <c r="F9" s="2">
        <v>2.45323614530376E-2</v>
      </c>
      <c r="G9" s="2">
        <v>3601.0137567520137</v>
      </c>
      <c r="H9" s="2">
        <v>1388.6666666666667</v>
      </c>
      <c r="I9" s="2">
        <v>0.10239947988525734</v>
      </c>
      <c r="J9" s="2">
        <v>2.6109271799499265E-2</v>
      </c>
      <c r="K9" s="2">
        <v>3600.4270758628868</v>
      </c>
      <c r="L9" s="2">
        <v>1591.6666666666667</v>
      </c>
      <c r="M9" s="2">
        <v>0.11154571825162167</v>
      </c>
      <c r="N9" s="2">
        <v>2.5850432177996267E-2</v>
      </c>
      <c r="O9" s="2">
        <v>3600.7460943063102</v>
      </c>
      <c r="P9" s="2">
        <v>2827.6666666666665</v>
      </c>
      <c r="Q9" s="2">
        <v>5.8076883041303928E-2</v>
      </c>
    </row>
    <row r="10" spans="1:17" x14ac:dyDescent="0.2">
      <c r="A10" t="s">
        <v>27</v>
      </c>
      <c r="B10" s="2">
        <v>5.0153695748457339E-6</v>
      </c>
      <c r="C10" s="2">
        <v>3.7659963766733799</v>
      </c>
      <c r="D10" s="2">
        <v>20.666666666666668</v>
      </c>
      <c r="E10" s="2">
        <v>0.10474721933912078</v>
      </c>
      <c r="F10" s="2">
        <v>2.6021387193587834E-5</v>
      </c>
      <c r="G10" s="2">
        <v>3.5510856310526537</v>
      </c>
      <c r="H10" s="2">
        <v>17.666666666666668</v>
      </c>
      <c r="I10" s="2">
        <v>0.11867542634333</v>
      </c>
      <c r="J10" s="2">
        <v>5.2665594893011864E-5</v>
      </c>
      <c r="K10" s="2">
        <v>3.6168453693389906</v>
      </c>
      <c r="L10" s="2">
        <v>14.333333333333334</v>
      </c>
      <c r="M10" s="2">
        <v>0.11448941462569766</v>
      </c>
      <c r="N10" s="2">
        <v>1.3912308069126067E-5</v>
      </c>
      <c r="O10" s="2">
        <v>2.3792125384012865</v>
      </c>
      <c r="P10" s="2">
        <v>20.666666666666668</v>
      </c>
      <c r="Q10" s="2">
        <v>4.5723425282372367E-2</v>
      </c>
    </row>
    <row r="11" spans="1:17" x14ac:dyDescent="0.2">
      <c r="A11" t="s">
        <v>38</v>
      </c>
      <c r="B11" s="2">
        <v>2.8958369965963467E-5</v>
      </c>
      <c r="C11" s="2">
        <v>38.361219167709372</v>
      </c>
      <c r="D11" s="2">
        <v>42</v>
      </c>
      <c r="E11" s="2">
        <v>0.17656816726113533</v>
      </c>
      <c r="F11" s="2">
        <v>0</v>
      </c>
      <c r="G11" s="2">
        <v>43.740480025609337</v>
      </c>
      <c r="H11" s="2">
        <v>40</v>
      </c>
      <c r="I11" s="2">
        <v>0.17777924383169866</v>
      </c>
      <c r="J11" s="2">
        <v>0</v>
      </c>
      <c r="K11" s="2">
        <v>41.643199761708566</v>
      </c>
      <c r="L11" s="2">
        <v>39.333333333333336</v>
      </c>
      <c r="M11" s="2">
        <v>0.18222380447639999</v>
      </c>
      <c r="N11" s="2">
        <v>0</v>
      </c>
      <c r="O11" s="2">
        <v>35.164937416712434</v>
      </c>
      <c r="P11" s="2">
        <v>45</v>
      </c>
      <c r="Q11" s="2">
        <v>8.9997310222141469E-2</v>
      </c>
    </row>
    <row r="12" spans="1:17" x14ac:dyDescent="0.2">
      <c r="A12" t="s">
        <v>42</v>
      </c>
      <c r="B12" s="2">
        <v>1.9699778507299301E-2</v>
      </c>
      <c r="C12" s="2">
        <v>3600.7804037729898</v>
      </c>
      <c r="D12" s="2">
        <v>1832</v>
      </c>
      <c r="E12" s="2">
        <v>0.15723104305601335</v>
      </c>
      <c r="F12" s="2">
        <v>1.9420707908846035E-2</v>
      </c>
      <c r="G12" s="2">
        <v>3601.44241182009</v>
      </c>
      <c r="H12" s="2">
        <v>1720.6666666666667</v>
      </c>
      <c r="I12" s="2">
        <v>0.14145025642150399</v>
      </c>
      <c r="J12" s="2">
        <v>2.0357896795121334E-2</v>
      </c>
      <c r="K12" s="2">
        <v>3601.4790349801369</v>
      </c>
      <c r="L12" s="2">
        <v>1747.6666666666667</v>
      </c>
      <c r="M12" s="2">
        <v>0.15503412625003532</v>
      </c>
      <c r="N12" s="2">
        <v>2.0261116393593032E-2</v>
      </c>
      <c r="O12" s="2">
        <v>3601.830688079197</v>
      </c>
      <c r="P12" s="2">
        <v>2283</v>
      </c>
      <c r="Q12" s="2">
        <v>9.2062256891377217E-2</v>
      </c>
    </row>
    <row r="13" spans="1:17" x14ac:dyDescent="0.2">
      <c r="A13" t="s">
        <v>40</v>
      </c>
      <c r="B13" s="2">
        <v>0</v>
      </c>
      <c r="C13" s="2">
        <v>9.4966841538747104</v>
      </c>
      <c r="D13" s="2">
        <v>43.666666666666664</v>
      </c>
      <c r="E13" s="2">
        <v>0.26018419094157935</v>
      </c>
      <c r="F13" s="2">
        <v>1.0107793768984734E-5</v>
      </c>
      <c r="G13" s="2">
        <v>7.6590728759765598</v>
      </c>
      <c r="H13" s="2">
        <v>42.333333333333336</v>
      </c>
      <c r="I13" s="2">
        <v>0.26812243887142301</v>
      </c>
      <c r="J13" s="2">
        <v>0</v>
      </c>
      <c r="K13" s="2">
        <v>8.0021529197692871</v>
      </c>
      <c r="L13" s="2">
        <v>39.666666666666664</v>
      </c>
      <c r="M13" s="2">
        <v>0.30527511978590965</v>
      </c>
      <c r="N13" s="2">
        <v>0</v>
      </c>
      <c r="O13" s="2">
        <v>6.4326332410176592</v>
      </c>
      <c r="P13" s="2">
        <v>24.666666666666668</v>
      </c>
      <c r="Q13" s="2">
        <v>0.12448958484899465</v>
      </c>
    </row>
    <row r="14" spans="1:17" x14ac:dyDescent="0.2">
      <c r="A14" t="s">
        <v>41</v>
      </c>
      <c r="B14" s="2">
        <v>1.3119272293179666E-3</v>
      </c>
      <c r="C14" s="2">
        <v>3600.6555976867662</v>
      </c>
      <c r="D14" s="2">
        <v>488</v>
      </c>
      <c r="E14" s="2">
        <v>0.14407500123367034</v>
      </c>
      <c r="F14" s="2">
        <v>6.8244292641818797E-5</v>
      </c>
      <c r="G14" s="2">
        <v>2560.318832476933</v>
      </c>
      <c r="H14" s="2">
        <v>529</v>
      </c>
      <c r="I14" s="2">
        <v>0.14546220462214401</v>
      </c>
      <c r="J14" s="2">
        <v>1.7373243223560997E-3</v>
      </c>
      <c r="K14" s="2">
        <v>3602.2687494754796</v>
      </c>
      <c r="L14" s="2">
        <v>477.66666666666669</v>
      </c>
      <c r="M14" s="2">
        <v>0.14539472277111934</v>
      </c>
      <c r="N14" s="2">
        <v>1.5483279716252765E-3</v>
      </c>
      <c r="O14" s="2">
        <v>3600.71593443553</v>
      </c>
      <c r="P14" s="2">
        <v>763.33333333333337</v>
      </c>
      <c r="Q14" s="2">
        <v>7.180287973695311E-2</v>
      </c>
    </row>
    <row r="15" spans="1:17" x14ac:dyDescent="0.2">
      <c r="A15" t="s">
        <v>39</v>
      </c>
      <c r="B15" s="2">
        <v>5.2378419434592642E-2</v>
      </c>
      <c r="C15" s="2">
        <v>3602.1377625465398</v>
      </c>
      <c r="D15" s="2">
        <v>1135.3333333333333</v>
      </c>
      <c r="E15" s="2">
        <v>0.4696936194886987</v>
      </c>
      <c r="F15" s="2">
        <v>5.0191526839666635E-2</v>
      </c>
      <c r="G15" s="2">
        <v>3602.0328782399533</v>
      </c>
      <c r="H15" s="2">
        <v>936.33333333333337</v>
      </c>
      <c r="I15" s="2">
        <v>0.46362372800041562</v>
      </c>
      <c r="J15" s="2">
        <v>5.7573118175818803E-2</v>
      </c>
      <c r="K15" s="2">
        <v>3602.8628813425698</v>
      </c>
      <c r="L15" s="2">
        <v>1062.3333333333333</v>
      </c>
      <c r="M15" s="2">
        <v>0.55050736624006769</v>
      </c>
      <c r="N15" s="2">
        <v>5.4247401784504268E-2</v>
      </c>
      <c r="O15" s="2">
        <v>3602.21328171094</v>
      </c>
      <c r="P15" s="2">
        <v>1821.3333333333333</v>
      </c>
      <c r="Q15" s="2">
        <v>0.25484951283782603</v>
      </c>
    </row>
    <row r="16" spans="1:17" x14ac:dyDescent="0.2">
      <c r="A16" t="s">
        <v>51</v>
      </c>
      <c r="B16" s="2">
        <v>8.2032424770223742E-3</v>
      </c>
      <c r="C16" s="2">
        <v>1231.1205551491846</v>
      </c>
      <c r="D16" s="2">
        <v>449.11111111111109</v>
      </c>
      <c r="E16" s="2">
        <v>0.1391705960347018</v>
      </c>
      <c r="F16" s="2">
        <v>7.8554693125128441E-3</v>
      </c>
      <c r="G16" s="2">
        <v>1146.9642016159162</v>
      </c>
      <c r="H16" s="2">
        <v>422.63888888888891</v>
      </c>
      <c r="I16" s="2">
        <v>0.14183704627987728</v>
      </c>
      <c r="J16" s="2">
        <v>8.8191897239740438E-3</v>
      </c>
      <c r="K16" s="2">
        <v>1236.1863765319188</v>
      </c>
      <c r="L16" s="2">
        <v>445.38888888888891</v>
      </c>
      <c r="M16" s="2">
        <v>0.15296386041792281</v>
      </c>
      <c r="N16" s="2">
        <v>8.4936436608532839E-3</v>
      </c>
      <c r="O16" s="2">
        <v>1250.1562079257435</v>
      </c>
      <c r="P16" s="2">
        <v>744.36111111111109</v>
      </c>
      <c r="Q16" s="2">
        <v>7.0900194626989974E-2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"/>
  <sheetViews>
    <sheetView zoomScaleNormal="100" workbookViewId="0">
      <selection activeCell="C4" activeCellId="1" sqref="V4:V17 C4"/>
    </sheetView>
  </sheetViews>
  <sheetFormatPr defaultColWidth="11.5703125" defaultRowHeight="12.75" x14ac:dyDescent="0.2"/>
  <cols>
    <col min="1" max="1" width="66" customWidth="1"/>
  </cols>
  <sheetData>
    <row r="1" spans="1:4" x14ac:dyDescent="0.2">
      <c r="A1" s="1" t="s">
        <v>57</v>
      </c>
      <c r="B1" s="1" t="s">
        <v>2</v>
      </c>
    </row>
    <row r="2" spans="1:4" x14ac:dyDescent="0.2">
      <c r="A2" s="1" t="s">
        <v>1</v>
      </c>
      <c r="B2" t="s">
        <v>29</v>
      </c>
      <c r="C2" t="s">
        <v>35</v>
      </c>
      <c r="D2" t="s">
        <v>51</v>
      </c>
    </row>
    <row r="3" spans="1:4" x14ac:dyDescent="0.2">
      <c r="A3" t="s">
        <v>28</v>
      </c>
      <c r="B3" s="2">
        <v>24</v>
      </c>
      <c r="C3" s="2">
        <v>12</v>
      </c>
      <c r="D3" s="2">
        <v>36</v>
      </c>
    </row>
    <row r="4" spans="1:4" x14ac:dyDescent="0.2">
      <c r="A4" t="s">
        <v>43</v>
      </c>
      <c r="B4" s="2">
        <v>27</v>
      </c>
      <c r="C4" s="2">
        <v>9</v>
      </c>
      <c r="D4" s="2">
        <v>36</v>
      </c>
    </row>
    <row r="5" spans="1:4" x14ac:dyDescent="0.2">
      <c r="A5" t="s">
        <v>44</v>
      </c>
      <c r="B5" s="2">
        <v>24</v>
      </c>
      <c r="C5" s="2">
        <v>12</v>
      </c>
      <c r="D5" s="2">
        <v>36</v>
      </c>
    </row>
    <row r="6" spans="1:4" x14ac:dyDescent="0.2">
      <c r="A6" t="s">
        <v>45</v>
      </c>
      <c r="B6" s="2">
        <v>24</v>
      </c>
      <c r="C6" s="2">
        <v>12</v>
      </c>
      <c r="D6" s="2">
        <v>36</v>
      </c>
    </row>
    <row r="7" spans="1:4" x14ac:dyDescent="0.2">
      <c r="A7" t="s">
        <v>51</v>
      </c>
      <c r="B7" s="2">
        <v>99</v>
      </c>
      <c r="C7" s="2">
        <v>45</v>
      </c>
      <c r="D7" s="2">
        <v>144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Table Paper</vt:lpstr>
      <vt:lpstr>benders_bc_ParetoOpt_DelayedSol</vt:lpstr>
      <vt:lpstr>Pivot Table_benders_bc_ParetoOp</vt:lpstr>
      <vt:lpstr>Pivot Table_benders_bc_Pareto-1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Luis Rocha</cp:lastModifiedBy>
  <cp:revision>12</cp:revision>
  <dcterms:modified xsi:type="dcterms:W3CDTF">2025-09-09T19:07:50Z</dcterms:modified>
  <dc:language>en-US</dc:language>
</cp:coreProperties>
</file>