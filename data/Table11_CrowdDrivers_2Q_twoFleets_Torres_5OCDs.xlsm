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C:\Users\User\Documents\000_Passau\Research\Code\StochPRP_Git\data\"/>
    </mc:Choice>
  </mc:AlternateContent>
  <xr:revisionPtr revIDLastSave="0" documentId="13_ncr:1_{E3AAB985-1A89-47D5-995E-9197E83E98DE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PivotVCD" sheetId="3" r:id="rId1"/>
    <sheet name="VCD_Calc" sheetId="5" r:id="rId2"/>
    <sheet name="PivotVCDVSS_Calc" sheetId="7" r:id="rId3"/>
    <sheet name="VCDVSS_Calc" sheetId="6" r:id="rId4"/>
    <sheet name="model1_homogeneousK_16_threads_" sheetId="1" r:id="rId5"/>
  </sheets>
  <definedNames>
    <definedName name="_xlnm._FilterDatabase" localSheetId="4" hidden="1">model1_homogeneousK_16_threads_!$E$1:$E$169</definedName>
  </definedNames>
  <calcPr calcId="191029"/>
  <pivotCaches>
    <pivotCache cacheId="1" r:id="rId6"/>
    <pivotCache cacheId="2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AC43" i="6" l="1"/>
  <c r="AA43" i="6"/>
  <c r="AB43" i="6" s="1"/>
  <c r="Z43" i="6"/>
  <c r="Y43" i="6"/>
  <c r="W43" i="6"/>
  <c r="X43" i="6" s="1"/>
  <c r="B43" i="6" a="1"/>
  <c r="B43" i="6" s="1"/>
  <c r="AC42" i="6"/>
  <c r="AA42" i="6"/>
  <c r="AB42" i="6" s="1"/>
  <c r="Z42" i="6"/>
  <c r="Y42" i="6"/>
  <c r="W42" i="6"/>
  <c r="X42" i="6" s="1"/>
  <c r="B42" i="6"/>
  <c r="B42" i="6" a="1"/>
  <c r="AC41" i="6"/>
  <c r="AA41" i="6"/>
  <c r="AB41" i="6" s="1"/>
  <c r="Z41" i="6"/>
  <c r="Y41" i="6"/>
  <c r="W41" i="6"/>
  <c r="X41" i="6" s="1"/>
  <c r="B41" i="6" a="1"/>
  <c r="B41" i="6" s="1"/>
  <c r="AC40" i="6"/>
  <c r="AA40" i="6"/>
  <c r="AB40" i="6" s="1"/>
  <c r="Z40" i="6"/>
  <c r="Y40" i="6"/>
  <c r="W40" i="6"/>
  <c r="X40" i="6" s="1"/>
  <c r="B40" i="6" a="1"/>
  <c r="B40" i="6" s="1"/>
  <c r="AC39" i="6"/>
  <c r="AA39" i="6"/>
  <c r="AB39" i="6" s="1"/>
  <c r="Z39" i="6"/>
  <c r="Y39" i="6"/>
  <c r="W39" i="6"/>
  <c r="X39" i="6" s="1"/>
  <c r="B39" i="6" a="1"/>
  <c r="B39" i="6" s="1"/>
  <c r="AC38" i="6"/>
  <c r="AA38" i="6"/>
  <c r="AB38" i="6" s="1"/>
  <c r="Z38" i="6"/>
  <c r="Y38" i="6"/>
  <c r="W38" i="6"/>
  <c r="X38" i="6" s="1"/>
  <c r="B38" i="6" a="1"/>
  <c r="B38" i="6" s="1"/>
  <c r="AC37" i="6"/>
  <c r="AA37" i="6"/>
  <c r="AB37" i="6" s="1"/>
  <c r="Z37" i="6"/>
  <c r="Y37" i="6"/>
  <c r="W37" i="6"/>
  <c r="X37" i="6" s="1"/>
  <c r="B37" i="6" a="1"/>
  <c r="B37" i="6" s="1"/>
  <c r="AC36" i="6"/>
  <c r="AA36" i="6"/>
  <c r="AB36" i="6" s="1"/>
  <c r="Z36" i="6"/>
  <c r="Y36" i="6"/>
  <c r="W36" i="6"/>
  <c r="X36" i="6" s="1"/>
  <c r="B36" i="6" a="1"/>
  <c r="B36" i="6" s="1"/>
  <c r="AC35" i="6"/>
  <c r="AA35" i="6"/>
  <c r="AB35" i="6" s="1"/>
  <c r="Z35" i="6"/>
  <c r="Y35" i="6"/>
  <c r="W35" i="6"/>
  <c r="X35" i="6" s="1"/>
  <c r="B35" i="6" a="1"/>
  <c r="B35" i="6" s="1"/>
  <c r="AC34" i="6"/>
  <c r="AA34" i="6"/>
  <c r="AB34" i="6" s="1"/>
  <c r="Z34" i="6"/>
  <c r="Y34" i="6"/>
  <c r="W34" i="6"/>
  <c r="X34" i="6" s="1"/>
  <c r="B34" i="6" a="1"/>
  <c r="B34" i="6" s="1"/>
  <c r="AC33" i="6"/>
  <c r="AA33" i="6"/>
  <c r="AB33" i="6" s="1"/>
  <c r="Z33" i="6"/>
  <c r="Y33" i="6"/>
  <c r="W33" i="6"/>
  <c r="X33" i="6" s="1"/>
  <c r="B33" i="6" a="1"/>
  <c r="B33" i="6" s="1"/>
  <c r="AC32" i="6"/>
  <c r="AA32" i="6"/>
  <c r="AB32" i="6" s="1"/>
  <c r="Z32" i="6"/>
  <c r="Y32" i="6"/>
  <c r="W32" i="6"/>
  <c r="X32" i="6" s="1"/>
  <c r="B32" i="6" a="1"/>
  <c r="B32" i="6" s="1"/>
  <c r="AC31" i="6"/>
  <c r="AA31" i="6"/>
  <c r="AB31" i="6" s="1"/>
  <c r="Z31" i="6"/>
  <c r="Y31" i="6"/>
  <c r="W31" i="6"/>
  <c r="X31" i="6" s="1"/>
  <c r="B31" i="6" a="1"/>
  <c r="B31" i="6" s="1"/>
  <c r="AC30" i="6"/>
  <c r="AA30" i="6"/>
  <c r="AB30" i="6" s="1"/>
  <c r="Z30" i="6"/>
  <c r="Y30" i="6"/>
  <c r="W30" i="6"/>
  <c r="X30" i="6" s="1"/>
  <c r="B30" i="6" a="1"/>
  <c r="B30" i="6" s="1"/>
  <c r="AC29" i="6"/>
  <c r="AA29" i="6"/>
  <c r="AB29" i="6" s="1"/>
  <c r="Z29" i="6"/>
  <c r="Y29" i="6"/>
  <c r="W29" i="6"/>
  <c r="X29" i="6" s="1"/>
  <c r="B29" i="6" a="1"/>
  <c r="B29" i="6" s="1"/>
  <c r="AC28" i="6"/>
  <c r="AA28" i="6"/>
  <c r="AB28" i="6" s="1"/>
  <c r="Z28" i="6"/>
  <c r="Y28" i="6"/>
  <c r="W28" i="6"/>
  <c r="X28" i="6" s="1"/>
  <c r="B28" i="6" a="1"/>
  <c r="B28" i="6" s="1"/>
  <c r="AC27" i="6"/>
  <c r="AA27" i="6"/>
  <c r="AB27" i="6" s="1"/>
  <c r="Z27" i="6"/>
  <c r="Y27" i="6"/>
  <c r="W27" i="6"/>
  <c r="X27" i="6" s="1"/>
  <c r="B27" i="6" a="1"/>
  <c r="B27" i="6" s="1"/>
  <c r="AC26" i="6"/>
  <c r="AB26" i="6"/>
  <c r="AA26" i="6"/>
  <c r="Z26" i="6"/>
  <c r="Y26" i="6"/>
  <c r="X26" i="6"/>
  <c r="W26" i="6"/>
  <c r="B26" i="6"/>
  <c r="B26" i="6" a="1"/>
  <c r="AC25" i="6"/>
  <c r="AA25" i="6"/>
  <c r="AB25" i="6" s="1"/>
  <c r="Z25" i="6"/>
  <c r="Y25" i="6"/>
  <c r="W25" i="6"/>
  <c r="X25" i="6" s="1"/>
  <c r="B25" i="6" a="1"/>
  <c r="B25" i="6" s="1"/>
  <c r="AC24" i="6"/>
  <c r="AA24" i="6"/>
  <c r="AB24" i="6" s="1"/>
  <c r="Z24" i="6"/>
  <c r="Y24" i="6"/>
  <c r="W24" i="6"/>
  <c r="X24" i="6" s="1"/>
  <c r="B24" i="6" a="1"/>
  <c r="B24" i="6" s="1"/>
  <c r="AC23" i="6"/>
  <c r="AA23" i="6"/>
  <c r="Z23" i="6"/>
  <c r="Y23" i="6"/>
  <c r="W23" i="6"/>
  <c r="B23" i="6" a="1"/>
  <c r="B23" i="6" s="1"/>
  <c r="AC22" i="6"/>
  <c r="AA22" i="6"/>
  <c r="AB22" i="6" s="1"/>
  <c r="Z22" i="6"/>
  <c r="Y22" i="6"/>
  <c r="W22" i="6"/>
  <c r="X22" i="6" s="1"/>
  <c r="B22" i="6" a="1"/>
  <c r="B22" i="6" s="1"/>
  <c r="AC21" i="6"/>
  <c r="AA21" i="6"/>
  <c r="AB21" i="6" s="1"/>
  <c r="Z21" i="6"/>
  <c r="Y21" i="6"/>
  <c r="W21" i="6"/>
  <c r="X21" i="6" s="1"/>
  <c r="B21" i="6" a="1"/>
  <c r="B21" i="6" s="1"/>
  <c r="AC20" i="6"/>
  <c r="AA20" i="6"/>
  <c r="AB20" i="6" s="1"/>
  <c r="Z20" i="6"/>
  <c r="Y20" i="6"/>
  <c r="W20" i="6"/>
  <c r="X20" i="6" s="1"/>
  <c r="B20" i="6" a="1"/>
  <c r="B20" i="6" s="1"/>
  <c r="AC19" i="6"/>
  <c r="AA19" i="6"/>
  <c r="AB19" i="6" s="1"/>
  <c r="Z19" i="6"/>
  <c r="Y19" i="6"/>
  <c r="W19" i="6"/>
  <c r="X19" i="6" s="1"/>
  <c r="B19" i="6" a="1"/>
  <c r="B19" i="6" s="1"/>
  <c r="AC18" i="6"/>
  <c r="AA18" i="6"/>
  <c r="AB18" i="6" s="1"/>
  <c r="Z18" i="6"/>
  <c r="Y18" i="6"/>
  <c r="W18" i="6"/>
  <c r="X18" i="6" s="1"/>
  <c r="B18" i="6" a="1"/>
  <c r="B18" i="6" s="1"/>
  <c r="AC17" i="6"/>
  <c r="AA17" i="6"/>
  <c r="AB17" i="6" s="1"/>
  <c r="Z17" i="6"/>
  <c r="Y17" i="6"/>
  <c r="W17" i="6"/>
  <c r="X17" i="6" s="1"/>
  <c r="B17" i="6" a="1"/>
  <c r="B17" i="6" s="1"/>
  <c r="AC16" i="6"/>
  <c r="AA16" i="6"/>
  <c r="AB16" i="6" s="1"/>
  <c r="Z16" i="6"/>
  <c r="Y16" i="6"/>
  <c r="W16" i="6"/>
  <c r="X16" i="6" s="1"/>
  <c r="B16" i="6" a="1"/>
  <c r="B16" i="6" s="1"/>
  <c r="AC15" i="6"/>
  <c r="AA15" i="6"/>
  <c r="AB15" i="6" s="1"/>
  <c r="Z15" i="6"/>
  <c r="Y15" i="6"/>
  <c r="W15" i="6"/>
  <c r="X15" i="6" s="1"/>
  <c r="B15" i="6" a="1"/>
  <c r="B15" i="6" s="1"/>
  <c r="AC14" i="6"/>
  <c r="AA14" i="6"/>
  <c r="AB14" i="6" s="1"/>
  <c r="Z14" i="6"/>
  <c r="Y14" i="6"/>
  <c r="W14" i="6"/>
  <c r="X14" i="6" s="1"/>
  <c r="B14" i="6" a="1"/>
  <c r="B14" i="6" s="1"/>
  <c r="AC13" i="6"/>
  <c r="AA13" i="6"/>
  <c r="AB13" i="6" s="1"/>
  <c r="Z13" i="6"/>
  <c r="Y13" i="6"/>
  <c r="W13" i="6"/>
  <c r="X13" i="6" s="1"/>
  <c r="B13" i="6" a="1"/>
  <c r="B13" i="6" s="1"/>
  <c r="AC12" i="6"/>
  <c r="AA12" i="6"/>
  <c r="AB12" i="6" s="1"/>
  <c r="Z12" i="6"/>
  <c r="Y12" i="6"/>
  <c r="W12" i="6"/>
  <c r="X12" i="6" s="1"/>
  <c r="B12" i="6" a="1"/>
  <c r="B12" i="6" s="1"/>
  <c r="AC11" i="6"/>
  <c r="AA11" i="6"/>
  <c r="AB11" i="6" s="1"/>
  <c r="Z11" i="6"/>
  <c r="Y11" i="6"/>
  <c r="W11" i="6"/>
  <c r="X11" i="6" s="1"/>
  <c r="B11" i="6" a="1"/>
  <c r="B11" i="6" s="1"/>
  <c r="AC10" i="6"/>
  <c r="AA10" i="6"/>
  <c r="AB10" i="6" s="1"/>
  <c r="Z10" i="6"/>
  <c r="Y10" i="6"/>
  <c r="W10" i="6"/>
  <c r="X10" i="6" s="1"/>
  <c r="B10" i="6" a="1"/>
  <c r="B10" i="6" s="1"/>
  <c r="AC9" i="6"/>
  <c r="AA9" i="6"/>
  <c r="AB9" i="6" s="1"/>
  <c r="Z9" i="6"/>
  <c r="Y9" i="6"/>
  <c r="W9" i="6"/>
  <c r="X9" i="6" s="1"/>
  <c r="B9" i="6" a="1"/>
  <c r="B9" i="6" s="1"/>
  <c r="AC8" i="6"/>
  <c r="AA8" i="6"/>
  <c r="AB8" i="6" s="1"/>
  <c r="Z8" i="6"/>
  <c r="Y8" i="6"/>
  <c r="W8" i="6"/>
  <c r="X8" i="6" s="1"/>
  <c r="B8" i="6" a="1"/>
  <c r="B8" i="6" s="1"/>
  <c r="AC7" i="6"/>
  <c r="AA7" i="6"/>
  <c r="AB7" i="6" s="1"/>
  <c r="Z7" i="6"/>
  <c r="Y7" i="6"/>
  <c r="W7" i="6"/>
  <c r="X7" i="6" s="1"/>
  <c r="B7" i="6"/>
  <c r="B7" i="6" a="1"/>
  <c r="AC6" i="6"/>
  <c r="AA6" i="6"/>
  <c r="AB6" i="6" s="1"/>
  <c r="Z6" i="6"/>
  <c r="Y6" i="6"/>
  <c r="W6" i="6"/>
  <c r="X6" i="6" s="1"/>
  <c r="B6" i="6" a="1"/>
  <c r="B6" i="6" s="1"/>
  <c r="AC5" i="6"/>
  <c r="AA5" i="6"/>
  <c r="AB5" i="6" s="1"/>
  <c r="Z5" i="6"/>
  <c r="Y5" i="6"/>
  <c r="W5" i="6"/>
  <c r="X5" i="6" s="1"/>
  <c r="B5" i="6" a="1"/>
  <c r="B5" i="6" s="1"/>
  <c r="AC4" i="6"/>
  <c r="AA4" i="6"/>
  <c r="AB4" i="6" s="1"/>
  <c r="Z4" i="6"/>
  <c r="Y4" i="6"/>
  <c r="W4" i="6"/>
  <c r="X4" i="6" s="1"/>
  <c r="B4" i="6" a="1"/>
  <c r="B4" i="6" s="1"/>
  <c r="AC3" i="6"/>
  <c r="AA3" i="6"/>
  <c r="AB3" i="6" s="1"/>
  <c r="Z3" i="6"/>
  <c r="Y3" i="6"/>
  <c r="W3" i="6"/>
  <c r="X3" i="6" s="1"/>
  <c r="B3" i="6" a="1"/>
  <c r="B3" i="6" s="1"/>
  <c r="AC2" i="6"/>
  <c r="AA2" i="6"/>
  <c r="AB2" i="6" s="1"/>
  <c r="Z2" i="6"/>
  <c r="Y2" i="6"/>
  <c r="W2" i="6"/>
  <c r="X2" i="6" s="1"/>
  <c r="B2" i="6" a="1"/>
  <c r="B2" i="6" s="1"/>
  <c r="B25" i="5" a="1"/>
  <c r="B25" i="5"/>
  <c r="B5" i="5" a="1"/>
  <c r="B5" i="5" s="1"/>
  <c r="B6" i="5" a="1"/>
  <c r="B6" i="5" s="1"/>
  <c r="B7" i="5" a="1"/>
  <c r="B7" i="5" s="1"/>
  <c r="B8" i="5" a="1"/>
  <c r="B8" i="5" s="1"/>
  <c r="B9" i="5" a="1"/>
  <c r="B9" i="5" s="1"/>
  <c r="B10" i="5" a="1"/>
  <c r="B10" i="5" s="1"/>
  <c r="B11" i="5" a="1"/>
  <c r="B11" i="5" s="1"/>
  <c r="B12" i="5" a="1"/>
  <c r="B12" i="5" s="1"/>
  <c r="B13" i="5" a="1"/>
  <c r="B13" i="5" s="1"/>
  <c r="B14" i="5" a="1"/>
  <c r="B14" i="5" s="1"/>
  <c r="B15" i="5" a="1"/>
  <c r="B15" i="5" s="1"/>
  <c r="B16" i="5" a="1"/>
  <c r="B16" i="5" s="1"/>
  <c r="B17" i="5" a="1"/>
  <c r="B17" i="5" s="1"/>
  <c r="B18" i="5" a="1"/>
  <c r="B18" i="5" s="1"/>
  <c r="B19" i="5" a="1"/>
  <c r="B19" i="5" s="1"/>
  <c r="B20" i="5" a="1"/>
  <c r="B20" i="5" s="1"/>
  <c r="B21" i="5" a="1"/>
  <c r="B21" i="5" s="1"/>
  <c r="B22" i="5" a="1"/>
  <c r="B22" i="5" s="1"/>
  <c r="B23" i="5" a="1"/>
  <c r="B23" i="5" s="1"/>
  <c r="B24" i="5" a="1"/>
  <c r="B24" i="5" s="1"/>
  <c r="B26" i="5" a="1"/>
  <c r="B26" i="5" s="1"/>
  <c r="B27" i="5" a="1"/>
  <c r="B27" i="5" s="1"/>
  <c r="B28" i="5" a="1"/>
  <c r="B28" i="5" s="1"/>
  <c r="B29" i="5" a="1"/>
  <c r="B29" i="5" s="1"/>
  <c r="B30" i="5" a="1"/>
  <c r="B30" i="5" s="1"/>
  <c r="B31" i="5" a="1"/>
  <c r="B31" i="5" s="1"/>
  <c r="B32" i="5" a="1"/>
  <c r="B32" i="5" s="1"/>
  <c r="B33" i="5" a="1"/>
  <c r="B33" i="5" s="1"/>
  <c r="B34" i="5" a="1"/>
  <c r="B34" i="5" s="1"/>
  <c r="B35" i="5" a="1"/>
  <c r="B35" i="5" s="1"/>
  <c r="B36" i="5" a="1"/>
  <c r="B36" i="5" s="1"/>
  <c r="B37" i="5" a="1"/>
  <c r="B37" i="5" s="1"/>
  <c r="B38" i="5" a="1"/>
  <c r="B38" i="5" s="1"/>
  <c r="B39" i="5" a="1"/>
  <c r="B39" i="5" s="1"/>
  <c r="B40" i="5" a="1"/>
  <c r="B40" i="5" s="1"/>
  <c r="B41" i="5" a="1"/>
  <c r="B41" i="5" s="1"/>
  <c r="B42" i="5" a="1"/>
  <c r="B42" i="5" s="1"/>
  <c r="B43" i="5" a="1"/>
  <c r="B43" i="5" s="1"/>
  <c r="B44" i="5" a="1"/>
  <c r="B44" i="5" s="1"/>
  <c r="B45" i="5" a="1"/>
  <c r="B45" i="5" s="1"/>
  <c r="B46" i="5" a="1"/>
  <c r="B46" i="5" s="1"/>
  <c r="B4" i="5" a="1"/>
  <c r="B4" i="5" s="1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" i="5"/>
  <c r="Z4" i="5"/>
  <c r="AA4" i="5"/>
  <c r="AA3" i="5" s="1"/>
  <c r="Z27" i="5"/>
  <c r="Z28" i="5"/>
  <c r="Z29" i="5"/>
  <c r="Z30" i="5"/>
  <c r="Z31" i="5"/>
  <c r="Z32" i="5"/>
  <c r="Z33" i="5"/>
  <c r="Z34" i="5"/>
  <c r="Z35" i="5"/>
  <c r="Z36" i="5"/>
  <c r="Z37" i="5"/>
  <c r="Z38" i="5"/>
  <c r="Z39" i="5"/>
  <c r="Z40" i="5"/>
  <c r="Z41" i="5"/>
  <c r="Z42" i="5"/>
  <c r="Z43" i="5"/>
  <c r="Z44" i="5"/>
  <c r="Z45" i="5"/>
  <c r="Z46" i="5"/>
  <c r="Z26" i="5"/>
  <c r="Z25" i="5" s="1"/>
  <c r="Z5" i="5"/>
  <c r="Z3" i="5" s="1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0" i="5"/>
  <c r="Z21" i="5"/>
  <c r="Z22" i="5"/>
  <c r="Z23" i="5"/>
  <c r="Z24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26" i="5"/>
  <c r="AA25" i="5" s="1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C27" i="5"/>
  <c r="AD27" i="5" s="1"/>
  <c r="AC28" i="5"/>
  <c r="AC29" i="5"/>
  <c r="AD29" i="5" s="1"/>
  <c r="AC30" i="5"/>
  <c r="AD30" i="5" s="1"/>
  <c r="AC31" i="5"/>
  <c r="AD31" i="5" s="1"/>
  <c r="AC32" i="5"/>
  <c r="AD32" i="5" s="1"/>
  <c r="AC33" i="5"/>
  <c r="AD33" i="5" s="1"/>
  <c r="AC34" i="5"/>
  <c r="AD34" i="5" s="1"/>
  <c r="AC35" i="5"/>
  <c r="AD35" i="5" s="1"/>
  <c r="AC36" i="5"/>
  <c r="AD36" i="5" s="1"/>
  <c r="AC37" i="5"/>
  <c r="AD37" i="5" s="1"/>
  <c r="AC38" i="5"/>
  <c r="AD38" i="5" s="1"/>
  <c r="AC39" i="5"/>
  <c r="AD39" i="5" s="1"/>
  <c r="AC40" i="5"/>
  <c r="AD40" i="5" s="1"/>
  <c r="AC41" i="5"/>
  <c r="AD41" i="5" s="1"/>
  <c r="AC42" i="5"/>
  <c r="AD42" i="5" s="1"/>
  <c r="AC43" i="5"/>
  <c r="AD43" i="5" s="1"/>
  <c r="AC44" i="5"/>
  <c r="AD44" i="5" s="1"/>
  <c r="AC45" i="5"/>
  <c r="AD45" i="5" s="1"/>
  <c r="AC46" i="5"/>
  <c r="AD46" i="5" s="1"/>
  <c r="AC26" i="5"/>
  <c r="AD26" i="5" s="1"/>
  <c r="AC5" i="5"/>
  <c r="AD5" i="5" s="1"/>
  <c r="AC6" i="5"/>
  <c r="AC7" i="5"/>
  <c r="AD7" i="5" s="1"/>
  <c r="AC8" i="5"/>
  <c r="AD8" i="5" s="1"/>
  <c r="AC9" i="5"/>
  <c r="AD9" i="5" s="1"/>
  <c r="AC10" i="5"/>
  <c r="AD10" i="5" s="1"/>
  <c r="AC11" i="5"/>
  <c r="AD11" i="5" s="1"/>
  <c r="AC12" i="5"/>
  <c r="AD12" i="5" s="1"/>
  <c r="AC13" i="5"/>
  <c r="AD13" i="5" s="1"/>
  <c r="AC14" i="5"/>
  <c r="AD14" i="5" s="1"/>
  <c r="AC15" i="5"/>
  <c r="AD15" i="5" s="1"/>
  <c r="AC16" i="5"/>
  <c r="AD16" i="5" s="1"/>
  <c r="AC17" i="5"/>
  <c r="AD17" i="5" s="1"/>
  <c r="AC18" i="5"/>
  <c r="AD18" i="5" s="1"/>
  <c r="AC19" i="5"/>
  <c r="AD19" i="5" s="1"/>
  <c r="AC20" i="5"/>
  <c r="AD20" i="5" s="1"/>
  <c r="AC21" i="5"/>
  <c r="AD21" i="5" s="1"/>
  <c r="AC22" i="5"/>
  <c r="AD22" i="5" s="1"/>
  <c r="AC23" i="5"/>
  <c r="AD23" i="5" s="1"/>
  <c r="AC24" i="5"/>
  <c r="AD24" i="5" s="1"/>
  <c r="AC4" i="5"/>
  <c r="AD4" i="5" s="1"/>
  <c r="X27" i="5"/>
  <c r="Y27" i="5" s="1"/>
  <c r="X28" i="5"/>
  <c r="Y28" i="5" s="1"/>
  <c r="Y25" i="5" s="1"/>
  <c r="X29" i="5"/>
  <c r="Y29" i="5" s="1"/>
  <c r="X30" i="5"/>
  <c r="Y30" i="5" s="1"/>
  <c r="X31" i="5"/>
  <c r="Y31" i="5" s="1"/>
  <c r="X32" i="5"/>
  <c r="Y32" i="5" s="1"/>
  <c r="X33" i="5"/>
  <c r="Y33" i="5" s="1"/>
  <c r="X34" i="5"/>
  <c r="Y34" i="5" s="1"/>
  <c r="X35" i="5"/>
  <c r="Y35" i="5" s="1"/>
  <c r="X36" i="5"/>
  <c r="Y36" i="5" s="1"/>
  <c r="X37" i="5"/>
  <c r="Y37" i="5" s="1"/>
  <c r="X38" i="5"/>
  <c r="Y38" i="5" s="1"/>
  <c r="X39" i="5"/>
  <c r="Y39" i="5" s="1"/>
  <c r="X40" i="5"/>
  <c r="Y40" i="5" s="1"/>
  <c r="X41" i="5"/>
  <c r="Y41" i="5" s="1"/>
  <c r="X42" i="5"/>
  <c r="Y42" i="5" s="1"/>
  <c r="X43" i="5"/>
  <c r="Y43" i="5" s="1"/>
  <c r="X44" i="5"/>
  <c r="Y44" i="5" s="1"/>
  <c r="X45" i="5"/>
  <c r="Y45" i="5" s="1"/>
  <c r="X46" i="5"/>
  <c r="Y46" i="5" s="1"/>
  <c r="X26" i="5"/>
  <c r="Y26" i="5" s="1"/>
  <c r="X5" i="5"/>
  <c r="Y5" i="5" s="1"/>
  <c r="X6" i="5"/>
  <c r="Y6" i="5" s="1"/>
  <c r="X7" i="5"/>
  <c r="Y7" i="5" s="1"/>
  <c r="X8" i="5"/>
  <c r="Y8" i="5" s="1"/>
  <c r="X9" i="5"/>
  <c r="Y9" i="5" s="1"/>
  <c r="X10" i="5"/>
  <c r="Y10" i="5" s="1"/>
  <c r="X11" i="5"/>
  <c r="Y11" i="5" s="1"/>
  <c r="X12" i="5"/>
  <c r="Y12" i="5" s="1"/>
  <c r="X13" i="5"/>
  <c r="Y13" i="5" s="1"/>
  <c r="X14" i="5"/>
  <c r="Y14" i="5" s="1"/>
  <c r="X15" i="5"/>
  <c r="Y15" i="5" s="1"/>
  <c r="X16" i="5"/>
  <c r="Y16" i="5" s="1"/>
  <c r="X17" i="5"/>
  <c r="Y17" i="5" s="1"/>
  <c r="X18" i="5"/>
  <c r="Y18" i="5" s="1"/>
  <c r="X19" i="5"/>
  <c r="Y19" i="5" s="1"/>
  <c r="X20" i="5"/>
  <c r="Y20" i="5" s="1"/>
  <c r="X21" i="5"/>
  <c r="Y21" i="5" s="1"/>
  <c r="X22" i="5"/>
  <c r="Y22" i="5" s="1"/>
  <c r="X23" i="5"/>
  <c r="Y23" i="5" s="1"/>
  <c r="X24" i="5"/>
  <c r="Y24" i="5" s="1"/>
  <c r="X4" i="5"/>
  <c r="Y4" i="5" s="1"/>
  <c r="Y3" i="5" s="1"/>
  <c r="B2" i="1" a="1"/>
  <c r="B2" i="1" s="1"/>
  <c r="B3" i="1" a="1"/>
  <c r="B3" i="1" s="1"/>
  <c r="B4" i="1" a="1"/>
  <c r="B4" i="1" s="1"/>
  <c r="B5" i="1" a="1"/>
  <c r="B5" i="1" s="1"/>
  <c r="B6" i="1" a="1"/>
  <c r="B6" i="1" s="1"/>
  <c r="B7" i="1" a="1"/>
  <c r="B7" i="1" s="1"/>
  <c r="B8" i="1" a="1"/>
  <c r="B8" i="1" s="1"/>
  <c r="B9" i="1" a="1"/>
  <c r="B9" i="1" s="1"/>
  <c r="B10" i="1" a="1"/>
  <c r="B10" i="1" s="1"/>
  <c r="B11" i="1" a="1"/>
  <c r="B11" i="1" s="1"/>
  <c r="B12" i="1" a="1"/>
  <c r="B12" i="1" s="1"/>
  <c r="B13" i="1" a="1"/>
  <c r="B13" i="1" s="1"/>
  <c r="B14" i="1" a="1"/>
  <c r="B14" i="1" s="1"/>
  <c r="B15" i="1" a="1"/>
  <c r="B15" i="1" s="1"/>
  <c r="B16" i="1" a="1"/>
  <c r="B16" i="1" s="1"/>
  <c r="B17" i="1" a="1"/>
  <c r="B17" i="1" s="1"/>
  <c r="B18" i="1" a="1"/>
  <c r="B18" i="1" s="1"/>
  <c r="B19" i="1" a="1"/>
  <c r="B19" i="1" s="1"/>
  <c r="B20" i="1" a="1"/>
  <c r="B20" i="1" s="1"/>
  <c r="B21" i="1" a="1"/>
  <c r="B21" i="1" s="1"/>
  <c r="B22" i="1" a="1"/>
  <c r="B22" i="1" s="1"/>
  <c r="B23" i="1" a="1"/>
  <c r="B23" i="1" s="1"/>
  <c r="B24" i="1" a="1"/>
  <c r="B24" i="1" s="1"/>
  <c r="B25" i="1" a="1"/>
  <c r="B25" i="1" s="1"/>
  <c r="B26" i="1" a="1"/>
  <c r="B26" i="1" s="1"/>
  <c r="B27" i="1" a="1"/>
  <c r="B27" i="1" s="1"/>
  <c r="B28" i="1" a="1"/>
  <c r="B28" i="1" s="1"/>
  <c r="B29" i="1" a="1"/>
  <c r="B29" i="1" s="1"/>
  <c r="B30" i="1" a="1"/>
  <c r="B30" i="1" s="1"/>
  <c r="B31" i="1" a="1"/>
  <c r="B31" i="1" s="1"/>
  <c r="B32" i="1" a="1"/>
  <c r="B32" i="1" s="1"/>
  <c r="B33" i="1" a="1"/>
  <c r="B33" i="1" s="1"/>
  <c r="B34" i="1" a="1"/>
  <c r="B34" i="1" s="1"/>
  <c r="B35" i="1" a="1"/>
  <c r="B35" i="1" s="1"/>
  <c r="B36" i="1" a="1"/>
  <c r="B36" i="1" s="1"/>
  <c r="B37" i="1" a="1"/>
  <c r="B37" i="1" s="1"/>
  <c r="B38" i="1" a="1"/>
  <c r="B38" i="1" s="1"/>
  <c r="B39" i="1" a="1"/>
  <c r="B39" i="1" s="1"/>
  <c r="B40" i="1" a="1"/>
  <c r="B40" i="1" s="1"/>
  <c r="B41" i="1" a="1"/>
  <c r="B41" i="1" s="1"/>
  <c r="B42" i="1" a="1"/>
  <c r="B42" i="1" s="1"/>
  <c r="B43" i="1" a="1"/>
  <c r="B43" i="1" s="1"/>
  <c r="B44" i="1" a="1"/>
  <c r="B44" i="1" s="1"/>
  <c r="B45" i="1" a="1"/>
  <c r="B45" i="1" s="1"/>
  <c r="B46" i="1" a="1"/>
  <c r="B46" i="1" s="1"/>
  <c r="B47" i="1" a="1"/>
  <c r="B47" i="1" s="1"/>
  <c r="B48" i="1" a="1"/>
  <c r="B48" i="1" s="1"/>
  <c r="B49" i="1" a="1"/>
  <c r="B49" i="1" s="1"/>
  <c r="B50" i="1" a="1"/>
  <c r="B50" i="1" s="1"/>
  <c r="B51" i="1" a="1"/>
  <c r="B51" i="1" s="1"/>
  <c r="B52" i="1" a="1"/>
  <c r="B52" i="1" s="1"/>
  <c r="B53" i="1" a="1"/>
  <c r="B53" i="1" s="1"/>
  <c r="B54" i="1" a="1"/>
  <c r="B54" i="1" s="1"/>
  <c r="B55" i="1" a="1"/>
  <c r="B55" i="1" s="1"/>
  <c r="B56" i="1" a="1"/>
  <c r="B56" i="1" s="1"/>
  <c r="B57" i="1" a="1"/>
  <c r="B57" i="1" s="1"/>
  <c r="B58" i="1" a="1"/>
  <c r="B58" i="1" s="1"/>
  <c r="B59" i="1" a="1"/>
  <c r="B59" i="1" s="1"/>
  <c r="B60" i="1" a="1"/>
  <c r="B60" i="1" s="1"/>
  <c r="B61" i="1" a="1"/>
  <c r="B61" i="1" s="1"/>
  <c r="B62" i="1" a="1"/>
  <c r="B62" i="1" s="1"/>
  <c r="B63" i="1" a="1"/>
  <c r="B63" i="1" s="1"/>
  <c r="B64" i="1" a="1"/>
  <c r="B64" i="1" s="1"/>
  <c r="B65" i="1" a="1"/>
  <c r="B65" i="1" s="1"/>
  <c r="B66" i="1" a="1"/>
  <c r="B66" i="1" s="1"/>
  <c r="B67" i="1" a="1"/>
  <c r="B67" i="1" s="1"/>
  <c r="B68" i="1" a="1"/>
  <c r="B68" i="1" s="1"/>
  <c r="B69" i="1" a="1"/>
  <c r="B69" i="1" s="1"/>
  <c r="B70" i="1" a="1"/>
  <c r="B70" i="1" s="1"/>
  <c r="B71" i="1" a="1"/>
  <c r="B71" i="1" s="1"/>
  <c r="B72" i="1" a="1"/>
  <c r="B72" i="1" s="1"/>
  <c r="B73" i="1" a="1"/>
  <c r="B73" i="1" s="1"/>
  <c r="B74" i="1" a="1"/>
  <c r="B74" i="1" s="1"/>
  <c r="B75" i="1" a="1"/>
  <c r="B75" i="1" s="1"/>
  <c r="B76" i="1" a="1"/>
  <c r="B76" i="1" s="1"/>
  <c r="B77" i="1" a="1"/>
  <c r="B77" i="1" s="1"/>
  <c r="B78" i="1" a="1"/>
  <c r="B78" i="1" s="1"/>
  <c r="B79" i="1" a="1"/>
  <c r="B79" i="1" s="1"/>
  <c r="B80" i="1" a="1"/>
  <c r="B80" i="1" s="1"/>
  <c r="B81" i="1" a="1"/>
  <c r="B81" i="1" s="1"/>
  <c r="B82" i="1" a="1"/>
  <c r="B82" i="1" s="1"/>
  <c r="B83" i="1" a="1"/>
  <c r="B83" i="1" s="1"/>
  <c r="B84" i="1" a="1"/>
  <c r="B84" i="1" s="1"/>
  <c r="B85" i="1" a="1"/>
  <c r="B85" i="1" s="1"/>
  <c r="B86" i="1" a="1"/>
  <c r="B86" i="1" s="1"/>
  <c r="B87" i="1" a="1"/>
  <c r="B87" i="1" s="1"/>
  <c r="B88" i="1" a="1"/>
  <c r="B88" i="1" s="1"/>
  <c r="B89" i="1" a="1"/>
  <c r="B89" i="1" s="1"/>
  <c r="B90" i="1" a="1"/>
  <c r="B90" i="1" s="1"/>
  <c r="B91" i="1" a="1"/>
  <c r="B91" i="1" s="1"/>
  <c r="B92" i="1" a="1"/>
  <c r="B92" i="1" s="1"/>
  <c r="B93" i="1" a="1"/>
  <c r="B93" i="1" s="1"/>
  <c r="B94" i="1" a="1"/>
  <c r="B94" i="1" s="1"/>
  <c r="B95" i="1" a="1"/>
  <c r="B95" i="1" s="1"/>
  <c r="B96" i="1" a="1"/>
  <c r="B96" i="1" s="1"/>
  <c r="B97" i="1" a="1"/>
  <c r="B97" i="1" s="1"/>
  <c r="B98" i="1" a="1"/>
  <c r="B98" i="1" s="1"/>
  <c r="B99" i="1" a="1"/>
  <c r="B99" i="1" s="1"/>
  <c r="B100" i="1" a="1"/>
  <c r="B100" i="1" s="1"/>
  <c r="B101" i="1" a="1"/>
  <c r="B101" i="1" s="1"/>
  <c r="B102" i="1" a="1"/>
  <c r="B102" i="1" s="1"/>
  <c r="B103" i="1" a="1"/>
  <c r="B103" i="1" s="1"/>
  <c r="B104" i="1" a="1"/>
  <c r="B104" i="1" s="1"/>
  <c r="B105" i="1" a="1"/>
  <c r="B105" i="1" s="1"/>
  <c r="B106" i="1" a="1"/>
  <c r="B106" i="1" s="1"/>
  <c r="B107" i="1" a="1"/>
  <c r="B107" i="1" s="1"/>
  <c r="B108" i="1" a="1"/>
  <c r="B108" i="1" s="1"/>
  <c r="B109" i="1" a="1"/>
  <c r="B109" i="1" s="1"/>
  <c r="B110" i="1" a="1"/>
  <c r="B110" i="1" s="1"/>
  <c r="B111" i="1" a="1"/>
  <c r="B111" i="1" s="1"/>
  <c r="B112" i="1" a="1"/>
  <c r="B112" i="1" s="1"/>
  <c r="B113" i="1" a="1"/>
  <c r="B113" i="1" s="1"/>
  <c r="B114" i="1" a="1"/>
  <c r="B114" i="1" s="1"/>
  <c r="B115" i="1" a="1"/>
  <c r="B115" i="1" s="1"/>
  <c r="B116" i="1" a="1"/>
  <c r="B116" i="1" s="1"/>
  <c r="B117" i="1" a="1"/>
  <c r="B117" i="1" s="1"/>
  <c r="B118" i="1" a="1"/>
  <c r="B118" i="1" s="1"/>
  <c r="B119" i="1" a="1"/>
  <c r="B119" i="1" s="1"/>
  <c r="B120" i="1" a="1"/>
  <c r="B120" i="1" s="1"/>
  <c r="B121" i="1" a="1"/>
  <c r="B121" i="1" s="1"/>
  <c r="B122" i="1" a="1"/>
  <c r="B122" i="1" s="1"/>
  <c r="B123" i="1" a="1"/>
  <c r="B123" i="1" s="1"/>
  <c r="B124" i="1" a="1"/>
  <c r="B124" i="1" s="1"/>
  <c r="B125" i="1" a="1"/>
  <c r="B125" i="1" s="1"/>
  <c r="B126" i="1" a="1"/>
  <c r="B126" i="1" s="1"/>
  <c r="B127" i="1" a="1"/>
  <c r="B127" i="1" s="1"/>
  <c r="B169" i="1" a="1"/>
  <c r="B169" i="1" s="1"/>
  <c r="B168" i="1" a="1"/>
  <c r="B168" i="1" s="1"/>
  <c r="B167" i="1" a="1"/>
  <c r="B167" i="1" s="1"/>
  <c r="B166" i="1" a="1"/>
  <c r="B166" i="1" s="1"/>
  <c r="B165" i="1" a="1"/>
  <c r="B165" i="1" s="1"/>
  <c r="B164" i="1" a="1"/>
  <c r="B164" i="1" s="1"/>
  <c r="B163" i="1" a="1"/>
  <c r="B163" i="1" s="1"/>
  <c r="B162" i="1" a="1"/>
  <c r="B162" i="1" s="1"/>
  <c r="B161" i="1" a="1"/>
  <c r="B161" i="1" s="1"/>
  <c r="B160" i="1" a="1"/>
  <c r="B160" i="1" s="1"/>
  <c r="B159" i="1" a="1"/>
  <c r="B159" i="1" s="1"/>
  <c r="B158" i="1" a="1"/>
  <c r="B158" i="1" s="1"/>
  <c r="B157" i="1" a="1"/>
  <c r="B157" i="1" s="1"/>
  <c r="B156" i="1" a="1"/>
  <c r="B156" i="1" s="1"/>
  <c r="B155" i="1" a="1"/>
  <c r="B155" i="1" s="1"/>
  <c r="B154" i="1" a="1"/>
  <c r="B154" i="1" s="1"/>
  <c r="B153" i="1" a="1"/>
  <c r="B153" i="1" s="1"/>
  <c r="B152" i="1" a="1"/>
  <c r="B152" i="1" s="1"/>
  <c r="B151" i="1" a="1"/>
  <c r="B151" i="1" s="1"/>
  <c r="B150" i="1" a="1"/>
  <c r="B150" i="1" s="1"/>
  <c r="B149" i="1" a="1"/>
  <c r="B149" i="1" s="1"/>
  <c r="B148" i="1" a="1"/>
  <c r="B148" i="1" s="1"/>
  <c r="B147" i="1" a="1"/>
  <c r="B147" i="1" s="1"/>
  <c r="B146" i="1" a="1"/>
  <c r="B146" i="1" s="1"/>
  <c r="B145" i="1" a="1"/>
  <c r="B145" i="1" s="1"/>
  <c r="B144" i="1" a="1"/>
  <c r="B144" i="1" s="1"/>
  <c r="B143" i="1" a="1"/>
  <c r="B143" i="1" s="1"/>
  <c r="B142" i="1" a="1"/>
  <c r="B142" i="1" s="1"/>
  <c r="B141" i="1" a="1"/>
  <c r="B141" i="1" s="1"/>
  <c r="B140" i="1" a="1"/>
  <c r="B140" i="1" s="1"/>
  <c r="B139" i="1" a="1"/>
  <c r="B139" i="1" s="1"/>
  <c r="B138" i="1" a="1"/>
  <c r="B138" i="1" s="1"/>
  <c r="B137" i="1" a="1"/>
  <c r="B137" i="1" s="1"/>
  <c r="B136" i="1" a="1"/>
  <c r="B136" i="1" s="1"/>
  <c r="B135" i="1" a="1"/>
  <c r="B135" i="1" s="1"/>
  <c r="B134" i="1" a="1"/>
  <c r="B134" i="1" s="1"/>
  <c r="B133" i="1" a="1"/>
  <c r="B133" i="1" s="1"/>
  <c r="B132" i="1" a="1"/>
  <c r="B132" i="1" s="1"/>
  <c r="B131" i="1" a="1"/>
  <c r="B131" i="1" s="1"/>
  <c r="B130" i="1" a="1"/>
  <c r="B130" i="1" s="1"/>
  <c r="B129" i="1" a="1"/>
  <c r="B129" i="1" s="1"/>
  <c r="B128" i="1" a="1"/>
  <c r="B128" i="1" s="1"/>
  <c r="AE3" i="5" l="1"/>
  <c r="AE25" i="5"/>
  <c r="X23" i="6"/>
  <c r="AB23" i="6"/>
  <c r="AC3" i="5"/>
  <c r="X3" i="5"/>
  <c r="AC25" i="5"/>
  <c r="X25" i="5"/>
  <c r="AD28" i="5"/>
  <c r="AD25" i="5" s="1"/>
  <c r="AE47" i="5"/>
  <c r="AD6" i="5"/>
  <c r="AD3" i="5" s="1"/>
  <c r="Z47" i="5"/>
  <c r="AA47" i="5"/>
  <c r="X47" i="5"/>
  <c r="Y47" i="5"/>
  <c r="AC47" i="5"/>
  <c r="AD47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<sst xmlns="http://schemas.openxmlformats.org/spreadsheetml/2006/main" count="1115" uniqueCount="182">
  <si>
    <t>instance</t>
  </si>
  <si>
    <t>Model</t>
  </si>
  <si>
    <t>status</t>
  </si>
  <si>
    <t>ObjVal</t>
  </si>
  <si>
    <t>ObjBound</t>
  </si>
  <si>
    <t>Gap</t>
  </si>
  <si>
    <t>runtime</t>
  </si>
  <si>
    <t>period_vehicle</t>
  </si>
  <si>
    <t>Q</t>
  </si>
  <si>
    <t>error</t>
  </si>
  <si>
    <t>recourse_gamma</t>
  </si>
  <si>
    <t>variable_crowd_factor</t>
  </si>
  <si>
    <t>fixed_own</t>
  </si>
  <si>
    <t>fixed_crowd</t>
  </si>
  <si>
    <t>r_payment</t>
  </si>
  <si>
    <t>VAR_COST_TYPE</t>
  </si>
  <si>
    <t>binom_dist</t>
  </si>
  <si>
    <t>binom_p</t>
  </si>
  <si>
    <t>fixed_prod_cost</t>
  </si>
  <si>
    <t>variable_prod_cost</t>
  </si>
  <si>
    <t>inv_hold_cost</t>
  </si>
  <si>
    <t>routing_cost</t>
  </si>
  <si>
    <t>recourse_cost</t>
  </si>
  <si>
    <t>unused_routing_cost</t>
  </si>
  <si>
    <t>expected_cost_diff</t>
  </si>
  <si>
    <t>lfcc</t>
  </si>
  <si>
    <t>ufcc</t>
  </si>
  <si>
    <t>lsec</t>
  </si>
  <si>
    <t>usec</t>
  </si>
  <si>
    <t>MVPRP_C15_P3_V3_I3</t>
  </si>
  <si>
    <t>model1_ScenarioPRP_homogeneousFractionalCapCut_oneCommodityFlow_stoch_integral</t>
  </si>
  <si>
    <t>OPTIMAL</t>
  </si>
  <si>
    <t>[]</t>
  </si>
  <si>
    <t>True</t>
  </si>
  <si>
    <t>MVPRP_C30_P9_V3_I3</t>
  </si>
  <si>
    <t>MVPRP_C15_P9_V3_I1</t>
  </si>
  <si>
    <t>MVPRP_C40_P3_V3_I3</t>
  </si>
  <si>
    <t>MVPRP_C40_P3_V3_I1</t>
  </si>
  <si>
    <t>MVPRP_C20_P6_V3_I1</t>
  </si>
  <si>
    <t>MVPRP_C10_P3_V3_I1</t>
  </si>
  <si>
    <t>MVPRP_C45_P3_V3_I3</t>
  </si>
  <si>
    <t>MVPRP_C20_P3_V3_I1</t>
  </si>
  <si>
    <t>MVPRP_C35_P3_V3_I3</t>
  </si>
  <si>
    <t>MVPRP_C40_P6_V3_I1</t>
  </si>
  <si>
    <t>MVPRP_C10_P3_V3_I3</t>
  </si>
  <si>
    <t>MVPRP_C30_P3_V3_I3</t>
  </si>
  <si>
    <t>MVPRP_C20_P3_V3_I3</t>
  </si>
  <si>
    <t>MVPRP_C35_P6_V3_I3</t>
  </si>
  <si>
    <t>MVPRP_C25_P6_V3_I3</t>
  </si>
  <si>
    <t>MVPRP_C15_P6_V3_I3</t>
  </si>
  <si>
    <t>MVPRP_C50_P3_V3_I3</t>
  </si>
  <si>
    <t>MVPRP_C30_P6_V3_I3</t>
  </si>
  <si>
    <t>MVPRP_C45_P3_V3_I1</t>
  </si>
  <si>
    <t>MVPRP_C25_P6_V3_I1</t>
  </si>
  <si>
    <t>MVPRP_C35_P6_V3_I1</t>
  </si>
  <si>
    <t>MVPRP_C25_P3_V3_I1</t>
  </si>
  <si>
    <t>MVPRP_C10_P6_V3_I1</t>
  </si>
  <si>
    <t>MVPRP_C35_P3_V3_I1</t>
  </si>
  <si>
    <t>MVPRP_C10_P6_V3_I3</t>
  </si>
  <si>
    <t>MVPRP_C50_P3_V3_I1</t>
  </si>
  <si>
    <t>MVPRP_C30_P6_V3_I1</t>
  </si>
  <si>
    <t>MVPRP_C25_P9_V3_I1</t>
  </si>
  <si>
    <t>MVPRP_C25_P3_V3_I3</t>
  </si>
  <si>
    <t>MVPRP_C15_P6_V3_I1</t>
  </si>
  <si>
    <t>MVPRP_C15_P3_V3_I1</t>
  </si>
  <si>
    <t>MVPRP_C20_P6_V3_I3</t>
  </si>
  <si>
    <t>MVPRP_C20_P9_V3_I3</t>
  </si>
  <si>
    <t>MVPRP_C40_P6_V3_I3</t>
  </si>
  <si>
    <t>MVPRP_C20_P9_V3_I1</t>
  </si>
  <si>
    <t>MVPRP_C15_P9_V3_I3</t>
  </si>
  <si>
    <t>MVPRP_C30_P9_V3_I1</t>
  </si>
  <si>
    <t>MVPRP_C10_P9_V3_I1</t>
  </si>
  <si>
    <t>MVPRP_C30_P3_V3_I1</t>
  </si>
  <si>
    <t>MVPRP_C10_P9_V3_I3</t>
  </si>
  <si>
    <t>MVPRP_C25_P9_V3_I3</t>
  </si>
  <si>
    <t>model4_HPRP_comb_stoch_var_cost_MIPstart</t>
  </si>
  <si>
    <t>[(1, 1, 65.99997111111112), (1, 2, 52.999978888888876), (2, 1, 60.0), (2, 2, 66.0), (3, 1, 64.99988444444448), (3, 2, 21.99997555555559)]</t>
  </si>
  <si>
    <t>TIME_LIMIT</t>
  </si>
  <si>
    <t>[(2, 1, 109.0), (2, 2, 36.0), (3, -2, 174.0), (3, 1, 85.0), (3, 2, 68.0), (4, 1, 95.0), (4, 2, 0), (4, 3, 56.0), (4, 4, 47.0), (5, -2, 30.0), (5, 1, 102.0), (5, 2, 114.0), (5, 3, 67.0), (6, -2, 228.0), (6, 1, 52.0), (6, 2, 114.0), (6, 3, 113.0), (7, -2, 197.0), (7, 1, 114.0), (7, 2, 114.0), (8, 1, 114.0), (8, 2, 114.0), (8, 3, 114.0)]</t>
  </si>
  <si>
    <t>[(2, 1, 64.00005065116264), (2, 2, 65.0), (2, 3, 66.0), (4, 1, 66.0), (4, 2, 47.00000000000001), (5, 1, 56.0), (5, 2, 66.0), (6, -2, 131.00006371383085), (6, 1, 61.00007597674419), (6, 2, 57.000045586046525), (6, 3, 59.0), (6, 4, 37.99990376279069), (7, 1, 64.99967076744183), (7, 2, 59.0), (8, -2, 120.00019339534889), (8, 1, 52.0), (8, 2, 64.00005986046513), (8, 3, 37.99990213165154), (9, 1, 66.0), (9, 2, 65.99969609302319), (9, 3, 58.999696093023175)]</t>
  </si>
  <si>
    <t>[(1, 1, 180.0), (1, 2, 180.0), (2, 1, 180.0), (2, 2, 22.0), (3, 1, 180.0), (3, 2, 180.0)]</t>
  </si>
  <si>
    <t>[(1, 1, 136.0), (2, 1, 179.0), (2, 2, 73.0), (3, 1, 176.0), (3, 2, 178.0), (3, 3, 180.0)]</t>
  </si>
  <si>
    <t>[(2, 1, 89.0), (2, 2, 86.0), (3, 1, 94.0), (4, 1, 94.0), (5, 1, 94.0), (5, 2, 94.0), (5, 3, 58.0), (6, 1, 91.0), (6, 2, 94.0)]</t>
  </si>
  <si>
    <t>[(1, 1, 61.0), (2, 1, 41.0), (3, 1, 63.0), (3, 2, 48.0)]</t>
  </si>
  <si>
    <t>[(1, -2, 267.0), (1, 1, 176.0), (1, 2, 96.0), (1, 3, 87.0), (2, 1, 180.0), (3, 1, 180.0), (3, 2, 116.0)]</t>
  </si>
  <si>
    <t>[(1, 1, 71.0), (1, 2, 60.0), (2, 1, 85.0), (3, 1, 91.0), (3, 2, 94.0)]</t>
  </si>
  <si>
    <t>[(1, -2, 32.0), (1, 1, 138.0), (1, 2, 138.0), (2, 1, 138.0), (2, 2, 136.0), (3, 1, 138.0)]</t>
  </si>
  <si>
    <t>[(2, -2, 14.0), (2, 1, 101.0), (2, 2, 72.0), (2, 3, 62.0), (2, 4, 34.0), (3, 1, 180.0), (3, 2, 14.0), (3, 3, 96.0), (4, -2, 71.0), (4, 1, 121.0), (4, 2, 57.0), (5, -2, 266.0), (5, 1, 180.0), (5, 2, 146.0), (6, 1, 170.0), (6, 2, 97.0), (6, 3, 144.0), (6, 4, 14.0)]</t>
  </si>
  <si>
    <t>[(1, 1, 61.0), (1, 2, 25.0), (2, 1, 64.0), (2, 2, 63.0)]</t>
  </si>
  <si>
    <t>[(1, 1, 114.0), (1, 2, 113.0), (2, 1, 114.0), (2, 2, 114.0), (3, 1, 101.0)]</t>
  </si>
  <si>
    <t>[(1, 1, 72.0), (1, 2, 79.0), (1, 3, 69.0), (2, 1, 93.0), (3, 1, 88.0)]</t>
  </si>
  <si>
    <t>[(2, 1, 129.0), (2, 2, 122.0), (3, -2, 276.0), (3, 1, 138.0), (3, 2, 75.0), (4, 1, 138.0), (5, -2, 276.0), (5, 1, 138.0), (6, 1, 138.0)]</t>
  </si>
  <si>
    <t>[(2, 1, 94.0), (2, 2, 92.0), (2, 3, 86.0), (3, 1, 94.0), (3, 2, 36.0), (4, 1, 94.0), (4, 2, 74.0), (5, 1, 94.0), (5, 2, 94.0), (6, 1, 94.0), (6, 2, 94.0)]</t>
  </si>
  <si>
    <t>[(2, 1, 64.0), (2, 2, 64.0), (3, 1, 66.0), (3, 2, 66.0), (3, 3, 39.0), (5, -2, 132.0), (5, 1, 66.0), (5, 2, 66.0), (5, 3, 38.0), (6, 1, 59.0)]</t>
  </si>
  <si>
    <t>[(1, 1, 180.0), (1, 2, 136.0), (2, 1, 180.0), (2, 2, 180.0), (3, 1, 130.0), (3, 2, 180.0)]</t>
  </si>
  <si>
    <t>[(2, 1, 109.0), (2, 2, 85.0), (3, 1, 47.0), (3, 2, 110.0), (4, 1, 113.0), (4, 2, 114.0), (5, -2, 80.0), (5, 1, 114.0), (5, 2, 92.0), (5, 3, 114.0), (6, 1, 114.0), (6, 2, 13.0)]</t>
  </si>
  <si>
    <t>[(1, 1, 141.0), (2, 1, 162.0), (2, 2, 172.0), (3, -2, 291.0), (3, 1, 165.0), (3, 2, 171.0)]</t>
  </si>
  <si>
    <t>[(2, 1, 94.0), (2, 2, 66.0), (3, 1, 90.0), (3, 2, 58.0), (4, 1, 90.0), (5, 1, 93.0), (5, 2, 94.0), (5, 3, 79.0), (6, 1, 94.0), (6, 2, 94.0), (6, 3, 94.0)]</t>
  </si>
  <si>
    <t>[(2, 1, 129.0), (3, 1, 138.0), (3, 2, 126.0), (3, 3, 27.0), (4, 1, 138.0), (4, 2, 44.0), (5, -2, 276.0), (5, 1, 138.0), (5, 2, 138.0), (6, 1, 138.0), (6, 2, 138.0)]</t>
  </si>
  <si>
    <t>[(1, 1, 91.0), (1, 2, 47.0), (2, 1, 85.0), (3, 1, 91.0), (3, 2, 94.0), (3, 3, 70.0)]</t>
  </si>
  <si>
    <t>[(2, 1, 65.0), (3, 1, 51.0), (4, 1, 60.0), (5, 1, 61.0), (5, 2, 61.0), (6, 1, 66.0), (6, 2, 59.0)]</t>
  </si>
  <si>
    <t>[(1, 1, 125.0), (1, 2, 123.0), (2, 1, 95.0), (3, 1, 135.0), (3, 2, 138.0), (3, 3, 104.0)]</t>
  </si>
  <si>
    <t>[(2, 1, 66.0), (2, 2, 30.0), (3, 1, 66.0), (3, 2, 66.0), (5, 1, 66.0), (5, 2, 66.0), (6, 1, 63.0)]</t>
  </si>
  <si>
    <t>[(1, 1, 156.0), (2, 1, 180.0), (2, 2, 110.0), (3, 1, 180.0), (3, 2, 180.0), (3, 3, 180.0)]</t>
  </si>
  <si>
    <t>[(2, 1, 111.0), (3, 1, 112.0), (3, 2, 109.0), (4, 1, 97.0), (5, 1, 113.0), (5, 2, 113.0), (5, 3, 113.0), (6, 1, 114.0), (6, 2, 114.0), (6, 3, 109.0)]</t>
  </si>
  <si>
    <t>[(2, 1, 94.0), (2, 2, 94.0), (2, 3, 78.0), (3, 1, 94.0), (4, 1, 94.0), (5, 1, 94.0), (5, 2, 53.0), (6, -2, 184.0), (6, 1, 90.0), (6, 2, 94.0), (6, 3, 65.0), (7, 1, 94.0), (7, 2, 79.0), (7, 3, 90.0), (8, -2, 232.0), (8, 1, 94.0), (8, 2, 94.0), (9, 1, 91.0), (9, 2, 94.0), (9, 3, 94.0)]</t>
  </si>
  <si>
    <t>[(1, 1, 92.0), (1, 2, 93.0), (1, 3, 91.0), (2, 1, 90.0), (2, 2, 18.0), (3, 1, 94.0)]</t>
  </si>
  <si>
    <t>[(2, 1, 65.0), (3, 1, 64.0), (3, 2, 29.0), (4, 1, 61.0), (4, 2, 56.999999256666506), (5, 1, 66.0), (5, 2, 61.0), (5, 3, 65.99999953000041), (6, 1, 66.0), (6, 2, 66.0), (6, 3, 59.0)]</t>
  </si>
  <si>
    <t>[(1, 1, 65.0), (1, 2, 32.0), (2, 1, 65.0), (2, 2, 38.0), (3, 1, 66.0), (3, 2, 66.0)]</t>
  </si>
  <si>
    <t>[(2, 1, 94.0), (2, 2, 88.99999905333226), (2, 3, 78.0), (3, 1, 94.0), (4, 1, 93.99999999999991), (5, 1, 78.0), (5, 2, 94.00000000000023), (6, 1, 90.0), (6, 2, 83.0)]</t>
  </si>
  <si>
    <t>[(2, -2, 166.0), (2, 1, 94.0), (2, 2, 66.0), (4, 1, 87.0), (4, 2, 94.0), (5, -2, 189.0), (5, 1, 94.0), (5, 2, 94.0), (6, 1, 94.0), (6, 2, 80.0), (7, -2, 189.0), (7, 1, 87.0), (8, 1, 93.0), (8, 2, 91.0), (9, 1, 86.0)]</t>
  </si>
  <si>
    <t>[(1, 1, 169.0), (2, 1, 180.0), (2, 2, 28.0), (3, 1, 180.0), (3, 2, 132.0), (3, 3, 60.0), (4, 1, 180.0), (4, 2, 44.0), (4, 3, 42.0), (5, 1, 180.0), (5, 2, 179.0), (5, 3, 106.0), (6, 1, 180.0), (6, 2, 179.0)]</t>
  </si>
  <si>
    <t>[(2, 1, 94.0), (2, 2, 94.0), (2, 3, 66.0), (3, 1, 86.0), (4, 1, 90.0), (5, 1, 94.0), (6, -2, 185.0), (6, 1, 84.0), (6, 2, 89.0), (7, 1, 90.0), (7, 2, 92.0), (8, -2, 173.0), (8, 1, 81.0), (8, 2, 49.0), (9, 1, 64.0), (9, 2, 83.0), (9, 3, 90.0)]</t>
  </si>
  <si>
    <t>[(2, 1, 66.0), (2, 2, 58.0), (2, 3, 66.0), (3, 1, 51.0), (3, 2, 66.0), (4, 1, 66.0), (4, 2, 40.0), (5, -2, 125.0), (5, 1, 66.0), (5, 2, 66.0), (6, 1, 66.0), (6, 2, 66.0), (7, -2, 264.0), (7, 1, 66.0), (7, 2, 57.0), (8, 1, 66.0), (8, 2, 66.0), (9, 1, 44.0)]</t>
  </si>
  <si>
    <t>[(2, 1, 101.0), (3, -2, 115.0), (3, 1, 107.0), (3, 2, 0), (3, 3, 24.0), (3, 4, 13.0), (4, 1, 77.0), (4, 2, 114.0), (4, 3, 8.0), (5, -2, 102.0), (5, 1, 105.0), (5, 2, 26.0), (5, 3, 58.0), (5, 4, 46.0), (6, -2, 214.0), (6, 1, 113.0), (6, 2, 85.0), (6, 3, 26.0), (7, -2, 148.0), (7, 1, 114.0), (7, 2, 50.0), (8, -2, 137.0), (8, 1, 114.0), (8, 2, 17.0), (8, 3, 114.0), (9, 1, 102.0), (9, 2, 13.0), (9, 3, 114.0)]</t>
  </si>
  <si>
    <t>[(2, 1, 55.0), (2, 2, 64.0), (4, 1, 55.00000012119208), (4, 2, 60.0), (5, 1, 36.99999987880792), (6, 1, 59.0), (6, 2, 61.0), (6, 3, 59.0), (7, 1, 66.0), (7, 2, 59.0), (8, 1, 59.0), (8, 2, 61.0), (8, 3, 59.0), (9, 1, 66.0), (9, 2, 59.0)]</t>
  </si>
  <si>
    <t>[(1, 1, 112.0), (1, 2, 60.0), (2, 1, 95.0), (3, 1, 114.0), (3, 2, 98.0), (3, 3, 77.0)]</t>
  </si>
  <si>
    <t>[(2, 1, 66.0), (2, 2, 60.0), (3, 1, 64.0), (5, -2, 126.00003471760738), (5, 1, 66.0), (5, 2, 66.0), (5, 3, 30.0), (6, 1, 64.0), (7, 1, 66.0), (7, 2, 66.0), (7, 3, 65.99997647532335), (8, 1, 59.99998880706927), (8, 2, 19.999972017672654), (9, 1, 59.0)]</t>
  </si>
  <si>
    <t>[(2, -2, 139.0), (2, 1, 50.0), (2, 2, 60.0), (3, 1, 18.0), (3, 2, 63.0), (4, -2, 173.0), (4, 1, 94.0), (5, -2, 157.0), (5, 1, 94.0), (5, 2, 59.0), (5, 3, 42.0), (6, -2, 183.0), (6, 1, 37.0), (6, 2, 94.0), (6, 3, 36.0), (7, -2, 378.0), (7, 1, 21.0), (7, 2, 27.0), (8, 1, 94.0), (8, 2, 94.0), (9, 1, 83.0)]</t>
  </si>
  <si>
    <t>model1_ScenarioPRP_homogeneousFractionalCapCut_oneCommodityFlow_determ_medPlus2_integral_VssRouteGen</t>
  </si>
  <si>
    <t>model1_determ_var_cost_all_own_vehicle</t>
  </si>
  <si>
    <t>Instance String</t>
  </si>
  <si>
    <t>Customers</t>
  </si>
  <si>
    <t>Periods</t>
  </si>
  <si>
    <t>MED</t>
  </si>
  <si>
    <t>Instance Type</t>
  </si>
  <si>
    <t>False</t>
  </si>
  <si>
    <t>Zeilenbeschriftungen</t>
  </si>
  <si>
    <t>Gesamtergebnis</t>
  </si>
  <si>
    <t>Spaltenbeschriftungen</t>
  </si>
  <si>
    <t>I1</t>
  </si>
  <si>
    <t>I3</t>
  </si>
  <si>
    <t>Mittelwert von Gap</t>
  </si>
  <si>
    <t>Mittelwert von ObjVal</t>
  </si>
  <si>
    <t>Mittelwert von runtime</t>
  </si>
  <si>
    <t>Mittelwert von ObjBound</t>
  </si>
  <si>
    <t>UB</t>
  </si>
  <si>
    <t>LB</t>
  </si>
  <si>
    <t>CT[s]</t>
  </si>
  <si>
    <t>VCD</t>
  </si>
  <si>
    <t>VCD[%]</t>
  </si>
  <si>
    <t>VSS[%]</t>
  </si>
  <si>
    <t>VSS</t>
  </si>
  <si>
    <t>VCD_min</t>
  </si>
  <si>
    <t>VCD_max</t>
  </si>
  <si>
    <t>VSSmax[%]</t>
  </si>
  <si>
    <t>Inst String</t>
  </si>
  <si>
    <t>Inst Type</t>
  </si>
  <si>
    <t>UB_model1_determ_var_cost_all_own_vehicle</t>
  </si>
  <si>
    <t>LB_model1_determ_var_cost_all_own_vehicle</t>
  </si>
  <si>
    <t>Gap_model1_determ_var_cost_all_own_vehicle</t>
  </si>
  <si>
    <t>CT[s]_model1_determ_var_cost_all_own_vehicle</t>
  </si>
  <si>
    <t>UB_model4_HPRP_comb_stoch_var_cost_MIPstart</t>
  </si>
  <si>
    <t>LB_model4_HPRP_comb_stoch_var_cost_MIPstart</t>
  </si>
  <si>
    <t>Gap_model4_HPRP_comb_stoch_var_cost_MIPstart</t>
  </si>
  <si>
    <t>CT[s]_model4_HPRP_comb_stoch_var_cost_MIPstart</t>
  </si>
  <si>
    <t>UB_model1_ScenarioPRP_VssRouteGen</t>
  </si>
  <si>
    <t>LB_model1_ScenarioPRP_VssRouteGen</t>
  </si>
  <si>
    <t>Gap_model1_ScenarioPRP_VssRouteGen</t>
  </si>
  <si>
    <t>CT[s]_model1_ScenarioPRP_VssRouteGen</t>
  </si>
  <si>
    <t>UB_model1_ScenarioPRP_VSScalc</t>
  </si>
  <si>
    <t>LB_model1_ScenarioPRP_VSScalc</t>
  </si>
  <si>
    <t>Gap_model1_ScenarioPRP_VSScalc</t>
  </si>
  <si>
    <t>CT[s]_model1_ScenarioPRP_VSScalc</t>
  </si>
  <si>
    <t>P3</t>
  </si>
  <si>
    <t>P6</t>
  </si>
  <si>
    <t>P9</t>
  </si>
  <si>
    <t>Mittelwert von UB_model1_determ_var_cost_all_own_vehicle</t>
  </si>
  <si>
    <t>Mittelwert von LB_model1_determ_var_cost_all_own_vehicle</t>
  </si>
  <si>
    <t>Mittelwert von Gap_model1_determ_var_cost_all_own_vehicle</t>
  </si>
  <si>
    <t>Mittelwert von UB_model1_ScenarioPRP_VSScalc</t>
  </si>
  <si>
    <t>Mittelwert von Gap_model1_ScenarioPRP_VssRouteGen</t>
  </si>
  <si>
    <t>Mittelwert von UB_model4_HPRP_comb_stoch_var_cost_MIPstart</t>
  </si>
  <si>
    <t>Mittelwert von LB_model4_HPRP_comb_stoch_var_cost_MIPstart</t>
  </si>
  <si>
    <t>Mittelwert von Gap_model4_HPRP_comb_stoch_var_cost_MIPstart</t>
  </si>
  <si>
    <t>Mittelwert von VCD[%]</t>
  </si>
  <si>
    <t>Mittelwert von VCD_min</t>
  </si>
  <si>
    <t>Mittelwert von VCD_max</t>
  </si>
  <si>
    <t>Mittelwert von VCD</t>
  </si>
  <si>
    <t>Mittelwert von VSS</t>
  </si>
  <si>
    <t>Mittelwert von VSS[%]</t>
  </si>
  <si>
    <t>Mittelwert von VSSmax[%]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</si>
</sst>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  <charset val="1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">
    <xf numFmtId="0" fontId="0" fillId="0" borderId="0"/>
    <xf numFmtId="0" fontId="3" fillId="0" borderId="0" applyFont="0" applyBorder="0" applyAlignment="0" applyProtection="0"/>
    <xf numFmtId="0" fontId="3" fillId="0" borderId="0" applyFont="0" applyBorder="0" applyAlignment="0" applyProtection="0"/>
    <xf numFmtId="0" fontId="3" fillId="0" borderId="0" applyFont="0" applyBorder="0" applyAlignment="0" applyProtection="0"/>
    <xf numFmtId="0" fontId="3" fillId="0" borderId="0" applyFont="0" applyBorder="0" applyProtection="0">
      <alignment horizontal="left"/>
    </xf>
    <xf numFmtId="0" fontId="1" fillId="0" borderId="0" applyBorder="0" applyProtection="0">
      <alignment horizontal="left"/>
    </xf>
    <xf numFmtId="0" fontId="1" fillId="0" borderId="0" applyBorder="0" applyAlignment="0" applyProtection="0"/>
  </cellStyleXfs>
  <cellXfs count="11">
    <xf numFmtId="0" fontId="0" fillId="0" borderId="0" xfId="0"/>
    <xf numFmtId="49" fontId="0" fillId="0" borderId="0" xfId="0" applyNumberFormat="1"/>
    <xf numFmtId="49" fontId="2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" fillId="0" borderId="0" xfId="0" applyFont="1"/>
    <xf numFmtId="1" fontId="1" fillId="0" borderId="0" xfId="0" applyNumberFormat="1" applyFont="1"/>
    <xf numFmtId="1" fontId="0" fillId="0" borderId="0" xfId="0" applyNumberFormat="1"/>
    <xf numFmtId="2" fontId="1" fillId="0" borderId="0" xfId="0" applyNumberFormat="1" applyFont="1"/>
    <xf numFmtId="2" fontId="0" fillId="0" borderId="0" xfId="0" applyNumberFormat="1"/>
  </cellXfs>
  <cellStyles count="7">
    <cellStyle name="Pivot Table Category" xfId="4" xr:uid="{00000000-0005-0000-0000-000009000000}"/>
    <cellStyle name="Pivot Table Corner" xfId="1" xr:uid="{00000000-0005-0000-0000-000006000000}"/>
    <cellStyle name="Pivot Table Field" xfId="3" xr:uid="{00000000-0005-0000-0000-000008000000}"/>
    <cellStyle name="Pivot Table Result" xfId="6" xr:uid="{00000000-0005-0000-0000-00000B000000}"/>
    <cellStyle name="Pivot Table Title" xfId="5" xr:uid="{00000000-0005-0000-0000-00000A000000}"/>
    <cellStyle name="Pivot Table Value" xfId="2" xr:uid="{00000000-0005-0000-0000-000007000000}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[Table11_CrowdDrivers_2Q_twoFleets_Torres_5OCDs.xlsm]PivotVCD!PivotTable5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PivotVCD!$B$1:$B$3</c:f>
              <c:strCache>
                <c:ptCount val="1"/>
                <c:pt idx="0">
                  <c:v>model1_determ_var_cost_all_own_vehicle - Mittelwert von ObjVal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PivotVCD!$A$4:$A$48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PivotVCD!$B$4:$B$48</c:f>
              <c:numCache>
                <c:formatCode>General</c:formatCode>
                <c:ptCount val="42"/>
                <c:pt idx="0">
                  <c:v>14236</c:v>
                </c:pt>
                <c:pt idx="1">
                  <c:v>30297</c:v>
                </c:pt>
                <c:pt idx="2">
                  <c:v>52638.999136016602</c:v>
                </c:pt>
                <c:pt idx="3">
                  <c:v>19989</c:v>
                </c:pt>
                <c:pt idx="4">
                  <c:v>42791</c:v>
                </c:pt>
                <c:pt idx="5">
                  <c:v>75988</c:v>
                </c:pt>
                <c:pt idx="6">
                  <c:v>22675</c:v>
                </c:pt>
                <c:pt idx="7">
                  <c:v>48181</c:v>
                </c:pt>
                <c:pt idx="8">
                  <c:v>83684.999949504898</c:v>
                </c:pt>
                <c:pt idx="9">
                  <c:v>26569</c:v>
                </c:pt>
                <c:pt idx="10">
                  <c:v>57677</c:v>
                </c:pt>
                <c:pt idx="11">
                  <c:v>101897.9996581</c:v>
                </c:pt>
                <c:pt idx="12">
                  <c:v>29172</c:v>
                </c:pt>
                <c:pt idx="13">
                  <c:v>61786.999969999997</c:v>
                </c:pt>
                <c:pt idx="14">
                  <c:v>111231</c:v>
                </c:pt>
                <c:pt idx="15">
                  <c:v>35803</c:v>
                </c:pt>
                <c:pt idx="16">
                  <c:v>75538.9998224054</c:v>
                </c:pt>
                <c:pt idx="17">
                  <c:v>44822</c:v>
                </c:pt>
                <c:pt idx="18">
                  <c:v>96993</c:v>
                </c:pt>
                <c:pt idx="19">
                  <c:v>50846</c:v>
                </c:pt>
                <c:pt idx="20">
                  <c:v>47126</c:v>
                </c:pt>
                <c:pt idx="21">
                  <c:v>20750</c:v>
                </c:pt>
                <c:pt idx="22">
                  <c:v>42067.999985979397</c:v>
                </c:pt>
                <c:pt idx="23">
                  <c:v>72847.999958617205</c:v>
                </c:pt>
                <c:pt idx="24">
                  <c:v>30676</c:v>
                </c:pt>
                <c:pt idx="25">
                  <c:v>60686.999585325299</c:v>
                </c:pt>
                <c:pt idx="26">
                  <c:v>109246</c:v>
                </c:pt>
                <c:pt idx="27">
                  <c:v>33151</c:v>
                </c:pt>
                <c:pt idx="28">
                  <c:v>66288.999920291695</c:v>
                </c:pt>
                <c:pt idx="29">
                  <c:v>116181.999595663</c:v>
                </c:pt>
                <c:pt idx="30">
                  <c:v>38054</c:v>
                </c:pt>
                <c:pt idx="31">
                  <c:v>76711.999283793804</c:v>
                </c:pt>
                <c:pt idx="32">
                  <c:v>140566</c:v>
                </c:pt>
                <c:pt idx="33">
                  <c:v>41464</c:v>
                </c:pt>
                <c:pt idx="34">
                  <c:v>82749</c:v>
                </c:pt>
                <c:pt idx="35">
                  <c:v>154135</c:v>
                </c:pt>
                <c:pt idx="36">
                  <c:v>49960</c:v>
                </c:pt>
                <c:pt idx="37">
                  <c:v>99886</c:v>
                </c:pt>
                <c:pt idx="38">
                  <c:v>61830</c:v>
                </c:pt>
                <c:pt idx="39">
                  <c:v>126608</c:v>
                </c:pt>
                <c:pt idx="40">
                  <c:v>70029</c:v>
                </c:pt>
                <c:pt idx="41">
                  <c:v>65560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8F-43CB-946C-97696540FE5D}"/>
            </c:ext>
          </c:extLst>
        </c:ser>
        <c:ser>
          <c:idx val="1"/>
          <c:order val="1"/>
          <c:tx>
            <c:strRef>
              <c:f>PivotVCD!$C$1:$C$3</c:f>
              <c:strCache>
                <c:ptCount val="1"/>
                <c:pt idx="0">
                  <c:v>model1_determ_var_cost_all_own_vehicle - Mittelwert von ObjBound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PivotVCD!$A$4:$A$48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PivotVCD!$C$4:$C$48</c:f>
              <c:numCache>
                <c:formatCode>General</c:formatCode>
                <c:ptCount val="42"/>
                <c:pt idx="0">
                  <c:v>14236</c:v>
                </c:pt>
                <c:pt idx="1">
                  <c:v>30297</c:v>
                </c:pt>
                <c:pt idx="2">
                  <c:v>52635.5040288241</c:v>
                </c:pt>
                <c:pt idx="3">
                  <c:v>19989</c:v>
                </c:pt>
                <c:pt idx="4">
                  <c:v>42786.818181818198</c:v>
                </c:pt>
                <c:pt idx="5">
                  <c:v>75255.136008802001</c:v>
                </c:pt>
                <c:pt idx="6">
                  <c:v>22675</c:v>
                </c:pt>
                <c:pt idx="7">
                  <c:v>48181</c:v>
                </c:pt>
                <c:pt idx="8">
                  <c:v>83678.781075164996</c:v>
                </c:pt>
                <c:pt idx="9">
                  <c:v>26569</c:v>
                </c:pt>
                <c:pt idx="10">
                  <c:v>57671.304179105799</c:v>
                </c:pt>
                <c:pt idx="11">
                  <c:v>101701.50339873599</c:v>
                </c:pt>
                <c:pt idx="12">
                  <c:v>29172</c:v>
                </c:pt>
                <c:pt idx="13">
                  <c:v>61782.695040581501</c:v>
                </c:pt>
                <c:pt idx="14">
                  <c:v>110668.141916063</c:v>
                </c:pt>
                <c:pt idx="15">
                  <c:v>35803</c:v>
                </c:pt>
                <c:pt idx="16">
                  <c:v>75433.2378964089</c:v>
                </c:pt>
                <c:pt idx="17">
                  <c:v>44822</c:v>
                </c:pt>
                <c:pt idx="18">
                  <c:v>96752.303220362606</c:v>
                </c:pt>
                <c:pt idx="19">
                  <c:v>50846</c:v>
                </c:pt>
                <c:pt idx="20">
                  <c:v>47126</c:v>
                </c:pt>
                <c:pt idx="21">
                  <c:v>20750</c:v>
                </c:pt>
                <c:pt idx="22">
                  <c:v>42067.999985979397</c:v>
                </c:pt>
                <c:pt idx="23">
                  <c:v>72847.999958617205</c:v>
                </c:pt>
                <c:pt idx="24">
                  <c:v>30676</c:v>
                </c:pt>
                <c:pt idx="25">
                  <c:v>60686.999585325299</c:v>
                </c:pt>
                <c:pt idx="26">
                  <c:v>108534.871643727</c:v>
                </c:pt>
                <c:pt idx="27">
                  <c:v>33151</c:v>
                </c:pt>
                <c:pt idx="28">
                  <c:v>66288.999920291695</c:v>
                </c:pt>
                <c:pt idx="29">
                  <c:v>115809.362405917</c:v>
                </c:pt>
                <c:pt idx="30">
                  <c:v>38054</c:v>
                </c:pt>
                <c:pt idx="31">
                  <c:v>76416.527816995702</c:v>
                </c:pt>
                <c:pt idx="32">
                  <c:v>137113.438898578</c:v>
                </c:pt>
                <c:pt idx="33">
                  <c:v>41464</c:v>
                </c:pt>
                <c:pt idx="34">
                  <c:v>82465.450241958504</c:v>
                </c:pt>
                <c:pt idx="35">
                  <c:v>146428.66490523101</c:v>
                </c:pt>
                <c:pt idx="36">
                  <c:v>49958.861801242201</c:v>
                </c:pt>
                <c:pt idx="37">
                  <c:v>98851.925147300106</c:v>
                </c:pt>
                <c:pt idx="38">
                  <c:v>61827.609761093801</c:v>
                </c:pt>
                <c:pt idx="39">
                  <c:v>121582.536354082</c:v>
                </c:pt>
                <c:pt idx="40">
                  <c:v>70029</c:v>
                </c:pt>
                <c:pt idx="41">
                  <c:v>65319.653853376803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8F-43CB-946C-97696540FE5D}"/>
            </c:ext>
          </c:extLst>
        </c:ser>
        <c:ser>
          <c:idx val="2"/>
          <c:order val="2"/>
          <c:tx>
            <c:strRef>
              <c:f>PivotVCD!$D$1:$D$3</c:f>
              <c:strCache>
                <c:ptCount val="1"/>
                <c:pt idx="0">
                  <c:v>model1_determ_var_cost_all_own_vehicle - Mittelwert von Gap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PivotVCD!$A$4:$A$48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PivotVCD!$D$4:$D$48</c:f>
              <c:numCache>
                <c:formatCode>General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6.6397675675101896E-5</c:v>
                </c:pt>
                <c:pt idx="3">
                  <c:v>0</c:v>
                </c:pt>
                <c:pt idx="4">
                  <c:v>9.7726582268017797E-5</c:v>
                </c:pt>
                <c:pt idx="5">
                  <c:v>9.64447006366774E-3</c:v>
                </c:pt>
                <c:pt idx="6">
                  <c:v>0</c:v>
                </c:pt>
                <c:pt idx="7">
                  <c:v>0</c:v>
                </c:pt>
                <c:pt idx="8">
                  <c:v>7.4312891721312597E-5</c:v>
                </c:pt>
                <c:pt idx="9">
                  <c:v>0</c:v>
                </c:pt>
                <c:pt idx="10">
                  <c:v>9.8753764832643705E-5</c:v>
                </c:pt>
                <c:pt idx="11">
                  <c:v>1.9283622840831501E-3</c:v>
                </c:pt>
                <c:pt idx="12">
                  <c:v>0</c:v>
                </c:pt>
                <c:pt idx="13">
                  <c:v>6.96737083947566E-5</c:v>
                </c:pt>
                <c:pt idx="14">
                  <c:v>5.06026273194677E-3</c:v>
                </c:pt>
                <c:pt idx="15">
                  <c:v>0</c:v>
                </c:pt>
                <c:pt idx="16">
                  <c:v>1.40009698625977E-3</c:v>
                </c:pt>
                <c:pt idx="17">
                  <c:v>0</c:v>
                </c:pt>
                <c:pt idx="18">
                  <c:v>2.4815891831102099E-3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6.5094223703681797E-3</c:v>
                </c:pt>
                <c:pt idx="27">
                  <c:v>0</c:v>
                </c:pt>
                <c:pt idx="28">
                  <c:v>0</c:v>
                </c:pt>
                <c:pt idx="29">
                  <c:v>3.2073573448852099E-3</c:v>
                </c:pt>
                <c:pt idx="30">
                  <c:v>0</c:v>
                </c:pt>
                <c:pt idx="31">
                  <c:v>3.8516981639992801E-3</c:v>
                </c:pt>
                <c:pt idx="32">
                  <c:v>2.4561850671019299E-2</c:v>
                </c:pt>
                <c:pt idx="33">
                  <c:v>0</c:v>
                </c:pt>
                <c:pt idx="34">
                  <c:v>3.4266245881103001E-3</c:v>
                </c:pt>
                <c:pt idx="35">
                  <c:v>4.9997308169909799E-2</c:v>
                </c:pt>
                <c:pt idx="36">
                  <c:v>2.2782200915835899E-5</c:v>
                </c:pt>
                <c:pt idx="37">
                  <c:v>1.03525504344943E-2</c:v>
                </c:pt>
                <c:pt idx="38">
                  <c:v>3.8658238819792197E-5</c:v>
                </c:pt>
                <c:pt idx="39">
                  <c:v>3.9693097165408898E-2</c:v>
                </c:pt>
                <c:pt idx="40">
                  <c:v>0</c:v>
                </c:pt>
                <c:pt idx="41">
                  <c:v>3.6660486062108301E-3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8F-43CB-946C-97696540FE5D}"/>
            </c:ext>
          </c:extLst>
        </c:ser>
        <c:ser>
          <c:idx val="3"/>
          <c:order val="3"/>
          <c:tx>
            <c:strRef>
              <c:f>PivotVCD!$E$1:$E$3</c:f>
              <c:strCache>
                <c:ptCount val="1"/>
                <c:pt idx="0">
                  <c:v>model1_determ_var_cost_all_own_vehicle - Mittelwert von runtime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PivotVCD!$A$4:$A$48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PivotVCD!$E$4:$E$48</c:f>
              <c:numCache>
                <c:formatCode>General</c:formatCode>
                <c:ptCount val="42"/>
                <c:pt idx="0">
                  <c:v>2.5246286392211901</c:v>
                </c:pt>
                <c:pt idx="1">
                  <c:v>6.7486011981964102</c:v>
                </c:pt>
                <c:pt idx="2">
                  <c:v>249.137942075729</c:v>
                </c:pt>
                <c:pt idx="3">
                  <c:v>7.2398519515991202</c:v>
                </c:pt>
                <c:pt idx="4">
                  <c:v>581.02645182609604</c:v>
                </c:pt>
                <c:pt idx="5">
                  <c:v>3601.1645689010602</c:v>
                </c:pt>
                <c:pt idx="6">
                  <c:v>7.94667267799377</c:v>
                </c:pt>
                <c:pt idx="7">
                  <c:v>27.982041597366301</c:v>
                </c:pt>
                <c:pt idx="8">
                  <c:v>1338.0379493236501</c:v>
                </c:pt>
                <c:pt idx="9">
                  <c:v>15.451955080032301</c:v>
                </c:pt>
                <c:pt idx="10">
                  <c:v>189.830693244934</c:v>
                </c:pt>
                <c:pt idx="11">
                  <c:v>3603.4120757579799</c:v>
                </c:pt>
                <c:pt idx="12">
                  <c:v>15.691298961639401</c:v>
                </c:pt>
                <c:pt idx="13">
                  <c:v>1727.2135601043699</c:v>
                </c:pt>
                <c:pt idx="14">
                  <c:v>3601.7885897159599</c:v>
                </c:pt>
                <c:pt idx="15">
                  <c:v>26.064972877502399</c:v>
                </c:pt>
                <c:pt idx="16">
                  <c:v>3601.5368080139201</c:v>
                </c:pt>
                <c:pt idx="17">
                  <c:v>107.950572729111</c:v>
                </c:pt>
                <c:pt idx="18">
                  <c:v>3601.67462682724</c:v>
                </c:pt>
                <c:pt idx="19">
                  <c:v>68.337500810623197</c:v>
                </c:pt>
                <c:pt idx="20">
                  <c:v>169.300560951233</c:v>
                </c:pt>
                <c:pt idx="21">
                  <c:v>1.7461397647857699</c:v>
                </c:pt>
                <c:pt idx="22">
                  <c:v>11.096104145050001</c:v>
                </c:pt>
                <c:pt idx="23">
                  <c:v>22.308111429214499</c:v>
                </c:pt>
                <c:pt idx="24">
                  <c:v>23.045698881149299</c:v>
                </c:pt>
                <c:pt idx="25">
                  <c:v>867.94262433052097</c:v>
                </c:pt>
                <c:pt idx="26">
                  <c:v>3600.0643427372001</c:v>
                </c:pt>
                <c:pt idx="27">
                  <c:v>16.105900287628199</c:v>
                </c:pt>
                <c:pt idx="28">
                  <c:v>2472.0361132621802</c:v>
                </c:pt>
                <c:pt idx="29">
                  <c:v>3600.1263711452498</c:v>
                </c:pt>
                <c:pt idx="30">
                  <c:v>28.681736707687399</c:v>
                </c:pt>
                <c:pt idx="31">
                  <c:v>3600.0264861583701</c:v>
                </c:pt>
                <c:pt idx="32">
                  <c:v>3600.6079318523398</c:v>
                </c:pt>
                <c:pt idx="33">
                  <c:v>12.4477450847626</c:v>
                </c:pt>
                <c:pt idx="34">
                  <c:v>3600.7795357704199</c:v>
                </c:pt>
                <c:pt idx="35">
                  <c:v>3600.0424265861502</c:v>
                </c:pt>
                <c:pt idx="36">
                  <c:v>111.026981592178</c:v>
                </c:pt>
                <c:pt idx="37">
                  <c:v>3601.8449048995999</c:v>
                </c:pt>
                <c:pt idx="38">
                  <c:v>2714.9084372520401</c:v>
                </c:pt>
                <c:pt idx="39">
                  <c:v>3605.21713376045</c:v>
                </c:pt>
                <c:pt idx="40">
                  <c:v>1626.2620828151701</c:v>
                </c:pt>
                <c:pt idx="41">
                  <c:v>3602.6810309886901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8F-43CB-946C-97696540FE5D}"/>
            </c:ext>
          </c:extLst>
        </c:ser>
        <c:ser>
          <c:idx val="4"/>
          <c:order val="4"/>
          <c:tx>
            <c:strRef>
              <c:f>PivotVCD!$F$1:$F$3</c:f>
              <c:strCache>
                <c:ptCount val="1"/>
                <c:pt idx="0">
                  <c:v>model1_ScenarioPRP_homogeneousFractionalCapCut_oneCommodityFlow_determ_medPlus2_integral_VssRouteGen - Mittelwert von ObjVal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PivotVCD!$A$4:$A$48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PivotVCD!$F$4:$F$48</c:f>
              <c:numCache>
                <c:formatCode>General</c:formatCode>
                <c:ptCount val="42"/>
                <c:pt idx="0">
                  <c:v>13261</c:v>
                </c:pt>
                <c:pt idx="1">
                  <c:v>28808.5</c:v>
                </c:pt>
                <c:pt idx="2">
                  <c:v>49829.5</c:v>
                </c:pt>
                <c:pt idx="3">
                  <c:v>18787</c:v>
                </c:pt>
                <c:pt idx="4">
                  <c:v>40840.999735390396</c:v>
                </c:pt>
                <c:pt idx="5">
                  <c:v>72398.999814665207</c:v>
                </c:pt>
                <c:pt idx="6">
                  <c:v>21264.5</c:v>
                </c:pt>
                <c:pt idx="7">
                  <c:v>46031.499994193699</c:v>
                </c:pt>
                <c:pt idx="8">
                  <c:v>79898.499787247696</c:v>
                </c:pt>
                <c:pt idx="9">
                  <c:v>24924</c:v>
                </c:pt>
                <c:pt idx="10">
                  <c:v>55278.999990389297</c:v>
                </c:pt>
                <c:pt idx="11">
                  <c:v>97573.499990081604</c:v>
                </c:pt>
                <c:pt idx="12">
                  <c:v>27692.9996937326</c:v>
                </c:pt>
                <c:pt idx="13">
                  <c:v>59081.5</c:v>
                </c:pt>
                <c:pt idx="14">
                  <c:v>106059.5</c:v>
                </c:pt>
                <c:pt idx="15">
                  <c:v>34131.4999023825</c:v>
                </c:pt>
                <c:pt idx="16">
                  <c:v>72384.999967396303</c:v>
                </c:pt>
                <c:pt idx="17">
                  <c:v>42223.499796775701</c:v>
                </c:pt>
                <c:pt idx="18">
                  <c:v>93436</c:v>
                </c:pt>
                <c:pt idx="19">
                  <c:v>48258.999980307497</c:v>
                </c:pt>
                <c:pt idx="20">
                  <c:v>44632.9997904212</c:v>
                </c:pt>
                <c:pt idx="21">
                  <c:v>17835</c:v>
                </c:pt>
                <c:pt idx="22">
                  <c:v>37316.5</c:v>
                </c:pt>
                <c:pt idx="23">
                  <c:v>66834.994197344393</c:v>
                </c:pt>
                <c:pt idx="24">
                  <c:v>26240.5</c:v>
                </c:pt>
                <c:pt idx="25">
                  <c:v>54121</c:v>
                </c:pt>
                <c:pt idx="26">
                  <c:v>99897.499815615898</c:v>
                </c:pt>
                <c:pt idx="27">
                  <c:v>28517</c:v>
                </c:pt>
                <c:pt idx="28">
                  <c:v>59032.496323716499</c:v>
                </c:pt>
                <c:pt idx="29">
                  <c:v>106168.999353237</c:v>
                </c:pt>
                <c:pt idx="30">
                  <c:v>33049</c:v>
                </c:pt>
                <c:pt idx="31">
                  <c:v>69545.498197501394</c:v>
                </c:pt>
                <c:pt idx="32">
                  <c:v>126859</c:v>
                </c:pt>
                <c:pt idx="33">
                  <c:v>36026</c:v>
                </c:pt>
                <c:pt idx="34">
                  <c:v>74518.499908963393</c:v>
                </c:pt>
                <c:pt idx="35">
                  <c:v>136171.999986562</c:v>
                </c:pt>
                <c:pt idx="36">
                  <c:v>44185.999043605101</c:v>
                </c:pt>
                <c:pt idx="37">
                  <c:v>90834</c:v>
                </c:pt>
                <c:pt idx="38">
                  <c:v>54377.998651985297</c:v>
                </c:pt>
                <c:pt idx="39">
                  <c:v>114580.499510803</c:v>
                </c:pt>
                <c:pt idx="40">
                  <c:v>63308.499966032497</c:v>
                </c:pt>
                <c:pt idx="41">
                  <c:v>59060.999700654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38F-43CB-946C-97696540FE5D}"/>
            </c:ext>
          </c:extLst>
        </c:ser>
        <c:ser>
          <c:idx val="5"/>
          <c:order val="5"/>
          <c:tx>
            <c:strRef>
              <c:f>PivotVCD!$G$1:$G$3</c:f>
              <c:strCache>
                <c:ptCount val="1"/>
                <c:pt idx="0">
                  <c:v>model1_ScenarioPRP_homogeneousFractionalCapCut_oneCommodityFlow_determ_medPlus2_integral_VssRouteGen - Mittelwert von ObjBound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PivotVCD!$A$4:$A$48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PivotVCD!$G$4:$G$48</c:f>
              <c:numCache>
                <c:formatCode>General</c:formatCode>
                <c:ptCount val="42"/>
                <c:pt idx="0">
                  <c:v>13261</c:v>
                </c:pt>
                <c:pt idx="1">
                  <c:v>28808.5</c:v>
                </c:pt>
                <c:pt idx="2">
                  <c:v>49829.031330077101</c:v>
                </c:pt>
                <c:pt idx="3">
                  <c:v>18787</c:v>
                </c:pt>
                <c:pt idx="4">
                  <c:v>40657.559437697601</c:v>
                </c:pt>
                <c:pt idx="5">
                  <c:v>71861.067706896894</c:v>
                </c:pt>
                <c:pt idx="6">
                  <c:v>21264.5</c:v>
                </c:pt>
                <c:pt idx="7">
                  <c:v>45971.462731603198</c:v>
                </c:pt>
                <c:pt idx="8">
                  <c:v>79681.443479395995</c:v>
                </c:pt>
                <c:pt idx="9">
                  <c:v>24924</c:v>
                </c:pt>
                <c:pt idx="10">
                  <c:v>55182.0376204192</c:v>
                </c:pt>
                <c:pt idx="11">
                  <c:v>97183.542108072099</c:v>
                </c:pt>
                <c:pt idx="12">
                  <c:v>27620.413750298601</c:v>
                </c:pt>
                <c:pt idx="13">
                  <c:v>58997.2614388281</c:v>
                </c:pt>
                <c:pt idx="14">
                  <c:v>105374.008452761</c:v>
                </c:pt>
                <c:pt idx="15">
                  <c:v>33951.488507069902</c:v>
                </c:pt>
                <c:pt idx="16">
                  <c:v>72002.368161820996</c:v>
                </c:pt>
                <c:pt idx="17">
                  <c:v>42040.333896737699</c:v>
                </c:pt>
                <c:pt idx="18">
                  <c:v>92812.185047562205</c:v>
                </c:pt>
                <c:pt idx="19">
                  <c:v>48092.253679702801</c:v>
                </c:pt>
                <c:pt idx="20">
                  <c:v>44344.516036604</c:v>
                </c:pt>
                <c:pt idx="21">
                  <c:v>17835</c:v>
                </c:pt>
                <c:pt idx="22">
                  <c:v>37316.498822320304</c:v>
                </c:pt>
                <c:pt idx="23">
                  <c:v>66574.279362295594</c:v>
                </c:pt>
                <c:pt idx="24">
                  <c:v>26240.4999320594</c:v>
                </c:pt>
                <c:pt idx="25">
                  <c:v>54064.641131386197</c:v>
                </c:pt>
                <c:pt idx="26">
                  <c:v>98544.457483100996</c:v>
                </c:pt>
                <c:pt idx="27">
                  <c:v>28517</c:v>
                </c:pt>
                <c:pt idx="28">
                  <c:v>58537.4155821116</c:v>
                </c:pt>
                <c:pt idx="29">
                  <c:v>103926.153194074</c:v>
                </c:pt>
                <c:pt idx="30">
                  <c:v>33049</c:v>
                </c:pt>
                <c:pt idx="31">
                  <c:v>68940.450279132099</c:v>
                </c:pt>
                <c:pt idx="32">
                  <c:v>124734.5805699</c:v>
                </c:pt>
                <c:pt idx="33">
                  <c:v>35744.762171535003</c:v>
                </c:pt>
                <c:pt idx="34">
                  <c:v>73724.5142886432</c:v>
                </c:pt>
                <c:pt idx="35">
                  <c:v>133302.284555272</c:v>
                </c:pt>
                <c:pt idx="36">
                  <c:v>43510.528620756799</c:v>
                </c:pt>
                <c:pt idx="37">
                  <c:v>89349.516171641706</c:v>
                </c:pt>
                <c:pt idx="38">
                  <c:v>53634.238078731098</c:v>
                </c:pt>
                <c:pt idx="39">
                  <c:v>112321.893269849</c:v>
                </c:pt>
                <c:pt idx="40">
                  <c:v>61213.621557050799</c:v>
                </c:pt>
                <c:pt idx="41">
                  <c:v>57483.592799488601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38F-43CB-946C-97696540FE5D}"/>
            </c:ext>
          </c:extLst>
        </c:ser>
        <c:ser>
          <c:idx val="6"/>
          <c:order val="6"/>
          <c:tx>
            <c:strRef>
              <c:f>PivotVCD!$H$1:$H$3</c:f>
              <c:strCache>
                <c:ptCount val="1"/>
                <c:pt idx="0">
                  <c:v>model1_ScenarioPRP_homogeneousFractionalCapCut_oneCommodityFlow_determ_medPlus2_integral_VssRouteGen - Mittelwert von Gap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PivotVCD!$A$4:$A$48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PivotVCD!$H$4:$H$48</c:f>
              <c:numCache>
                <c:formatCode>General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9.4054711137442401E-6</c:v>
                </c:pt>
                <c:pt idx="3">
                  <c:v>0</c:v>
                </c:pt>
                <c:pt idx="4">
                  <c:v>4.4915721672193001E-3</c:v>
                </c:pt>
                <c:pt idx="5">
                  <c:v>7.4301041332798202E-3</c:v>
                </c:pt>
                <c:pt idx="6">
                  <c:v>0</c:v>
                </c:pt>
                <c:pt idx="7">
                  <c:v>1.30426474475215E-3</c:v>
                </c:pt>
                <c:pt idx="8">
                  <c:v>2.7166506058261602E-3</c:v>
                </c:pt>
                <c:pt idx="9">
                  <c:v>0</c:v>
                </c:pt>
                <c:pt idx="10">
                  <c:v>1.7540543422810599E-3</c:v>
                </c:pt>
                <c:pt idx="11">
                  <c:v>3.99655523322596E-3</c:v>
                </c:pt>
                <c:pt idx="12">
                  <c:v>2.62109357010183E-3</c:v>
                </c:pt>
                <c:pt idx="13">
                  <c:v>1.42580268225938E-3</c:v>
                </c:pt>
                <c:pt idx="14">
                  <c:v>6.4632734195350103E-3</c:v>
                </c:pt>
                <c:pt idx="15">
                  <c:v>5.2740546365498799E-3</c:v>
                </c:pt>
                <c:pt idx="16">
                  <c:v>5.2860648718336904E-3</c:v>
                </c:pt>
                <c:pt idx="17">
                  <c:v>4.3380084767872702E-3</c:v>
                </c:pt>
                <c:pt idx="18">
                  <c:v>6.6763876068941901E-3</c:v>
                </c:pt>
                <c:pt idx="19">
                  <c:v>3.4552373789921501E-3</c:v>
                </c:pt>
                <c:pt idx="20">
                  <c:v>6.46346324853256E-3</c:v>
                </c:pt>
                <c:pt idx="21">
                  <c:v>0</c:v>
                </c:pt>
                <c:pt idx="22">
                  <c:v>3.1559221890780703E-8</c:v>
                </c:pt>
                <c:pt idx="23">
                  <c:v>3.9008731605327698E-3</c:v>
                </c:pt>
                <c:pt idx="24">
                  <c:v>2.5891516174008001E-9</c:v>
                </c:pt>
                <c:pt idx="25">
                  <c:v>1.04134935817579E-3</c:v>
                </c:pt>
                <c:pt idx="26">
                  <c:v>1.3544306264042599E-2</c:v>
                </c:pt>
                <c:pt idx="27">
                  <c:v>0</c:v>
                </c:pt>
                <c:pt idx="28">
                  <c:v>8.3865798066542208E-3</c:v>
                </c:pt>
                <c:pt idx="29">
                  <c:v>2.1125245343043501E-2</c:v>
                </c:pt>
                <c:pt idx="30">
                  <c:v>0</c:v>
                </c:pt>
                <c:pt idx="31">
                  <c:v>8.7000299667282701E-3</c:v>
                </c:pt>
                <c:pt idx="32">
                  <c:v>1.6746304401739302E-2</c:v>
                </c:pt>
                <c:pt idx="33">
                  <c:v>7.8065238567977804E-3</c:v>
                </c:pt>
                <c:pt idx="34">
                  <c:v>1.06548792754849E-2</c:v>
                </c:pt>
                <c:pt idx="35">
                  <c:v>2.10741961017923E-2</c:v>
                </c:pt>
                <c:pt idx="36">
                  <c:v>1.52869786237405E-2</c:v>
                </c:pt>
                <c:pt idx="37">
                  <c:v>1.63428212823209E-2</c:v>
                </c:pt>
                <c:pt idx="38">
                  <c:v>1.3677601083008801E-2</c:v>
                </c:pt>
                <c:pt idx="39">
                  <c:v>1.9711960155501002E-2</c:v>
                </c:pt>
                <c:pt idx="40">
                  <c:v>3.3090002292041801E-2</c:v>
                </c:pt>
                <c:pt idx="41">
                  <c:v>2.6708096868668301E-2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38F-43CB-946C-97696540FE5D}"/>
            </c:ext>
          </c:extLst>
        </c:ser>
        <c:ser>
          <c:idx val="7"/>
          <c:order val="7"/>
          <c:tx>
            <c:strRef>
              <c:f>PivotVCD!$I$1:$I$3</c:f>
              <c:strCache>
                <c:ptCount val="1"/>
                <c:pt idx="0">
                  <c:v>model1_ScenarioPRP_homogeneousFractionalCapCut_oneCommodityFlow_determ_medPlus2_integral_VssRouteGen - Mittelwert von runtime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PivotVCD!$A$4:$A$48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PivotVCD!$I$4:$I$48</c:f>
              <c:numCache>
                <c:formatCode>General</c:formatCode>
                <c:ptCount val="42"/>
                <c:pt idx="0">
                  <c:v>2.5826830863952601</c:v>
                </c:pt>
                <c:pt idx="1">
                  <c:v>109.88926386833199</c:v>
                </c:pt>
                <c:pt idx="2">
                  <c:v>707.30213308334396</c:v>
                </c:pt>
                <c:pt idx="3">
                  <c:v>65.541598081588802</c:v>
                </c:pt>
                <c:pt idx="4">
                  <c:v>3600.0269849300398</c:v>
                </c:pt>
                <c:pt idx="5">
                  <c:v>3600.0329861640898</c:v>
                </c:pt>
                <c:pt idx="6">
                  <c:v>63.981189012527501</c:v>
                </c:pt>
                <c:pt idx="7">
                  <c:v>3600.04978013039</c:v>
                </c:pt>
                <c:pt idx="8">
                  <c:v>3600.1542019844101</c:v>
                </c:pt>
                <c:pt idx="9">
                  <c:v>83.338111877441406</c:v>
                </c:pt>
                <c:pt idx="10">
                  <c:v>3600.05472517014</c:v>
                </c:pt>
                <c:pt idx="11">
                  <c:v>3600.09210920334</c:v>
                </c:pt>
                <c:pt idx="12">
                  <c:v>3600.0521810054802</c:v>
                </c:pt>
                <c:pt idx="13">
                  <c:v>3600.04789113998</c:v>
                </c:pt>
                <c:pt idx="14">
                  <c:v>3600.3483009338402</c:v>
                </c:pt>
                <c:pt idx="15">
                  <c:v>3600.21579194069</c:v>
                </c:pt>
                <c:pt idx="16">
                  <c:v>3600.1030459404001</c:v>
                </c:pt>
                <c:pt idx="17">
                  <c:v>3600.10026597977</c:v>
                </c:pt>
                <c:pt idx="18">
                  <c:v>3600.07370400429</c:v>
                </c:pt>
                <c:pt idx="19">
                  <c:v>3600.0970969200098</c:v>
                </c:pt>
                <c:pt idx="20">
                  <c:v>3600.1724021434802</c:v>
                </c:pt>
                <c:pt idx="21">
                  <c:v>1.38335108757019</c:v>
                </c:pt>
                <c:pt idx="22">
                  <c:v>162.77340507507299</c:v>
                </c:pt>
                <c:pt idx="23">
                  <c:v>3600.0266900062602</c:v>
                </c:pt>
                <c:pt idx="24">
                  <c:v>238.19414281845101</c:v>
                </c:pt>
                <c:pt idx="25">
                  <c:v>3600.0338850021399</c:v>
                </c:pt>
                <c:pt idx="26">
                  <c:v>3600.0566389560699</c:v>
                </c:pt>
                <c:pt idx="27">
                  <c:v>38.965275049209602</c:v>
                </c:pt>
                <c:pt idx="28">
                  <c:v>3600.0313742160802</c:v>
                </c:pt>
                <c:pt idx="29">
                  <c:v>3600.1596698761</c:v>
                </c:pt>
                <c:pt idx="30">
                  <c:v>227.94780611991899</c:v>
                </c:pt>
                <c:pt idx="31">
                  <c:v>3600.0907940864599</c:v>
                </c:pt>
                <c:pt idx="32">
                  <c:v>3600.06720685959</c:v>
                </c:pt>
                <c:pt idx="33">
                  <c:v>3600.05626797676</c:v>
                </c:pt>
                <c:pt idx="34">
                  <c:v>3600.07070803642</c:v>
                </c:pt>
                <c:pt idx="35">
                  <c:v>3600.0624740123799</c:v>
                </c:pt>
                <c:pt idx="36">
                  <c:v>3600.06271195412</c:v>
                </c:pt>
                <c:pt idx="37">
                  <c:v>3600.0530130863199</c:v>
                </c:pt>
                <c:pt idx="38">
                  <c:v>3600.04021906853</c:v>
                </c:pt>
                <c:pt idx="39">
                  <c:v>3600.0457360744499</c:v>
                </c:pt>
                <c:pt idx="40">
                  <c:v>3600.1742379665402</c:v>
                </c:pt>
                <c:pt idx="41">
                  <c:v>3600.1775269508398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38F-43CB-946C-97696540FE5D}"/>
            </c:ext>
          </c:extLst>
        </c:ser>
        <c:ser>
          <c:idx val="8"/>
          <c:order val="8"/>
          <c:tx>
            <c:strRef>
              <c:f>PivotVCD!$J$1:$J$3</c:f>
              <c:strCache>
                <c:ptCount val="1"/>
                <c:pt idx="0">
                  <c:v>model1_ScenarioPRP_homogeneousFractionalCapCut_oneCommodityFlow_stoch_integral - Mittelwert von ObjVal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PivotVCD!$A$4:$A$48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PivotVCD!$J$4:$J$48</c:f>
              <c:numCache>
                <c:formatCode>General</c:formatCode>
                <c:ptCount val="42"/>
                <c:pt idx="0">
                  <c:v>13310.3697351344</c:v>
                </c:pt>
                <c:pt idx="1">
                  <c:v>28912.325360672399</c:v>
                </c:pt>
                <c:pt idx="2">
                  <c:v>50231.331443295901</c:v>
                </c:pt>
                <c:pt idx="3">
                  <c:v>18984.126365642202</c:v>
                </c:pt>
                <c:pt idx="4">
                  <c:v>41270.954555705597</c:v>
                </c:pt>
                <c:pt idx="5">
                  <c:v>73967.920901733101</c:v>
                </c:pt>
                <c:pt idx="6">
                  <c:v>21378.120408857201</c:v>
                </c:pt>
                <c:pt idx="7">
                  <c:v>46359.723733948202</c:v>
                </c:pt>
                <c:pt idx="8">
                  <c:v>81173.837618463498</c:v>
                </c:pt>
                <c:pt idx="9">
                  <c:v>25165.198867160201</c:v>
                </c:pt>
                <c:pt idx="10">
                  <c:v>55786.484722264096</c:v>
                </c:pt>
                <c:pt idx="11">
                  <c:v>99854.509339261407</c:v>
                </c:pt>
                <c:pt idx="12">
                  <c:v>27975.740465439099</c:v>
                </c:pt>
                <c:pt idx="13">
                  <c:v>59517.4860415476</c:v>
                </c:pt>
                <c:pt idx="14">
                  <c:v>107529.301682925</c:v>
                </c:pt>
                <c:pt idx="15">
                  <c:v>34416.2067617551</c:v>
                </c:pt>
                <c:pt idx="16">
                  <c:v>72969.8460902964</c:v>
                </c:pt>
                <c:pt idx="17">
                  <c:v>42573.582196626798</c:v>
                </c:pt>
                <c:pt idx="18">
                  <c:v>94289.659078283396</c:v>
                </c:pt>
                <c:pt idx="19">
                  <c:v>48829.581233312201</c:v>
                </c:pt>
                <c:pt idx="20">
                  <c:v>45274.429161204403</c:v>
                </c:pt>
                <c:pt idx="21">
                  <c:v>18058.295875612901</c:v>
                </c:pt>
                <c:pt idx="22">
                  <c:v>38038.172765691197</c:v>
                </c:pt>
                <c:pt idx="23">
                  <c:v>69154.905995275505</c:v>
                </c:pt>
                <c:pt idx="24">
                  <c:v>26860.681430160799</c:v>
                </c:pt>
                <c:pt idx="25">
                  <c:v>57150.9185117249</c:v>
                </c:pt>
                <c:pt idx="26">
                  <c:v>106666.043249344</c:v>
                </c:pt>
                <c:pt idx="27">
                  <c:v>29250.8296868258</c:v>
                </c:pt>
                <c:pt idx="28">
                  <c:v>61479.340245791704</c:v>
                </c:pt>
                <c:pt idx="29">
                  <c:v>112995.774405897</c:v>
                </c:pt>
                <c:pt idx="30">
                  <c:v>34032.056398000197</c:v>
                </c:pt>
                <c:pt idx="31">
                  <c:v>73077.805343702406</c:v>
                </c:pt>
                <c:pt idx="32">
                  <c:v>135894.00648996999</c:v>
                </c:pt>
                <c:pt idx="33">
                  <c:v>36802.081355002701</c:v>
                </c:pt>
                <c:pt idx="34">
                  <c:v>77354.526374788198</c:v>
                </c:pt>
                <c:pt idx="35">
                  <c:v>144519.29233386801</c:v>
                </c:pt>
                <c:pt idx="36">
                  <c:v>45016.600720531897</c:v>
                </c:pt>
                <c:pt idx="37">
                  <c:v>95763.458077276504</c:v>
                </c:pt>
                <c:pt idx="38">
                  <c:v>55163.152852195402</c:v>
                </c:pt>
                <c:pt idx="39">
                  <c:v>118796.383601792</c:v>
                </c:pt>
                <c:pt idx="40">
                  <c:v>64703.057426742598</c:v>
                </c:pt>
                <c:pt idx="41">
                  <c:v>60442.363051764703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38F-43CB-946C-97696540FE5D}"/>
            </c:ext>
          </c:extLst>
        </c:ser>
        <c:ser>
          <c:idx val="9"/>
          <c:order val="9"/>
          <c:tx>
            <c:strRef>
              <c:f>PivotVCD!$K$1:$K$3</c:f>
              <c:strCache>
                <c:ptCount val="1"/>
                <c:pt idx="0">
                  <c:v>model1_ScenarioPRP_homogeneousFractionalCapCut_oneCommodityFlow_stoch_integral - Mittelwert von ObjBound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PivotVCD!$A$4:$A$48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PivotVCD!$K$4:$K$48</c:f>
              <c:numCache>
                <c:formatCode>General</c:formatCode>
                <c:ptCount val="42"/>
                <c:pt idx="0">
                  <c:v>13310.3697351344</c:v>
                </c:pt>
                <c:pt idx="1">
                  <c:v>28912.325360672399</c:v>
                </c:pt>
                <c:pt idx="2">
                  <c:v>50231.331443295901</c:v>
                </c:pt>
                <c:pt idx="3">
                  <c:v>18984.126365642202</c:v>
                </c:pt>
                <c:pt idx="4">
                  <c:v>41270.954555705597</c:v>
                </c:pt>
                <c:pt idx="5">
                  <c:v>73967.920901733101</c:v>
                </c:pt>
                <c:pt idx="6">
                  <c:v>21378.120408857201</c:v>
                </c:pt>
                <c:pt idx="7">
                  <c:v>46359.723733948202</c:v>
                </c:pt>
                <c:pt idx="8">
                  <c:v>81173.837618463396</c:v>
                </c:pt>
                <c:pt idx="9">
                  <c:v>25165.198867160201</c:v>
                </c:pt>
                <c:pt idx="10">
                  <c:v>55786.484722264096</c:v>
                </c:pt>
                <c:pt idx="11">
                  <c:v>99849.069530817404</c:v>
                </c:pt>
                <c:pt idx="12">
                  <c:v>27974.317305026201</c:v>
                </c:pt>
                <c:pt idx="13">
                  <c:v>59512.7415498232</c:v>
                </c:pt>
                <c:pt idx="14">
                  <c:v>107528.728340099</c:v>
                </c:pt>
                <c:pt idx="15">
                  <c:v>34415.584928466298</c:v>
                </c:pt>
                <c:pt idx="16">
                  <c:v>72969.151541604195</c:v>
                </c:pt>
                <c:pt idx="17">
                  <c:v>42573.582196132098</c:v>
                </c:pt>
                <c:pt idx="18">
                  <c:v>94287.6995011689</c:v>
                </c:pt>
                <c:pt idx="19">
                  <c:v>48829.581232696502</c:v>
                </c:pt>
                <c:pt idx="20">
                  <c:v>45274.429161204403</c:v>
                </c:pt>
                <c:pt idx="21">
                  <c:v>18058.295875612901</c:v>
                </c:pt>
                <c:pt idx="22">
                  <c:v>38038.172765691197</c:v>
                </c:pt>
                <c:pt idx="23">
                  <c:v>69154.905995275505</c:v>
                </c:pt>
                <c:pt idx="24">
                  <c:v>26860.681430160799</c:v>
                </c:pt>
                <c:pt idx="25">
                  <c:v>57150.9185117249</c:v>
                </c:pt>
                <c:pt idx="26">
                  <c:v>106666.043249344</c:v>
                </c:pt>
                <c:pt idx="27">
                  <c:v>29250.8296868258</c:v>
                </c:pt>
                <c:pt idx="28">
                  <c:v>61479.340245791704</c:v>
                </c:pt>
                <c:pt idx="29">
                  <c:v>112995.774405897</c:v>
                </c:pt>
                <c:pt idx="30">
                  <c:v>34032.056398000197</c:v>
                </c:pt>
                <c:pt idx="31">
                  <c:v>73077.805343702305</c:v>
                </c:pt>
                <c:pt idx="32">
                  <c:v>135894.00648996999</c:v>
                </c:pt>
                <c:pt idx="33">
                  <c:v>36802.081355002701</c:v>
                </c:pt>
                <c:pt idx="34">
                  <c:v>77352.388431525804</c:v>
                </c:pt>
                <c:pt idx="35">
                  <c:v>144517.677953078</c:v>
                </c:pt>
                <c:pt idx="36">
                  <c:v>45016.600720531897</c:v>
                </c:pt>
                <c:pt idx="37">
                  <c:v>95761.543621923396</c:v>
                </c:pt>
                <c:pt idx="38">
                  <c:v>55158.754570694698</c:v>
                </c:pt>
                <c:pt idx="39">
                  <c:v>118792.955030364</c:v>
                </c:pt>
                <c:pt idx="40">
                  <c:v>64703.057426707899</c:v>
                </c:pt>
                <c:pt idx="41">
                  <c:v>60438.1314362423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38F-43CB-946C-97696540FE5D}"/>
            </c:ext>
          </c:extLst>
        </c:ser>
        <c:ser>
          <c:idx val="10"/>
          <c:order val="10"/>
          <c:tx>
            <c:strRef>
              <c:f>PivotVCD!$L$1:$L$3</c:f>
              <c:strCache>
                <c:ptCount val="1"/>
                <c:pt idx="0">
                  <c:v>model1_ScenarioPRP_homogeneousFractionalCapCut_oneCommodityFlow_stoch_integral - Mittelwert von Gap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PivotVCD!$A$4:$A$48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PivotVCD!$L$4:$L$48</c:f>
              <c:numCache>
                <c:formatCode>General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5.4477343887610703E-5</c:v>
                </c:pt>
                <c:pt idx="12">
                  <c:v>5.0871233049088201E-5</c:v>
                </c:pt>
                <c:pt idx="13">
                  <c:v>7.9715929552229601E-5</c:v>
                </c:pt>
                <c:pt idx="14">
                  <c:v>5.3319682864334499E-6</c:v>
                </c:pt>
                <c:pt idx="15">
                  <c:v>1.80680367583086E-5</c:v>
                </c:pt>
                <c:pt idx="16">
                  <c:v>9.5182973428135496E-6</c:v>
                </c:pt>
                <c:pt idx="17">
                  <c:v>1.16203860820052E-11</c:v>
                </c:pt>
                <c:pt idx="18">
                  <c:v>2.0782524124149499E-5</c:v>
                </c:pt>
                <c:pt idx="19">
                  <c:v>1.26089865561282E-11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1.0914000208557499E-15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1.3939034720525601E-15</c:v>
                </c:pt>
                <c:pt idx="32">
                  <c:v>0</c:v>
                </c:pt>
                <c:pt idx="33">
                  <c:v>0</c:v>
                </c:pt>
                <c:pt idx="34">
                  <c:v>2.76382438443287E-5</c:v>
                </c:pt>
                <c:pt idx="35">
                  <c:v>1.1170693993125501E-5</c:v>
                </c:pt>
                <c:pt idx="36">
                  <c:v>0</c:v>
                </c:pt>
                <c:pt idx="37">
                  <c:v>1.9991501888549501E-5</c:v>
                </c:pt>
                <c:pt idx="38">
                  <c:v>7.9732235618444502E-5</c:v>
                </c:pt>
                <c:pt idx="39">
                  <c:v>2.8860907416903599E-5</c:v>
                </c:pt>
                <c:pt idx="40">
                  <c:v>5.3695604179233501E-13</c:v>
                </c:pt>
                <c:pt idx="41">
                  <c:v>7.0010755846874905E-5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38F-43CB-946C-97696540FE5D}"/>
            </c:ext>
          </c:extLst>
        </c:ser>
        <c:ser>
          <c:idx val="11"/>
          <c:order val="11"/>
          <c:tx>
            <c:strRef>
              <c:f>PivotVCD!$M$1:$M$3</c:f>
              <c:strCache>
                <c:ptCount val="1"/>
                <c:pt idx="0">
                  <c:v>model1_ScenarioPRP_homogeneousFractionalCapCut_oneCommodityFlow_stoch_integral - Mittelwert von runtime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PivotVCD!$A$4:$A$48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PivotVCD!$M$4:$M$48</c:f>
              <c:numCache>
                <c:formatCode>General</c:formatCode>
                <c:ptCount val="42"/>
                <c:pt idx="0">
                  <c:v>3.50089073181152E-2</c:v>
                </c:pt>
                <c:pt idx="1">
                  <c:v>0.128209829330444</c:v>
                </c:pt>
                <c:pt idx="2">
                  <c:v>0.14565014839172399</c:v>
                </c:pt>
                <c:pt idx="3">
                  <c:v>6.6889047622680706E-2</c:v>
                </c:pt>
                <c:pt idx="4">
                  <c:v>0.24188184738159199</c:v>
                </c:pt>
                <c:pt idx="5">
                  <c:v>0.42788386344909701</c:v>
                </c:pt>
                <c:pt idx="6">
                  <c:v>0.123895883560181</c:v>
                </c:pt>
                <c:pt idx="7">
                  <c:v>0.28896093368530301</c:v>
                </c:pt>
                <c:pt idx="8">
                  <c:v>0.56210589408874501</c:v>
                </c:pt>
                <c:pt idx="9">
                  <c:v>0.14877581596374501</c:v>
                </c:pt>
                <c:pt idx="10">
                  <c:v>0.63126611709594704</c:v>
                </c:pt>
                <c:pt idx="11">
                  <c:v>0.93325495719909701</c:v>
                </c:pt>
                <c:pt idx="12">
                  <c:v>0.328365087509155</c:v>
                </c:pt>
                <c:pt idx="13">
                  <c:v>1.0299308300018299</c:v>
                </c:pt>
                <c:pt idx="14">
                  <c:v>1.7604229450225799</c:v>
                </c:pt>
                <c:pt idx="15">
                  <c:v>0.63661909103393599</c:v>
                </c:pt>
                <c:pt idx="16">
                  <c:v>1.2403638362884499</c:v>
                </c:pt>
                <c:pt idx="17">
                  <c:v>0.52277612686157204</c:v>
                </c:pt>
                <c:pt idx="18">
                  <c:v>1.64149498939514</c:v>
                </c:pt>
                <c:pt idx="19">
                  <c:v>0.78091788291931197</c:v>
                </c:pt>
                <c:pt idx="20">
                  <c:v>0.90576791763305697</c:v>
                </c:pt>
                <c:pt idx="21">
                  <c:v>3.5550117492675802E-2</c:v>
                </c:pt>
                <c:pt idx="22">
                  <c:v>9.3133926391601604E-2</c:v>
                </c:pt>
                <c:pt idx="23">
                  <c:v>0.124292135238647</c:v>
                </c:pt>
                <c:pt idx="24">
                  <c:v>5.9319972991943401E-2</c:v>
                </c:pt>
                <c:pt idx="25">
                  <c:v>0.167562961578369</c:v>
                </c:pt>
                <c:pt idx="26">
                  <c:v>0.82485485076904297</c:v>
                </c:pt>
                <c:pt idx="27">
                  <c:v>8.7544918060302707E-2</c:v>
                </c:pt>
                <c:pt idx="28">
                  <c:v>0.24436712265014601</c:v>
                </c:pt>
                <c:pt idx="29">
                  <c:v>0.89100193977356001</c:v>
                </c:pt>
                <c:pt idx="30">
                  <c:v>0.1264488697052</c:v>
                </c:pt>
                <c:pt idx="31">
                  <c:v>0.43216204643249501</c:v>
                </c:pt>
                <c:pt idx="32">
                  <c:v>1.22195196151733</c:v>
                </c:pt>
                <c:pt idx="33">
                  <c:v>0.18238306045532199</c:v>
                </c:pt>
                <c:pt idx="34">
                  <c:v>0.71352505683898904</c:v>
                </c:pt>
                <c:pt idx="35">
                  <c:v>2.3734269142150901</c:v>
                </c:pt>
                <c:pt idx="36">
                  <c:v>0.25788283348083502</c:v>
                </c:pt>
                <c:pt idx="37">
                  <c:v>0.98432803153991699</c:v>
                </c:pt>
                <c:pt idx="38">
                  <c:v>0.62129092216491699</c:v>
                </c:pt>
                <c:pt idx="39">
                  <c:v>2.8724479675293</c:v>
                </c:pt>
                <c:pt idx="40">
                  <c:v>1.1803050041198699</c:v>
                </c:pt>
                <c:pt idx="41">
                  <c:v>0.84387683868408203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38F-43CB-946C-97696540FE5D}"/>
            </c:ext>
          </c:extLst>
        </c:ser>
        <c:ser>
          <c:idx val="12"/>
          <c:order val="12"/>
          <c:tx>
            <c:strRef>
              <c:f>PivotVCD!$N$1:$N$3</c:f>
              <c:strCache>
                <c:ptCount val="1"/>
                <c:pt idx="0">
                  <c:v>model4_HPRP_comb_stoch_var_cost_MIPstart - Mittelwert von ObjVal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PivotVCD!$A$4:$A$48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PivotVCD!$N$4:$N$48</c:f>
              <c:numCache>
                <c:formatCode>General</c:formatCode>
                <c:ptCount val="42"/>
                <c:pt idx="0">
                  <c:v>13310.3697351343</c:v>
                </c:pt>
                <c:pt idx="1">
                  <c:v>28912.325360672399</c:v>
                </c:pt>
                <c:pt idx="2">
                  <c:v>50231.331083236597</c:v>
                </c:pt>
                <c:pt idx="3">
                  <c:v>18956.9855368877</c:v>
                </c:pt>
                <c:pt idx="4">
                  <c:v>41262.2486082865</c:v>
                </c:pt>
                <c:pt idx="5">
                  <c:v>73717.314924689694</c:v>
                </c:pt>
                <c:pt idx="6">
                  <c:v>21378.120408857201</c:v>
                </c:pt>
                <c:pt idx="7">
                  <c:v>46354.875063957501</c:v>
                </c:pt>
                <c:pt idx="8">
                  <c:v>81302.077718932502</c:v>
                </c:pt>
                <c:pt idx="9">
                  <c:v>25160.310285837098</c:v>
                </c:pt>
                <c:pt idx="10">
                  <c:v>55725.301065368498</c:v>
                </c:pt>
                <c:pt idx="11">
                  <c:v>100009.872030873</c:v>
                </c:pt>
                <c:pt idx="12">
                  <c:v>27907.462420580101</c:v>
                </c:pt>
                <c:pt idx="13">
                  <c:v>59786.768739537103</c:v>
                </c:pt>
                <c:pt idx="14">
                  <c:v>117337.53102633401</c:v>
                </c:pt>
                <c:pt idx="15">
                  <c:v>34466.262315235297</c:v>
                </c:pt>
                <c:pt idx="16">
                  <c:v>74655.621031930597</c:v>
                </c:pt>
                <c:pt idx="17">
                  <c:v>42745.741727257198</c:v>
                </c:pt>
                <c:pt idx="18">
                  <c:v>99987.190311141501</c:v>
                </c:pt>
                <c:pt idx="19">
                  <c:v>49012.054775515098</c:v>
                </c:pt>
                <c:pt idx="20">
                  <c:v>45747.905895398297</c:v>
                </c:pt>
                <c:pt idx="21">
                  <c:v>18058.295875612901</c:v>
                </c:pt>
                <c:pt idx="22">
                  <c:v>37774.950416902298</c:v>
                </c:pt>
                <c:pt idx="23">
                  <c:v>68563.336796616495</c:v>
                </c:pt>
                <c:pt idx="24">
                  <c:v>26776.943479216901</c:v>
                </c:pt>
                <c:pt idx="25">
                  <c:v>55753.511068026899</c:v>
                </c:pt>
                <c:pt idx="26">
                  <c:v>104190.162255156</c:v>
                </c:pt>
                <c:pt idx="27">
                  <c:v>29250.8296868258</c:v>
                </c:pt>
                <c:pt idx="28">
                  <c:v>60849.287344152202</c:v>
                </c:pt>
                <c:pt idx="29">
                  <c:v>110207.29372188701</c:v>
                </c:pt>
                <c:pt idx="30">
                  <c:v>34032.056398000197</c:v>
                </c:pt>
                <c:pt idx="31">
                  <c:v>72882.669112570497</c:v>
                </c:pt>
                <c:pt idx="32">
                  <c:v>140106.60353757499</c:v>
                </c:pt>
                <c:pt idx="33">
                  <c:v>36515.833673796398</c:v>
                </c:pt>
                <c:pt idx="34">
                  <c:v>81327.520434716396</c:v>
                </c:pt>
                <c:pt idx="35">
                  <c:v>157657.821480538</c:v>
                </c:pt>
                <c:pt idx="36">
                  <c:v>46757.813169665103</c:v>
                </c:pt>
                <c:pt idx="37">
                  <c:v>99325.829583081199</c:v>
                </c:pt>
                <c:pt idx="38">
                  <c:v>55442.306989568999</c:v>
                </c:pt>
                <c:pt idx="39">
                  <c:v>126853.990983268</c:v>
                </c:pt>
                <c:pt idx="40">
                  <c:v>68503.6573462745</c:v>
                </c:pt>
                <c:pt idx="41">
                  <c:v>62759.488721913804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38F-43CB-946C-97696540FE5D}"/>
            </c:ext>
          </c:extLst>
        </c:ser>
        <c:ser>
          <c:idx val="13"/>
          <c:order val="13"/>
          <c:tx>
            <c:strRef>
              <c:f>PivotVCD!$O$1:$O$3</c:f>
              <c:strCache>
                <c:ptCount val="1"/>
                <c:pt idx="0">
                  <c:v>model4_HPRP_comb_stoch_var_cost_MIPstart - Mittelwert von ObjBound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PivotVCD!$A$4:$A$48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PivotVCD!$O$4:$O$48</c:f>
              <c:numCache>
                <c:formatCode>General</c:formatCode>
                <c:ptCount val="42"/>
                <c:pt idx="0">
                  <c:v>13310.3697351343</c:v>
                </c:pt>
                <c:pt idx="1">
                  <c:v>28912.325360672399</c:v>
                </c:pt>
                <c:pt idx="2">
                  <c:v>50231.331083236597</c:v>
                </c:pt>
                <c:pt idx="3">
                  <c:v>18956.9855368877</c:v>
                </c:pt>
                <c:pt idx="4">
                  <c:v>40988.612591177</c:v>
                </c:pt>
                <c:pt idx="5">
                  <c:v>71692.915113215393</c:v>
                </c:pt>
                <c:pt idx="6">
                  <c:v>21378.120408857201</c:v>
                </c:pt>
                <c:pt idx="7">
                  <c:v>46351.189802901397</c:v>
                </c:pt>
                <c:pt idx="8">
                  <c:v>79769.588477055106</c:v>
                </c:pt>
                <c:pt idx="9">
                  <c:v>25160.310285837098</c:v>
                </c:pt>
                <c:pt idx="10">
                  <c:v>55488.430761960903</c:v>
                </c:pt>
                <c:pt idx="11">
                  <c:v>97572.951477217299</c:v>
                </c:pt>
                <c:pt idx="12">
                  <c:v>27751.627459327701</c:v>
                </c:pt>
                <c:pt idx="13">
                  <c:v>59210.413966135398</c:v>
                </c:pt>
                <c:pt idx="14">
                  <c:v>105492.498984729</c:v>
                </c:pt>
                <c:pt idx="15">
                  <c:v>34117.230129068899</c:v>
                </c:pt>
                <c:pt idx="16">
                  <c:v>72147.231062062201</c:v>
                </c:pt>
                <c:pt idx="17">
                  <c:v>42222.871714756599</c:v>
                </c:pt>
                <c:pt idx="18">
                  <c:v>92745.055819965404</c:v>
                </c:pt>
                <c:pt idx="19">
                  <c:v>48318.6472474275</c:v>
                </c:pt>
                <c:pt idx="20">
                  <c:v>44651.431294652903</c:v>
                </c:pt>
                <c:pt idx="21">
                  <c:v>18058.295875612901</c:v>
                </c:pt>
                <c:pt idx="22">
                  <c:v>37774.950416902298</c:v>
                </c:pt>
                <c:pt idx="23">
                  <c:v>66581.519238390596</c:v>
                </c:pt>
                <c:pt idx="24">
                  <c:v>26776.943479216901</c:v>
                </c:pt>
                <c:pt idx="25">
                  <c:v>54594.489940477302</c:v>
                </c:pt>
                <c:pt idx="26">
                  <c:v>94372.153593138995</c:v>
                </c:pt>
                <c:pt idx="27">
                  <c:v>29250.8296868258</c:v>
                </c:pt>
                <c:pt idx="28">
                  <c:v>59052.642768488797</c:v>
                </c:pt>
                <c:pt idx="29">
                  <c:v>101863.38213030199</c:v>
                </c:pt>
                <c:pt idx="30">
                  <c:v>34028.930519911701</c:v>
                </c:pt>
                <c:pt idx="31">
                  <c:v>69010.127646422407</c:v>
                </c:pt>
                <c:pt idx="32">
                  <c:v>123257.22692849999</c:v>
                </c:pt>
                <c:pt idx="33">
                  <c:v>35987.131236411798</c:v>
                </c:pt>
                <c:pt idx="34">
                  <c:v>73549.844015917406</c:v>
                </c:pt>
                <c:pt idx="35">
                  <c:v>130614.944393093</c:v>
                </c:pt>
                <c:pt idx="36">
                  <c:v>43252.147205412097</c:v>
                </c:pt>
                <c:pt idx="37">
                  <c:v>87617.019638080907</c:v>
                </c:pt>
                <c:pt idx="38">
                  <c:v>52779.501307745799</c:v>
                </c:pt>
                <c:pt idx="39">
                  <c:v>109864.894297905</c:v>
                </c:pt>
                <c:pt idx="40">
                  <c:v>60207.194066633303</c:v>
                </c:pt>
                <c:pt idx="41">
                  <c:v>57039.4868653382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38F-43CB-946C-97696540FE5D}"/>
            </c:ext>
          </c:extLst>
        </c:ser>
        <c:ser>
          <c:idx val="14"/>
          <c:order val="14"/>
          <c:tx>
            <c:strRef>
              <c:f>PivotVCD!$P$1:$P$3</c:f>
              <c:strCache>
                <c:ptCount val="1"/>
                <c:pt idx="0">
                  <c:v>model4_HPRP_comb_stoch_var_cost_MIPstart - Mittelwert von Gap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PivotVCD!$A$4:$A$48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PivotVCD!$P$4:$P$48</c:f>
              <c:numCache>
                <c:formatCode>General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6.6316312449948202E-3</c:v>
                </c:pt>
                <c:pt idx="5">
                  <c:v>2.7461659632374302E-2</c:v>
                </c:pt>
                <c:pt idx="6">
                  <c:v>0</c:v>
                </c:pt>
                <c:pt idx="7">
                  <c:v>7.9501046028155405E-5</c:v>
                </c:pt>
                <c:pt idx="8">
                  <c:v>1.88493244560781E-2</c:v>
                </c:pt>
                <c:pt idx="9">
                  <c:v>0</c:v>
                </c:pt>
                <c:pt idx="10">
                  <c:v>4.25067785869266E-3</c:v>
                </c:pt>
                <c:pt idx="11">
                  <c:v>2.43668000385317E-2</c:v>
                </c:pt>
                <c:pt idx="12">
                  <c:v>5.5839889311269202E-3</c:v>
                </c:pt>
                <c:pt idx="13">
                  <c:v>9.6401726594840999E-3</c:v>
                </c:pt>
                <c:pt idx="14">
                  <c:v>0.100948366119506</c:v>
                </c:pt>
                <c:pt idx="15">
                  <c:v>1.01267779770884E-2</c:v>
                </c:pt>
                <c:pt idx="16">
                  <c:v>3.35994789835787E-2</c:v>
                </c:pt>
                <c:pt idx="17">
                  <c:v>1.22320959088001E-2</c:v>
                </c:pt>
                <c:pt idx="18">
                  <c:v>7.2430623049211607E-2</c:v>
                </c:pt>
                <c:pt idx="19">
                  <c:v>1.4147693486093099E-2</c:v>
                </c:pt>
                <c:pt idx="20">
                  <c:v>2.3967755010524699E-2</c:v>
                </c:pt>
                <c:pt idx="21">
                  <c:v>0</c:v>
                </c:pt>
                <c:pt idx="22">
                  <c:v>0</c:v>
                </c:pt>
                <c:pt idx="23">
                  <c:v>2.89049169836159E-2</c:v>
                </c:pt>
                <c:pt idx="24">
                  <c:v>0</c:v>
                </c:pt>
                <c:pt idx="25">
                  <c:v>2.0788307415032899E-2</c:v>
                </c:pt>
                <c:pt idx="26">
                  <c:v>9.4231628490734895E-2</c:v>
                </c:pt>
                <c:pt idx="27">
                  <c:v>0</c:v>
                </c:pt>
                <c:pt idx="28">
                  <c:v>2.9526139977646599E-2</c:v>
                </c:pt>
                <c:pt idx="29">
                  <c:v>7.5711065119167295E-2</c:v>
                </c:pt>
                <c:pt idx="30">
                  <c:v>9.1850990487900096E-5</c:v>
                </c:pt>
                <c:pt idx="31">
                  <c:v>5.31339139098592E-2</c:v>
                </c:pt>
                <c:pt idx="32">
                  <c:v>0.12026111677567</c:v>
                </c:pt>
                <c:pt idx="33">
                  <c:v>1.44787174272826E-2</c:v>
                </c:pt>
                <c:pt idx="34">
                  <c:v>9.5634004052077004E-2</c:v>
                </c:pt>
                <c:pt idx="35">
                  <c:v>0.171528927860917</c:v>
                </c:pt>
                <c:pt idx="36">
                  <c:v>7.4974976941977897E-2</c:v>
                </c:pt>
                <c:pt idx="37">
                  <c:v>0.11788283062067401</c:v>
                </c:pt>
                <c:pt idx="38">
                  <c:v>4.8028406940646001E-2</c:v>
                </c:pt>
                <c:pt idx="39">
                  <c:v>0.13392638697196799</c:v>
                </c:pt>
                <c:pt idx="40">
                  <c:v>0.121109785973966</c:v>
                </c:pt>
                <c:pt idx="41">
                  <c:v>9.1141626120008604E-2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38F-43CB-946C-97696540FE5D}"/>
            </c:ext>
          </c:extLst>
        </c:ser>
        <c:ser>
          <c:idx val="15"/>
          <c:order val="15"/>
          <c:tx>
            <c:strRef>
              <c:f>PivotVCD!$Q$1:$Q$3</c:f>
              <c:strCache>
                <c:ptCount val="1"/>
                <c:pt idx="0">
                  <c:v>model4_HPRP_comb_stoch_var_cost_MIPstart - Mittelwert von runtime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PivotVCD!$A$4:$A$48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PivotVCD!$Q$4:$Q$48</c:f>
              <c:numCache>
                <c:formatCode>General</c:formatCode>
                <c:ptCount val="42"/>
                <c:pt idx="0">
                  <c:v>1.6492121219635001</c:v>
                </c:pt>
                <c:pt idx="1">
                  <c:v>9.4827632904052699</c:v>
                </c:pt>
                <c:pt idx="2">
                  <c:v>1446.8093454837799</c:v>
                </c:pt>
                <c:pt idx="3">
                  <c:v>72.067611455917401</c:v>
                </c:pt>
                <c:pt idx="4">
                  <c:v>3600.0509643554701</c:v>
                </c:pt>
                <c:pt idx="5">
                  <c:v>3600.0716583728799</c:v>
                </c:pt>
                <c:pt idx="6">
                  <c:v>54.9741306304932</c:v>
                </c:pt>
                <c:pt idx="7">
                  <c:v>1966.58666706085</c:v>
                </c:pt>
                <c:pt idx="8">
                  <c:v>3600.03527736664</c:v>
                </c:pt>
                <c:pt idx="9">
                  <c:v>159.57117414474499</c:v>
                </c:pt>
                <c:pt idx="10">
                  <c:v>3600.0831887722002</c:v>
                </c:pt>
                <c:pt idx="11">
                  <c:v>3600.1429238319402</c:v>
                </c:pt>
                <c:pt idx="12">
                  <c:v>3600.1702923774701</c:v>
                </c:pt>
                <c:pt idx="13">
                  <c:v>3600.0621676444998</c:v>
                </c:pt>
                <c:pt idx="14">
                  <c:v>3600.8728432655298</c:v>
                </c:pt>
                <c:pt idx="15">
                  <c:v>3600.0682177543599</c:v>
                </c:pt>
                <c:pt idx="16">
                  <c:v>3600.4885809421498</c:v>
                </c:pt>
                <c:pt idx="17">
                  <c:v>3600.1835372447999</c:v>
                </c:pt>
                <c:pt idx="18">
                  <c:v>3600.2684252262102</c:v>
                </c:pt>
                <c:pt idx="19">
                  <c:v>3600.16135978699</c:v>
                </c:pt>
                <c:pt idx="20">
                  <c:v>3600.1454582214401</c:v>
                </c:pt>
                <c:pt idx="21">
                  <c:v>2.6474487781524698</c:v>
                </c:pt>
                <c:pt idx="22">
                  <c:v>46.119750261306798</c:v>
                </c:pt>
                <c:pt idx="23">
                  <c:v>3600.0440046787298</c:v>
                </c:pt>
                <c:pt idx="24">
                  <c:v>96.257256984710693</c:v>
                </c:pt>
                <c:pt idx="25">
                  <c:v>3600.0532271861998</c:v>
                </c:pt>
                <c:pt idx="26">
                  <c:v>3600.11109733582</c:v>
                </c:pt>
                <c:pt idx="27">
                  <c:v>132.74919962883001</c:v>
                </c:pt>
                <c:pt idx="28">
                  <c:v>3600.0613012313802</c:v>
                </c:pt>
                <c:pt idx="29">
                  <c:v>3600.06781983376</c:v>
                </c:pt>
                <c:pt idx="30">
                  <c:v>1203.1169180870099</c:v>
                </c:pt>
                <c:pt idx="31">
                  <c:v>3600.0397450923901</c:v>
                </c:pt>
                <c:pt idx="32">
                  <c:v>3600.2022669315302</c:v>
                </c:pt>
                <c:pt idx="33">
                  <c:v>3600.0739946365402</c:v>
                </c:pt>
                <c:pt idx="34">
                  <c:v>3600.1991057395899</c:v>
                </c:pt>
                <c:pt idx="35">
                  <c:v>3600.2395980358101</c:v>
                </c:pt>
                <c:pt idx="36">
                  <c:v>3600.18128275871</c:v>
                </c:pt>
                <c:pt idx="37">
                  <c:v>3600.0582647323599</c:v>
                </c:pt>
                <c:pt idx="38">
                  <c:v>3600.1434149742099</c:v>
                </c:pt>
                <c:pt idx="39">
                  <c:v>3600.1987092495001</c:v>
                </c:pt>
                <c:pt idx="40">
                  <c:v>3600.0934727191898</c:v>
                </c:pt>
                <c:pt idx="41">
                  <c:v>3600.0841708183302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38F-43CB-946C-97696540F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7309136"/>
        <c:axId val="377307336"/>
      </c:barChart>
      <c:catAx>
        <c:axId val="377309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77307336"/>
        <c:crosses val="autoZero"/>
        <c:auto val="1"/>
        <c:lblAlgn val="ctr"/>
        <c:lblOffset val="100"/>
        <c:noMultiLvlLbl val="0"/>
      </c:catAx>
      <c:valAx>
        <c:axId val="377307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77309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[Table11_CrowdDrivers_2Q_twoFleets_Torres_5OCDs.xlsm]PivotVCDVSS_Calc!PivotTable1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PivotVCDVSS_Calc!$B$1</c:f>
              <c:strCache>
                <c:ptCount val="1"/>
                <c:pt idx="0">
                  <c:v>Mittelwert von UB_model1_determ_var_cost_all_own_vehicle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PivotVCDVSS_Calc!$A$2:$A$10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PivotVCDVSS_Calc!$B$2:$B$10</c:f>
              <c:numCache>
                <c:formatCode>General</c:formatCode>
                <c:ptCount val="6"/>
                <c:pt idx="0">
                  <c:v>32359.777777777777</c:v>
                </c:pt>
                <c:pt idx="1">
                  <c:v>59037.857113200771</c:v>
                </c:pt>
                <c:pt idx="2">
                  <c:v>85088.199748724306</c:v>
                </c:pt>
                <c:pt idx="3">
                  <c:v>45719.333333333336</c:v>
                </c:pt>
                <c:pt idx="4">
                  <c:v>79285.571253627175</c:v>
                </c:pt>
                <c:pt idx="5">
                  <c:v>118595.39991085604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E1-42AC-8ED5-3421972642FB}"/>
            </c:ext>
          </c:extLst>
        </c:ser>
        <c:ser>
          <c:idx val="1"/>
          <c:order val="1"/>
          <c:tx>
            <c:strRef>
              <c:f>PivotVCDVSS_Calc!$C$1</c:f>
              <c:strCache>
                <c:ptCount val="1"/>
                <c:pt idx="0">
                  <c:v>Mittelwert von LB_model1_determ_var_cost_all_own_vehicle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PivotVCDVSS_Calc!$A$2:$A$10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PivotVCDVSS_Calc!$C$2:$C$10</c:f>
              <c:numCache>
                <c:formatCode>General</c:formatCode>
                <c:ptCount val="6"/>
                <c:pt idx="0">
                  <c:v>32359.777777777777</c:v>
                </c:pt>
                <c:pt idx="1">
                  <c:v>58986.336931182421</c:v>
                </c:pt>
                <c:pt idx="2">
                  <c:v>84787.813285518016</c:v>
                </c:pt>
                <c:pt idx="3">
                  <c:v>45692.23615730142</c:v>
                </c:pt>
                <c:pt idx="4">
                  <c:v>78337.205578847526</c:v>
                </c:pt>
                <c:pt idx="5">
                  <c:v>116146.86756241406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E1-42AC-8ED5-3421972642FB}"/>
            </c:ext>
          </c:extLst>
        </c:ser>
        <c:ser>
          <c:idx val="2"/>
          <c:order val="2"/>
          <c:tx>
            <c:strRef>
              <c:f>PivotVCDVSS_Calc!$D$1</c:f>
              <c:strCache>
                <c:ptCount val="1"/>
                <c:pt idx="0">
                  <c:v>Mittelwert von Gap_model1_determ_var_cost_all_own_vehicle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PivotVCDVSS_Calc!$A$2:$A$10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PivotVCDVSS_Calc!$D$2:$D$10</c:f>
              <c:numCache>
                <c:formatCode>General</c:formatCode>
                <c:ptCount val="6"/>
                <c:pt idx="0">
                  <c:v>0</c:v>
                </c:pt>
                <c:pt idx="1">
                  <c:v>5.9254860355219968E-4</c:v>
                </c:pt>
                <c:pt idx="2">
                  <c:v>3.354761129418815E-3</c:v>
                </c:pt>
                <c:pt idx="3">
                  <c:v>4.1416544954960645E-4</c:v>
                </c:pt>
                <c:pt idx="4">
                  <c:v>8.1891386217161112E-3</c:v>
                </c:pt>
                <c:pt idx="5">
                  <c:v>1.6855187711236497E-2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E1-42AC-8ED5-3421972642FB}"/>
            </c:ext>
          </c:extLst>
        </c:ser>
        <c:ser>
          <c:idx val="3"/>
          <c:order val="3"/>
          <c:tx>
            <c:strRef>
              <c:f>PivotVCDVSS_Calc!$E$1</c:f>
              <c:strCache>
                <c:ptCount val="1"/>
                <c:pt idx="0">
                  <c:v>Mittelwert von UB_model1_ScenarioPRP_VSScalc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PivotVCDVSS_Calc!$A$2:$A$10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PivotVCDVSS_Calc!$E$2:$E$10</c:f>
              <c:numCache>
                <c:formatCode>General</c:formatCode>
                <c:ptCount val="6"/>
                <c:pt idx="0">
                  <c:v>30878.595021681293</c:v>
                </c:pt>
                <c:pt idx="1">
                  <c:v>57015.211368959674</c:v>
                </c:pt>
                <c:pt idx="2">
                  <c:v>82551.380197135775</c:v>
                </c:pt>
                <c:pt idx="3">
                  <c:v>41147.679866315222</c:v>
                </c:pt>
                <c:pt idx="4">
                  <c:v>74522.943560109547</c:v>
                </c:pt>
                <c:pt idx="5">
                  <c:v>113846.0044948709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E1-42AC-8ED5-3421972642FB}"/>
            </c:ext>
          </c:extLst>
        </c:ser>
        <c:ser>
          <c:idx val="4"/>
          <c:order val="4"/>
          <c:tx>
            <c:strRef>
              <c:f>PivotVCDVSS_Calc!$F$1</c:f>
              <c:strCache>
                <c:ptCount val="1"/>
                <c:pt idx="0">
                  <c:v>Mittelwert von Gap_model1_ScenarioPRP_VssRouteGen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PivotVCDVSS_Calc!$A$2:$A$10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PivotVCDVSS_Calc!$F$2:$F$10</c:f>
              <c:numCache>
                <c:formatCode>General</c:formatCode>
                <c:ptCount val="6"/>
                <c:pt idx="0">
                  <c:v>2.4613174789959655E-3</c:v>
                </c:pt>
                <c:pt idx="1">
                  <c:v>2.9911637736056815E-3</c:v>
                </c:pt>
                <c:pt idx="2">
                  <c:v>4.1231977725961393E-3</c:v>
                </c:pt>
                <c:pt idx="3">
                  <c:v>1.0729911701489868E-2</c:v>
                </c:pt>
                <c:pt idx="4">
                  <c:v>9.2625216291552809E-3</c:v>
                </c:pt>
                <c:pt idx="5">
                  <c:v>1.5278185054230096E-2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E1-42AC-8ED5-3421972642FB}"/>
            </c:ext>
          </c:extLst>
        </c:ser>
        <c:ser>
          <c:idx val="5"/>
          <c:order val="5"/>
          <c:tx>
            <c:strRef>
              <c:f>PivotVCDVSS_Calc!$G$1</c:f>
              <c:strCache>
                <c:ptCount val="1"/>
                <c:pt idx="0">
                  <c:v>Mittelwert von UB_model4_HPRP_comb_stoch_var_cost_MIPstart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PivotVCDVSS_Calc!$A$2:$A$10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PivotVCDVSS_Calc!$G$2:$G$10</c:f>
              <c:numCache>
                <c:formatCode>General</c:formatCode>
                <c:ptCount val="6"/>
                <c:pt idx="0">
                  <c:v>30965.023677855814</c:v>
                </c:pt>
                <c:pt idx="1">
                  <c:v>58097.761454413434</c:v>
                </c:pt>
                <c:pt idx="2">
                  <c:v>84519.625356813165</c:v>
                </c:pt>
                <c:pt idx="3">
                  <c:v>42010.802815652722</c:v>
                </c:pt>
                <c:pt idx="4">
                  <c:v>76395.394134673916</c:v>
                </c:pt>
                <c:pt idx="5">
                  <c:v>116145.04355835449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3E1-42AC-8ED5-3421972642FB}"/>
            </c:ext>
          </c:extLst>
        </c:ser>
        <c:ser>
          <c:idx val="6"/>
          <c:order val="6"/>
          <c:tx>
            <c:strRef>
              <c:f>PivotVCDVSS_Calc!$H$1</c:f>
              <c:strCache>
                <c:ptCount val="1"/>
                <c:pt idx="0">
                  <c:v>Mittelwert von LB_model4_HPRP_comb_stoch_var_cost_MIPstart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PivotVCDVSS_Calc!$A$2:$A$10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PivotVCDVSS_Calc!$H$2:$H$10</c:f>
              <c:numCache>
                <c:formatCode>General</c:formatCode>
                <c:ptCount val="6"/>
                <c:pt idx="0">
                  <c:v>30651.954867994431</c:v>
                </c:pt>
                <c:pt idx="1">
                  <c:v>56549.037052124957</c:v>
                </c:pt>
                <c:pt idx="2">
                  <c:v>80951.857027090678</c:v>
                </c:pt>
                <c:pt idx="3">
                  <c:v>39708.940027012053</c:v>
                </c:pt>
                <c:pt idx="4">
                  <c:v>70209.138389170592</c:v>
                </c:pt>
                <c:pt idx="5">
                  <c:v>103337.8452566849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3E1-42AC-8ED5-3421972642FB}"/>
            </c:ext>
          </c:extLst>
        </c:ser>
        <c:ser>
          <c:idx val="7"/>
          <c:order val="7"/>
          <c:tx>
            <c:strRef>
              <c:f>PivotVCDVSS_Calc!$I$1</c:f>
              <c:strCache>
                <c:ptCount val="1"/>
                <c:pt idx="0">
                  <c:v>Mittelwert von Gap_model4_HPRP_comb_stoch_var_cost_MIPstart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PivotVCDVSS_Calc!$A$2:$A$10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PivotVCDVSS_Calc!$I$2:$I$10</c:f>
              <c:numCache>
                <c:formatCode>General</c:formatCode>
                <c:ptCount val="6"/>
                <c:pt idx="0">
                  <c:v>7.3398123681814682E-3</c:v>
                </c:pt>
                <c:pt idx="1">
                  <c:v>1.8090297834570005E-2</c:v>
                </c:pt>
                <c:pt idx="2">
                  <c:v>3.4325230049298015E-2</c:v>
                </c:pt>
                <c:pt idx="3">
                  <c:v>3.8869484932707671E-2</c:v>
                </c:pt>
                <c:pt idx="4">
                  <c:v>6.441308327817967E-2</c:v>
                </c:pt>
                <c:pt idx="5">
                  <c:v>9.812753104602101E-2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3E1-42AC-8ED5-3421972642FB}"/>
            </c:ext>
          </c:extLst>
        </c:ser>
        <c:ser>
          <c:idx val="8"/>
          <c:order val="8"/>
          <c:tx>
            <c:strRef>
              <c:f>PivotVCDVSS_Calc!$J$1</c:f>
              <c:strCache>
                <c:ptCount val="1"/>
                <c:pt idx="0">
                  <c:v>Mittelwert von VCD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PivotVCDVSS_Calc!$A$2:$A$10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PivotVCDVSS_Calc!$J$2:$J$10</c:f>
              <c:numCache>
                <c:formatCode>0</c:formatCode>
                <c:ptCount val="6"/>
                <c:pt idx="0">
                  <c:v>1394.7540999219677</c:v>
                </c:pt>
                <c:pt idx="1">
                  <c:v>1367.8371318075426</c:v>
                </c:pt>
                <c:pt idx="2">
                  <c:v>1789.8805971779425</c:v>
                </c:pt>
                <c:pt idx="3">
                  <c:v>3708.5305176805996</c:v>
                </c:pt>
                <c:pt idx="4">
                  <c:v>2925.3186879915293</c:v>
                </c:pt>
                <c:pt idx="5">
                  <c:v>3154.9206486091425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3E1-42AC-8ED5-3421972642FB}"/>
            </c:ext>
          </c:extLst>
        </c:ser>
        <c:ser>
          <c:idx val="9"/>
          <c:order val="9"/>
          <c:tx>
            <c:strRef>
              <c:f>PivotVCDVSS_Calc!$K$1</c:f>
              <c:strCache>
                <c:ptCount val="1"/>
                <c:pt idx="0">
                  <c:v>Mittelwert von VCD[%]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PivotVCDVSS_Calc!$A$2:$A$10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PivotVCDVSS_Calc!$K$2:$K$10</c:f>
              <c:numCache>
                <c:formatCode>0.00</c:formatCode>
                <c:ptCount val="6"/>
                <c:pt idx="0">
                  <c:v>4.8982690975282681</c:v>
                </c:pt>
                <c:pt idx="1">
                  <c:v>2.9235522002304353</c:v>
                </c:pt>
                <c:pt idx="2">
                  <c:v>2.5384620233749562</c:v>
                </c:pt>
                <c:pt idx="3">
                  <c:v>10.358666902827389</c:v>
                </c:pt>
                <c:pt idx="4">
                  <c:v>5.24558919355293</c:v>
                </c:pt>
                <c:pt idx="5">
                  <c:v>3.3701878545513524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3E1-42AC-8ED5-3421972642FB}"/>
            </c:ext>
          </c:extLst>
        </c:ser>
        <c:ser>
          <c:idx val="10"/>
          <c:order val="10"/>
          <c:tx>
            <c:strRef>
              <c:f>PivotVCDVSS_Calc!$L$1</c:f>
              <c:strCache>
                <c:ptCount val="1"/>
                <c:pt idx="0">
                  <c:v>Mittelwert von VCD_min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PivotVCDVSS_Calc!$A$2:$A$10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PivotVCDVSS_Calc!$L$2:$L$10</c:f>
              <c:numCache>
                <c:formatCode>0.00</c:formatCode>
                <c:ptCount val="6"/>
                <c:pt idx="0">
                  <c:v>4.8982690975282681</c:v>
                </c:pt>
                <c:pt idx="1">
                  <c:v>2.8993775081492386</c:v>
                </c:pt>
                <c:pt idx="2">
                  <c:v>2.2974143303794845</c:v>
                </c:pt>
                <c:pt idx="3">
                  <c:v>10.315365869593066</c:v>
                </c:pt>
                <c:pt idx="4">
                  <c:v>5.0572990140676621</c:v>
                </c:pt>
                <c:pt idx="5">
                  <c:v>3.1004790905371471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3E1-42AC-8ED5-3421972642FB}"/>
            </c:ext>
          </c:extLst>
        </c:ser>
        <c:ser>
          <c:idx val="11"/>
          <c:order val="11"/>
          <c:tx>
            <c:strRef>
              <c:f>PivotVCDVSS_Calc!$M$1</c:f>
              <c:strCache>
                <c:ptCount val="1"/>
                <c:pt idx="0">
                  <c:v>Mittelwert von VCD_max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PivotVCDVSS_Calc!$A$2:$A$10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PivotVCDVSS_Calc!$M$2:$M$10</c:f>
              <c:numCache>
                <c:formatCode>0.00</c:formatCode>
                <c:ptCount val="6"/>
                <c:pt idx="0">
                  <c:v>5.6322503343463923</c:v>
                </c:pt>
                <c:pt idx="1">
                  <c:v>4.3047857112958017</c:v>
                </c:pt>
                <c:pt idx="2">
                  <c:v>4.9301362950953251</c:v>
                </c:pt>
                <c:pt idx="3">
                  <c:v>14.245615396098181</c:v>
                </c:pt>
                <c:pt idx="4">
                  <c:v>11.659195145776703</c:v>
                </c:pt>
                <c:pt idx="5">
                  <c:v>12.736046355707151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3E1-42AC-8ED5-3421972642FB}"/>
            </c:ext>
          </c:extLst>
        </c:ser>
        <c:ser>
          <c:idx val="12"/>
          <c:order val="12"/>
          <c:tx>
            <c:strRef>
              <c:f>PivotVCDVSS_Calc!$N$1</c:f>
              <c:strCache>
                <c:ptCount val="1"/>
                <c:pt idx="0">
                  <c:v>Mittelwert von VSS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PivotVCDVSS_Calc!$A$2:$A$10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PivotVCDVSS_Calc!$N$2:$N$10</c:f>
              <c:numCache>
                <c:formatCode>0</c:formatCode>
                <c:ptCount val="6"/>
                <c:pt idx="0">
                  <c:v>11.14527277074477</c:v>
                </c:pt>
                <c:pt idx="1">
                  <c:v>10.676896329342396</c:v>
                </c:pt>
                <c:pt idx="2">
                  <c:v>50.121267420542424</c:v>
                </c:pt>
                <c:pt idx="3">
                  <c:v>41.109514683355684</c:v>
                </c:pt>
                <c:pt idx="4">
                  <c:v>355.11698932261578</c:v>
                </c:pt>
                <c:pt idx="5">
                  <c:v>1171.1861753714009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3E1-42AC-8ED5-3421972642FB}"/>
            </c:ext>
          </c:extLst>
        </c:ser>
        <c:ser>
          <c:idx val="13"/>
          <c:order val="13"/>
          <c:tx>
            <c:strRef>
              <c:f>PivotVCDVSS_Calc!$O$1</c:f>
              <c:strCache>
                <c:ptCount val="1"/>
                <c:pt idx="0">
                  <c:v>Mittelwert von VSS[%]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PivotVCDVSS_Calc!$A$2:$A$10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PivotVCDVSS_Calc!$O$2:$O$10</c:f>
              <c:numCache>
                <c:formatCode>0.00</c:formatCode>
                <c:ptCount val="6"/>
                <c:pt idx="0">
                  <c:v>4.525100708903132E-2</c:v>
                </c:pt>
                <c:pt idx="1">
                  <c:v>2.0193438084367937E-2</c:v>
                </c:pt>
                <c:pt idx="2">
                  <c:v>6.7991219079748505E-2</c:v>
                </c:pt>
                <c:pt idx="3">
                  <c:v>0.12184713890305193</c:v>
                </c:pt>
                <c:pt idx="4">
                  <c:v>0.64377026658142644</c:v>
                </c:pt>
                <c:pt idx="5">
                  <c:v>1.1538661874242386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3E1-42AC-8ED5-3421972642FB}"/>
            </c:ext>
          </c:extLst>
        </c:ser>
        <c:ser>
          <c:idx val="14"/>
          <c:order val="14"/>
          <c:tx>
            <c:strRef>
              <c:f>PivotVCDVSS_Calc!$P$1</c:f>
              <c:strCache>
                <c:ptCount val="1"/>
                <c:pt idx="0">
                  <c:v>Mittelwert von VSSmax[%]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PivotVCDVSS_Calc!$A$2:$A$10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PivotVCDVSS_Calc!$P$2:$P$10</c:f>
              <c:numCache>
                <c:formatCode>0.00</c:formatCode>
                <c:ptCount val="6"/>
                <c:pt idx="0">
                  <c:v>0.56198161715978046</c:v>
                </c:pt>
                <c:pt idx="1">
                  <c:v>0.62826112551641045</c:v>
                </c:pt>
                <c:pt idx="2">
                  <c:v>1.7661007143310006</c:v>
                </c:pt>
                <c:pt idx="3">
                  <c:v>2.5124070591077317</c:v>
                </c:pt>
                <c:pt idx="4">
                  <c:v>4.9674208478517938</c:v>
                </c:pt>
                <c:pt idx="5">
                  <c:v>8.6985630707314208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3E1-42AC-8ED5-342197264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3855888"/>
        <c:axId val="663847968"/>
      </c:barChart>
      <c:catAx>
        <c:axId val="66385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3847968"/>
        <c:crosses val="autoZero"/>
        <c:auto val="1"/>
        <c:lblAlgn val="ctr"/>
        <c:lblOffset val="100"/>
        <c:noMultiLvlLbl val="0"/>
      </c:catAx>
      <c:valAx>
        <c:axId val="66384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385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895350</xdr:colOff>
      <xdr:row>53</xdr:row>
      <xdr:rowOff>85725</xdr:rowOff>
    </xdr:from>
    <xdr:to>
      <xdr:col>30</xdr:col>
      <xdr:colOff>28575</xdr:colOff>
      <xdr:row>70</xdr:row>
      <xdr:rowOff>76200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9A487C2-4A92-2280-47CD-9988D244FC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30</xdr:row>
      <xdr:rowOff>104775</xdr:rowOff>
    </xdr:from>
    <xdr:to>
      <xdr:col>5</xdr:col>
      <xdr:colOff>171450</xdr:colOff>
      <xdr:row>47</xdr:row>
      <xdr:rowOff>95250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CC13A732-B6FC-5415-699E-78A61615D2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992.357905555553" createdVersion="8" refreshedVersion="8" minRefreshableVersion="3" recordCount="168" xr:uid="{1A791CE3-DF73-46BF-8DED-46F39CCA414A}">
  <cacheSource type="worksheet">
    <worksheetSource ref="A1:AH169" sheet="model1_homogeneousK_16_threads_"/>
  </cacheSource>
  <cacheFields count="34">
    <cacheField name="instance" numFmtId="0">
      <sharedItems containsBlank="1" count="67">
        <s v="MVPRP_C15_P3_V3_I3"/>
        <s v="MVPRP_C30_P9_V3_I3"/>
        <s v="MVPRP_C15_P9_V3_I1"/>
        <s v="MVPRP_C40_P3_V3_I3"/>
        <s v="MVPRP_C40_P3_V3_I1"/>
        <s v="MVPRP_C20_P6_V3_I1"/>
        <s v="MVPRP_C10_P3_V3_I1"/>
        <s v="MVPRP_C45_P3_V3_I3"/>
        <s v="MVPRP_C20_P3_V3_I1"/>
        <s v="MVPRP_C35_P3_V3_I3"/>
        <s v="MVPRP_C40_P6_V3_I1"/>
        <s v="MVPRP_C10_P3_V3_I3"/>
        <s v="MVPRP_C30_P3_V3_I3"/>
        <s v="MVPRP_C20_P3_V3_I3"/>
        <s v="MVPRP_C35_P6_V3_I3"/>
        <s v="MVPRP_C25_P6_V3_I3"/>
        <s v="MVPRP_C15_P6_V3_I3"/>
        <s v="MVPRP_C50_P3_V3_I3"/>
        <s v="MVPRP_C30_P6_V3_I3"/>
        <s v="MVPRP_C45_P3_V3_I1"/>
        <s v="MVPRP_C25_P6_V3_I1"/>
        <s v="MVPRP_C35_P6_V3_I1"/>
        <s v="MVPRP_C25_P3_V3_I1"/>
        <s v="MVPRP_C10_P6_V3_I1"/>
        <s v="MVPRP_C35_P3_V3_I1"/>
        <s v="MVPRP_C10_P6_V3_I3"/>
        <s v="MVPRP_C50_P3_V3_I1"/>
        <s v="MVPRP_C30_P6_V3_I1"/>
        <s v="MVPRP_C25_P9_V3_I1"/>
        <s v="MVPRP_C25_P3_V3_I3"/>
        <s v="MVPRP_C15_P6_V3_I1"/>
        <s v="MVPRP_C15_P3_V3_I1"/>
        <s v="MVPRP_C20_P6_V3_I3"/>
        <s v="MVPRP_C20_P9_V3_I3"/>
        <s v="MVPRP_C40_P6_V3_I3"/>
        <s v="MVPRP_C20_P9_V3_I1"/>
        <s v="MVPRP_C15_P9_V3_I3"/>
        <s v="MVPRP_C30_P9_V3_I1"/>
        <s v="MVPRP_C10_P9_V3_I1"/>
        <s v="MVPRP_C30_P3_V3_I1"/>
        <s v="MVPRP_C10_P9_V3_I3"/>
        <s v="MVPRP_C25_P9_V3_I3"/>
        <m u="1"/>
        <s v="MVPRP_C20_P6_V2_I3" u="1"/>
        <s v="MVPRP_C10_P3_V2_I3" u="1"/>
        <s v="MVPRP_C15_P9_V2_I3" u="1"/>
        <s v="MVPRP_C25_P6_V2_I3" u="1"/>
        <s v="MVPRP_C10_P6_V2_I3" u="1"/>
        <s v="MVPRP_C25_P3_V2_I3" u="1"/>
        <s v="MVPRP_C15_P6_V2_I3" u="1"/>
        <s v="MVPRP_C20_P3_V2_I3" u="1"/>
        <s v="MVPRP_C15_P3_V2_I3" u="1"/>
        <s v="MVPRP_C25_P9_V2_I3" u="1"/>
        <s v="MVPRP_C20_P9_V2_I3" u="1"/>
        <s v="MVPRP_C10_P9_V2_I3" u="1"/>
        <s v="MVPRP_C20_P3_V2_I1" u="1"/>
        <s v="MVPRP_C10_P9_V2_I1" u="1"/>
        <s v="MVPRP_C15_P3_V2_I1" u="1"/>
        <s v="MVPRP_C10_P3_V2_I1" u="1"/>
        <s v="MVPRP_C15_P9_V2_I1" u="1"/>
        <s v="MVPRP_C10_P6_V2_I1" u="1"/>
        <s v="MVPRP_C15_P6_V2_I1" u="1"/>
        <s v="MVPRP_C20_P6_V2_I1" u="1"/>
        <s v="MVPRP_C25_P9_V2_I1" u="1"/>
        <s v="MVPRP_C25_P3_V2_I1" u="1"/>
        <s v="MVPRP_C25_P6_V2_I1" u="1"/>
        <s v="MVPRP_C20_P9_V2_I1" u="1"/>
      </sharedItems>
    </cacheField>
    <cacheField name="Instance String" numFmtId="0">
      <sharedItems/>
    </cacheField>
    <cacheField name="Customers" numFmtId="0">
      <sharedItems/>
    </cacheField>
    <cacheField name="Periods" numFmtId="0">
      <sharedItems/>
    </cacheField>
    <cacheField name="MED" numFmtId="0">
      <sharedItems/>
    </cacheField>
    <cacheField name="Instance Type" numFmtId="0">
      <sharedItems containsBlank="1" count="3">
        <s v="I3"/>
        <s v="I1"/>
        <m u="1"/>
      </sharedItems>
    </cacheField>
    <cacheField name="Model" numFmtId="0">
      <sharedItems containsBlank="1" count="5">
        <s v="model1_ScenarioPRP_homogeneousFractionalCapCut_oneCommodityFlow_stoch_integral"/>
        <s v="model4_HPRP_comb_stoch_var_cost_MIPstart"/>
        <s v="model1_ScenarioPRP_homogeneousFractionalCapCut_oneCommodityFlow_determ_medPlus2_integral_VssRouteGen"/>
        <s v="model1_determ_var_cost_all_own_vehicle"/>
        <m u="1"/>
      </sharedItems>
    </cacheField>
    <cacheField name="status" numFmtId="0">
      <sharedItems/>
    </cacheField>
    <cacheField name="ObjVal" numFmtId="0">
      <sharedItems containsSemiMixedTypes="0" containsString="0" containsNumber="1" minValue="13261" maxValue="157657.821480538"/>
    </cacheField>
    <cacheField name="ObjBound" numFmtId="0">
      <sharedItems containsSemiMixedTypes="0" containsString="0" containsNumber="1" minValue="13261" maxValue="146428.66490523101"/>
    </cacheField>
    <cacheField name="Gap" numFmtId="0">
      <sharedItems containsSemiMixedTypes="0" containsString="0" containsNumber="1" minValue="0" maxValue="0.171528927860917"/>
    </cacheField>
    <cacheField name="runtime" numFmtId="0">
      <sharedItems containsSemiMixedTypes="0" containsString="0" containsNumber="1" minValue="3.50089073181152E-2" maxValue="3605.21713376045"/>
    </cacheField>
    <cacheField name="period_vehicle" numFmtId="0">
      <sharedItems longText="1"/>
    </cacheField>
    <cacheField name="Q" numFmtId="0">
      <sharedItems containsSemiMixedTypes="0" containsString="0" containsNumber="1" containsInteger="1" minValue="132" maxValue="360"/>
    </cacheField>
    <cacheField name="error" numFmtId="0">
      <sharedItems containsNonDate="0" containsString="0" containsBlank="1"/>
    </cacheField>
    <cacheField name="recourse_gamma" numFmtId="0">
      <sharedItems containsSemiMixedTypes="0" containsString="0" containsNumber="1" containsInteger="1" minValue="2" maxValue="2"/>
    </cacheField>
    <cacheField name="variable_crowd_factor" numFmtId="0">
      <sharedItems containsSemiMixedTypes="0" containsString="0" containsNumber="1" minValue="0.5" maxValue="0.5"/>
    </cacheField>
    <cacheField name="fixed_own" numFmtId="0">
      <sharedItems containsSemiMixedTypes="0" containsString="0" containsNumber="1" containsInteger="1" minValue="100" maxValue="100"/>
    </cacheField>
    <cacheField name="fixed_crowd" numFmtId="0">
      <sharedItems containsSemiMixedTypes="0" containsString="0" containsNumber="1" containsInteger="1" minValue="50" maxValue="50"/>
    </cacheField>
    <cacheField name="r_payment" numFmtId="0">
      <sharedItems containsSemiMixedTypes="0" containsString="0" containsNumber="1" containsInteger="1" minValue="0" maxValue="0"/>
    </cacheField>
    <cacheField name="VAR_COST_TYPE" numFmtId="0">
      <sharedItems containsString="0" containsBlank="1" containsNumber="1" containsInteger="1" minValue="1" maxValue="2"/>
    </cacheField>
    <cacheField name="binom_dist" numFmtId="49">
      <sharedItems/>
    </cacheField>
    <cacheField name="binom_p" numFmtId="0">
      <sharedItems containsSemiMixedTypes="0" containsString="0" containsNumber="1" minValue="0" maxValue="0.05"/>
    </cacheField>
    <cacheField name="fixed_prod_cost" numFmtId="0">
      <sharedItems containsSemiMixedTypes="0" containsString="0" containsNumber="1" minValue="3000" maxValue="12000"/>
    </cacheField>
    <cacheField name="variable_prod_cost" numFmtId="0">
      <sharedItems containsSemiMixedTypes="0" containsString="0" containsNumber="1" minValue="6390" maxValue="67710"/>
    </cacheField>
    <cacheField name="inv_hold_cost" numFmtId="0">
      <sharedItems containsSemiMixedTypes="0" containsString="0" containsNumber="1" minValue="2223" maxValue="31257"/>
    </cacheField>
    <cacheField name="routing_cost" numFmtId="0">
      <sharedItems containsSemiMixedTypes="0" containsString="0" containsNumber="1" minValue="1648" maxValue="49468"/>
    </cacheField>
    <cacheField name="recourse_cost" numFmtId="0">
      <sharedItems containsSemiMixedTypes="0" containsString="0" containsNumber="1" minValue="-1" maxValue="6023.3376599796902"/>
    </cacheField>
    <cacheField name="unused_routing_cost" numFmtId="0">
      <sharedItems containsSemiMixedTypes="0" containsString="0" containsNumber="1" minValue="-1" maxValue="3011.6688299898401"/>
    </cacheField>
    <cacheField name="expected_cost_diff" numFmtId="0">
      <sharedItems containsSemiMixedTypes="0" containsString="0" containsNumber="1" minValue="-1" maxValue="9035.0064899695499"/>
    </cacheField>
    <cacheField name="lfcc" numFmtId="0">
      <sharedItems containsString="0" containsBlank="1" containsNumber="1" containsInteger="1" minValue="0" maxValue="3719"/>
    </cacheField>
    <cacheField name="ufcc" numFmtId="0">
      <sharedItems containsString="0" containsBlank="1" containsNumber="1" containsInteger="1" minValue="0" maxValue="0"/>
    </cacheField>
    <cacheField name="lsec" numFmtId="0">
      <sharedItems containsString="0" containsBlank="1" containsNumber="1" containsInteger="1" minValue="0" maxValue="2681"/>
    </cacheField>
    <cacheField name="usec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992.36195810185" createdVersion="8" refreshedVersion="8" minRefreshableVersion="3" recordCount="42" xr:uid="{50144CBB-28AB-4660-9CB0-095208D445F2}">
  <cacheSource type="worksheet">
    <worksheetSource ref="A1:AC43" sheet="VCDVSS_Calc"/>
  </cacheSource>
  <cacheFields count="29">
    <cacheField name="Zeilenbeschriftungen" numFmtId="0">
      <sharedItems/>
    </cacheField>
    <cacheField name="Inst String" numFmtId="0">
      <sharedItems/>
    </cacheField>
    <cacheField name="Customers" numFmtId="0">
      <sharedItems/>
    </cacheField>
    <cacheField name="Periods" numFmtId="0">
      <sharedItems count="3">
        <s v="P3"/>
        <s v="P6"/>
        <s v="P9"/>
      </sharedItems>
    </cacheField>
    <cacheField name="MED" numFmtId="0">
      <sharedItems/>
    </cacheField>
    <cacheField name="Inst Type" numFmtId="0">
      <sharedItems count="2">
        <s v="I1"/>
        <s v="I3"/>
      </sharedItems>
    </cacheField>
    <cacheField name="UB_model1_determ_var_cost_all_own_vehicle" numFmtId="0">
      <sharedItems containsSemiMixedTypes="0" containsString="0" containsNumber="1" minValue="14236" maxValue="154135"/>
    </cacheField>
    <cacheField name="LB_model1_determ_var_cost_all_own_vehicle" numFmtId="0">
      <sharedItems containsSemiMixedTypes="0" containsString="0" containsNumber="1" minValue="14236" maxValue="146428.66490523101"/>
    </cacheField>
    <cacheField name="Gap_model1_determ_var_cost_all_own_vehicle" numFmtId="0">
      <sharedItems containsSemiMixedTypes="0" containsString="0" containsNumber="1" minValue="0" maxValue="4.9997308169909799E-2"/>
    </cacheField>
    <cacheField name="CT[s]_model1_determ_var_cost_all_own_vehicle" numFmtId="0">
      <sharedItems containsSemiMixedTypes="0" containsString="0" containsNumber="1" minValue="1.7461397647857699" maxValue="3605.21713376045"/>
    </cacheField>
    <cacheField name="UB_model1_ScenarioPRP_VssRouteGen" numFmtId="0">
      <sharedItems containsSemiMixedTypes="0" containsString="0" containsNumber="1" minValue="13261" maxValue="136171.999986562"/>
    </cacheField>
    <cacheField name="LB_model1_ScenarioPRP_VssRouteGen" numFmtId="0">
      <sharedItems containsSemiMixedTypes="0" containsString="0" containsNumber="1" minValue="13261" maxValue="133302.284555272"/>
    </cacheField>
    <cacheField name="Gap_model1_ScenarioPRP_VssRouteGen" numFmtId="0">
      <sharedItems containsSemiMixedTypes="0" containsString="0" containsNumber="1" minValue="0" maxValue="3.3090002292041801E-2"/>
    </cacheField>
    <cacheField name="CT[s]_model1_ScenarioPRP_VssRouteGen" numFmtId="0">
      <sharedItems containsSemiMixedTypes="0" containsString="0" containsNumber="1" minValue="1.38335108757019" maxValue="3600.3483009338402"/>
    </cacheField>
    <cacheField name="UB_model1_ScenarioPRP_VSScalc" numFmtId="0">
      <sharedItems containsSemiMixedTypes="0" containsString="0" containsNumber="1" minValue="13310.3697351344" maxValue="144519.29233386801"/>
    </cacheField>
    <cacheField name="LB_model1_ScenarioPRP_VSScalc" numFmtId="0">
      <sharedItems containsSemiMixedTypes="0" containsString="0" containsNumber="1" minValue="13310.3697351344" maxValue="144517.677953078"/>
    </cacheField>
    <cacheField name="Gap_model1_ScenarioPRP_VSScalc" numFmtId="0">
      <sharedItems containsSemiMixedTypes="0" containsString="0" containsNumber="1" minValue="0" maxValue="7.9732235618444502E-5"/>
    </cacheField>
    <cacheField name="CT[s]_model1_ScenarioPRP_VSScalc" numFmtId="0">
      <sharedItems containsSemiMixedTypes="0" containsString="0" containsNumber="1" minValue="3.50089073181152E-2" maxValue="2.8724479675293"/>
    </cacheField>
    <cacheField name="UB_model4_HPRP_comb_stoch_var_cost_MIPstart" numFmtId="0">
      <sharedItems containsSemiMixedTypes="0" containsString="0" containsNumber="1" minValue="13310.3697351343" maxValue="157657.821480538"/>
    </cacheField>
    <cacheField name="LB_model4_HPRP_comb_stoch_var_cost_MIPstart" numFmtId="0">
      <sharedItems containsSemiMixedTypes="0" containsString="0" containsNumber="1" minValue="13310.3697351343" maxValue="130614.944393093"/>
    </cacheField>
    <cacheField name="Gap_model4_HPRP_comb_stoch_var_cost_MIPstart" numFmtId="0">
      <sharedItems containsSemiMixedTypes="0" containsString="0" containsNumber="1" minValue="0" maxValue="0.171528927860917"/>
    </cacheField>
    <cacheField name="CT[s]_model4_HPRP_comb_stoch_var_cost_MIPstart" numFmtId="0">
      <sharedItems containsSemiMixedTypes="0" containsString="0" containsNumber="1" minValue="1.6492121219635001" maxValue="3600.8728432655298"/>
    </cacheField>
    <cacheField name="VCD" numFmtId="1">
      <sharedItems containsSemiMixedTypes="0" containsString="0" containsNumber="1" minValue="0" maxValue="6387.6930104310013"/>
    </cacheField>
    <cacheField name="VCD[%]" numFmtId="2">
      <sharedItems containsSemiMixedTypes="0" containsString="0" containsNumber="1" minValue="0" maxValue="14.905637513793046"/>
    </cacheField>
    <cacheField name="VCD_min" numFmtId="2">
      <sharedItems containsSemiMixedTypes="0" containsString="0" containsNumber="1" minValue="0" maxValue="14.905637513793046"/>
    </cacheField>
    <cacheField name="VCD_max" numFmtId="2">
      <sharedItems containsSemiMixedTypes="0" containsString="0" containsNumber="1" minValue="3.9274246997280446" maxValue="16.324174053502094"/>
    </cacheField>
    <cacheField name="VSS" numFmtId="1">
      <sharedItems containsSemiMixedTypes="0" containsString="0" containsNumber="1" minValue="0" maxValue="2788.4806840099918"/>
    </cacheField>
    <cacheField name="VSS[%]" numFmtId="2">
      <sharedItems containsSemiMixedTypes="0" containsString="0" containsNumber="1" minValue="0" maxValue="2.5302142805963883"/>
    </cacheField>
    <cacheField name="VSSmax[%]" numFmtId="2">
      <sharedItems containsSemiMixedTypes="0" containsString="0" containsNumber="1" minValue="0" maxValue="11.7994726086498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">
  <r>
    <x v="0"/>
    <s v="MVPRP"/>
    <s v="C15"/>
    <s v="P3"/>
    <s v="V3"/>
    <x v="0"/>
    <x v="0"/>
    <s v="OPTIMAL"/>
    <n v="26860.681430160799"/>
    <n v="26860.681430160799"/>
    <n v="0"/>
    <n v="5.9319972991943401E-2"/>
    <s v="[]"/>
    <n v="132"/>
    <m/>
    <n v="2"/>
    <n v="0.5"/>
    <n v="100"/>
    <n v="50"/>
    <n v="0"/>
    <n v="2"/>
    <s v="True"/>
    <n v="0.05"/>
    <n v="3000"/>
    <n v="9960"/>
    <n v="3902"/>
    <n v="9378.5"/>
    <n v="413.45428677387798"/>
    <n v="206.72714338693899"/>
    <n v="620.18143016081694"/>
    <n v="0"/>
    <n v="0"/>
    <n v="0"/>
    <n v="0"/>
  </r>
  <r>
    <x v="1"/>
    <s v="MVPRP"/>
    <s v="C30"/>
    <s v="P9"/>
    <s v="V3"/>
    <x v="0"/>
    <x v="0"/>
    <s v="OPTIMAL"/>
    <n v="144519.29233386801"/>
    <n v="144517.677953078"/>
    <n v="1.1170693993125501E-5"/>
    <n v="2.3734269142150901"/>
    <s v="[]"/>
    <n v="228"/>
    <m/>
    <n v="2"/>
    <n v="0.5"/>
    <n v="100"/>
    <n v="50"/>
    <n v="0"/>
    <n v="2"/>
    <s v="True"/>
    <n v="0.05"/>
    <n v="12000"/>
    <n v="67710"/>
    <n v="22021"/>
    <n v="34441"/>
    <n v="5564.86155591231"/>
    <n v="2782.43077795615"/>
    <n v="8347.2923338684395"/>
    <n v="0"/>
    <n v="0"/>
    <n v="0"/>
    <n v="0"/>
  </r>
  <r>
    <x v="2"/>
    <s v="MVPRP"/>
    <s v="C15"/>
    <s v="P9"/>
    <s v="V3"/>
    <x v="1"/>
    <x v="0"/>
    <s v="OPTIMAL"/>
    <n v="73967.920901733101"/>
    <n v="73967.920901733101"/>
    <n v="0"/>
    <n v="0.42788386344909701"/>
    <s v="[]"/>
    <n v="132"/>
    <m/>
    <n v="2"/>
    <n v="0.5"/>
    <n v="100"/>
    <n v="50"/>
    <n v="0"/>
    <n v="2"/>
    <s v="True"/>
    <n v="0.05"/>
    <n v="9000"/>
    <n v="40950"/>
    <n v="13560"/>
    <n v="8889"/>
    <n v="1045.94726782208"/>
    <n v="522.97363391104102"/>
    <n v="1568.92090173312"/>
    <n v="0"/>
    <n v="0"/>
    <n v="0"/>
    <n v="0"/>
  </r>
  <r>
    <x v="3"/>
    <s v="MVPRP"/>
    <s v="C40"/>
    <s v="P3"/>
    <s v="V3"/>
    <x v="0"/>
    <x v="0"/>
    <s v="OPTIMAL"/>
    <n v="55163.152852195402"/>
    <n v="55158.754570694698"/>
    <n v="7.9732235618444502E-5"/>
    <n v="0.62129092216491699"/>
    <s v="[]"/>
    <n v="360"/>
    <m/>
    <n v="2"/>
    <n v="0.5"/>
    <n v="100"/>
    <n v="50"/>
    <n v="0"/>
    <n v="2"/>
    <s v="True"/>
    <n v="0.05"/>
    <n v="3000"/>
    <n v="27660"/>
    <n v="9705"/>
    <n v="14013"/>
    <n v="523.43523479693295"/>
    <n v="261.71761739846698"/>
    <n v="785.15285219539999"/>
    <n v="0"/>
    <n v="0"/>
    <n v="0"/>
    <n v="0"/>
  </r>
  <r>
    <x v="4"/>
    <s v="MVPRP"/>
    <s v="C40"/>
    <s v="P3"/>
    <s v="V3"/>
    <x v="1"/>
    <x v="0"/>
    <s v="OPTIMAL"/>
    <n v="42573.582196626798"/>
    <n v="42573.582196132098"/>
    <n v="1.16203860820052E-11"/>
    <n v="0.52277612686157204"/>
    <s v="[]"/>
    <n v="360"/>
    <m/>
    <n v="2"/>
    <n v="0.5"/>
    <n v="100"/>
    <n v="50"/>
    <n v="0"/>
    <n v="2"/>
    <s v="True"/>
    <n v="0.05"/>
    <n v="6000"/>
    <n v="27660"/>
    <n v="4692"/>
    <n v="3871.5"/>
    <n v="233.38813108453701"/>
    <n v="116.694065542269"/>
    <n v="350.08219662680602"/>
    <n v="0"/>
    <n v="0"/>
    <n v="0"/>
    <n v="0"/>
  </r>
  <r>
    <x v="5"/>
    <s v="MVPRP"/>
    <s v="C20"/>
    <s v="P6"/>
    <s v="V3"/>
    <x v="1"/>
    <x v="0"/>
    <s v="OPTIMAL"/>
    <n v="46359.723733948202"/>
    <n v="46359.723733948202"/>
    <n v="0"/>
    <n v="0.28896093368530301"/>
    <s v="[]"/>
    <n v="189"/>
    <m/>
    <n v="2"/>
    <n v="0.5"/>
    <n v="100"/>
    <n v="50"/>
    <n v="0"/>
    <n v="2"/>
    <s v="True"/>
    <n v="0.05"/>
    <n v="6000"/>
    <n v="23820"/>
    <n v="12078"/>
    <n v="4133.5"/>
    <n v="218.81582263213099"/>
    <n v="109.40791131606601"/>
    <n v="328.22373394819601"/>
    <n v="0"/>
    <n v="0"/>
    <n v="0"/>
    <n v="0"/>
  </r>
  <r>
    <x v="6"/>
    <s v="MVPRP"/>
    <s v="C10"/>
    <s v="P3"/>
    <s v="V3"/>
    <x v="1"/>
    <x v="0"/>
    <s v="OPTIMAL"/>
    <n v="13310.3697351344"/>
    <n v="13310.3697351344"/>
    <n v="0"/>
    <n v="3.50089073181152E-2"/>
    <s v="[]"/>
    <n v="132"/>
    <m/>
    <n v="2"/>
    <n v="0.5"/>
    <n v="100"/>
    <n v="50"/>
    <n v="0"/>
    <n v="2"/>
    <s v="True"/>
    <n v="0.05"/>
    <n v="3000"/>
    <n v="6390"/>
    <n v="2223"/>
    <n v="1648"/>
    <n v="32.9131567562399"/>
    <n v="16.45657837812"/>
    <n v="49.3697351343599"/>
    <n v="0"/>
    <n v="0"/>
    <n v="0"/>
    <n v="0"/>
  </r>
  <r>
    <x v="7"/>
    <s v="MVPRP"/>
    <s v="C45"/>
    <s v="P3"/>
    <s v="V3"/>
    <x v="0"/>
    <x v="0"/>
    <s v="OPTIMAL"/>
    <n v="64703.057426742598"/>
    <n v="64703.057426707899"/>
    <n v="5.3695604179233501E-13"/>
    <n v="1.1803050041198699"/>
    <s v="[]"/>
    <n v="360"/>
    <m/>
    <n v="2"/>
    <n v="0.5"/>
    <n v="100"/>
    <n v="50"/>
    <n v="0"/>
    <n v="2"/>
    <s v="True"/>
    <n v="0.05"/>
    <n v="6000"/>
    <n v="33060"/>
    <n v="7474"/>
    <n v="16774.5"/>
    <n v="929.704951161758"/>
    <n v="464.852475580879"/>
    <n v="1394.55742674264"/>
    <n v="0"/>
    <n v="0"/>
    <n v="0"/>
    <n v="0"/>
  </r>
  <r>
    <x v="8"/>
    <s v="MVPRP"/>
    <s v="C20"/>
    <s v="P3"/>
    <s v="V3"/>
    <x v="1"/>
    <x v="0"/>
    <s v="OPTIMAL"/>
    <n v="21378.120408857201"/>
    <n v="21378.120408857201"/>
    <n v="0"/>
    <n v="0.123895883560181"/>
    <s v="[]"/>
    <n v="189"/>
    <m/>
    <n v="2"/>
    <n v="0.5"/>
    <n v="100"/>
    <n v="50"/>
    <n v="0"/>
    <n v="2"/>
    <s v="True"/>
    <n v="0.05"/>
    <n v="3000"/>
    <n v="12030"/>
    <n v="3827"/>
    <n v="2407.5"/>
    <n v="75.746939238152194"/>
    <n v="37.873469619076097"/>
    <n v="113.620408857228"/>
    <n v="0"/>
    <n v="0"/>
    <n v="0"/>
    <n v="0"/>
  </r>
  <r>
    <x v="9"/>
    <s v="MVPRP"/>
    <s v="C35"/>
    <s v="P3"/>
    <s v="V3"/>
    <x v="0"/>
    <x v="0"/>
    <s v="OPTIMAL"/>
    <n v="45016.600720531897"/>
    <n v="45016.600720531897"/>
    <n v="0"/>
    <n v="0.25788283348083502"/>
    <s v="[]"/>
    <n v="276"/>
    <m/>
    <n v="2"/>
    <n v="0.5"/>
    <n v="100"/>
    <n v="50"/>
    <n v="0"/>
    <n v="2"/>
    <s v="True"/>
    <n v="0.05"/>
    <n v="3000"/>
    <n v="21600"/>
    <n v="7651"/>
    <n v="11935"/>
    <n v="553.73381368789899"/>
    <n v="276.86690684394898"/>
    <n v="830.60072053184797"/>
    <n v="0"/>
    <n v="0"/>
    <n v="0"/>
    <n v="0"/>
  </r>
  <r>
    <x v="10"/>
    <s v="MVPRP"/>
    <s v="C40"/>
    <s v="P6"/>
    <s v="V3"/>
    <x v="1"/>
    <x v="0"/>
    <s v="OPTIMAL"/>
    <n v="94289.659078283396"/>
    <n v="94287.6995011689"/>
    <n v="2.0782524124149499E-5"/>
    <n v="1.64149498939514"/>
    <s v="[]"/>
    <n v="360"/>
    <m/>
    <n v="2"/>
    <n v="0.5"/>
    <n v="100"/>
    <n v="50"/>
    <n v="0"/>
    <n v="2"/>
    <s v="True"/>
    <n v="0.05"/>
    <n v="6000"/>
    <n v="55170"/>
    <n v="25322"/>
    <n v="6944"/>
    <n v="569.10605218889805"/>
    <n v="284.55302609444902"/>
    <n v="853.65907828334696"/>
    <n v="0"/>
    <n v="0"/>
    <n v="0"/>
    <n v="0"/>
  </r>
  <r>
    <x v="11"/>
    <s v="MVPRP"/>
    <s v="C10"/>
    <s v="P3"/>
    <s v="V3"/>
    <x v="0"/>
    <x v="0"/>
    <s v="OPTIMAL"/>
    <n v="18058.295875612901"/>
    <n v="18058.295875612901"/>
    <n v="0"/>
    <n v="3.5550117492675802E-2"/>
    <s v="[]"/>
    <n v="132"/>
    <m/>
    <n v="2"/>
    <n v="0.5"/>
    <n v="100"/>
    <n v="50"/>
    <n v="0"/>
    <n v="2"/>
    <s v="True"/>
    <n v="0.05"/>
    <n v="3000"/>
    <n v="6390"/>
    <n v="2860"/>
    <n v="5585"/>
    <n v="148.86391707527201"/>
    <n v="74.431958537635794"/>
    <n v="223.29587561290799"/>
    <n v="0"/>
    <n v="0"/>
    <n v="0"/>
    <n v="0"/>
  </r>
  <r>
    <x v="12"/>
    <s v="MVPRP"/>
    <s v="C30"/>
    <s v="P3"/>
    <s v="V3"/>
    <x v="0"/>
    <x v="0"/>
    <s v="OPTIMAL"/>
    <n v="36802.081355002701"/>
    <n v="36802.081355002701"/>
    <n v="0"/>
    <n v="0.18238306045532199"/>
    <s v="[]"/>
    <n v="228"/>
    <m/>
    <n v="2"/>
    <n v="0.5"/>
    <n v="100"/>
    <n v="50"/>
    <n v="0"/>
    <n v="2"/>
    <s v="True"/>
    <n v="0.05"/>
    <n v="3000"/>
    <n v="16680"/>
    <n v="6549"/>
    <n v="9797"/>
    <n v="517.38757000176304"/>
    <n v="258.69378500088101"/>
    <n v="776.08135500264405"/>
    <n v="0"/>
    <n v="0"/>
    <n v="0"/>
    <n v="0"/>
  </r>
  <r>
    <x v="13"/>
    <s v="MVPRP"/>
    <s v="C20"/>
    <s v="P3"/>
    <s v="V3"/>
    <x v="0"/>
    <x v="0"/>
    <s v="OPTIMAL"/>
    <n v="29250.8296868258"/>
    <n v="29250.8296868258"/>
    <n v="0"/>
    <n v="8.7544918060302707E-2"/>
    <s v="[]"/>
    <n v="189"/>
    <m/>
    <n v="2"/>
    <n v="0.5"/>
    <n v="100"/>
    <n v="50"/>
    <n v="0"/>
    <n v="2"/>
    <s v="True"/>
    <n v="0.05"/>
    <n v="3000"/>
    <n v="12030"/>
    <n v="4645"/>
    <n v="8842"/>
    <n v="489.21979121723098"/>
    <n v="244.609895608616"/>
    <n v="733.82968682584703"/>
    <n v="0"/>
    <n v="0"/>
    <n v="0"/>
    <n v="0"/>
  </r>
  <r>
    <x v="14"/>
    <s v="MVPRP"/>
    <s v="C35"/>
    <s v="P6"/>
    <s v="V3"/>
    <x v="0"/>
    <x v="0"/>
    <s v="OPTIMAL"/>
    <n v="95763.458077276504"/>
    <n v="95761.543621923396"/>
    <n v="1.9991501888549501E-5"/>
    <n v="0.98432803153991699"/>
    <s v="[]"/>
    <n v="276"/>
    <m/>
    <n v="2"/>
    <n v="0.5"/>
    <n v="100"/>
    <n v="50"/>
    <n v="0"/>
    <n v="2"/>
    <s v="True"/>
    <n v="0.05"/>
    <n v="6000"/>
    <n v="42900"/>
    <n v="20532"/>
    <n v="21402"/>
    <n v="3286.3053848509599"/>
    <n v="1643.1526924254799"/>
    <n v="4929.4580772764302"/>
    <n v="0"/>
    <n v="0"/>
    <n v="0"/>
    <n v="0"/>
  </r>
  <r>
    <x v="15"/>
    <s v="MVPRP"/>
    <s v="C25"/>
    <s v="P6"/>
    <s v="V3"/>
    <x v="0"/>
    <x v="0"/>
    <s v="OPTIMAL"/>
    <n v="73077.805343702406"/>
    <n v="73077.805343702305"/>
    <n v="1.3939034720525601E-15"/>
    <n v="0.43216204643249501"/>
    <s v="[]"/>
    <n v="189"/>
    <m/>
    <n v="2"/>
    <n v="0.5"/>
    <n v="100"/>
    <n v="50"/>
    <n v="0"/>
    <n v="2"/>
    <s v="True"/>
    <n v="0.05"/>
    <n v="6000"/>
    <n v="28380"/>
    <n v="17845"/>
    <n v="17320.5"/>
    <n v="2354.87022913495"/>
    <n v="1177.43511456748"/>
    <n v="3532.30534370242"/>
    <n v="0"/>
    <n v="0"/>
    <n v="0"/>
    <n v="0"/>
  </r>
  <r>
    <x v="16"/>
    <s v="MVPRP"/>
    <s v="C15"/>
    <s v="P6"/>
    <s v="V3"/>
    <x v="0"/>
    <x v="0"/>
    <s v="OPTIMAL"/>
    <n v="57150.9185117249"/>
    <n v="57150.9185117249"/>
    <n v="0"/>
    <n v="0.167562961578369"/>
    <s v="[]"/>
    <n v="132"/>
    <m/>
    <n v="2"/>
    <n v="0.5"/>
    <n v="100"/>
    <n v="50"/>
    <n v="0"/>
    <n v="2"/>
    <s v="True"/>
    <n v="0.05"/>
    <n v="6000"/>
    <n v="19800"/>
    <n v="12105"/>
    <n v="16216"/>
    <n v="2019.9456744833001"/>
    <n v="1009.97283724165"/>
    <n v="3029.9185117249499"/>
    <n v="0"/>
    <n v="0"/>
    <n v="0"/>
    <n v="0"/>
  </r>
  <r>
    <x v="17"/>
    <s v="MVPRP"/>
    <s v="C50"/>
    <s v="P3"/>
    <s v="V3"/>
    <x v="0"/>
    <x v="0"/>
    <s v="OPTIMAL"/>
    <n v="60442.363051764703"/>
    <n v="60438.1314362423"/>
    <n v="7.0010755846874905E-5"/>
    <n v="0.84387683868408203"/>
    <s v="[]"/>
    <n v="360"/>
    <m/>
    <n v="2"/>
    <n v="0.5"/>
    <n v="100"/>
    <n v="50"/>
    <n v="0"/>
    <n v="2"/>
    <s v="True"/>
    <n v="0.05"/>
    <n v="3000"/>
    <n v="29580"/>
    <n v="9779"/>
    <n v="16702"/>
    <n v="920.90870117649399"/>
    <n v="460.454350588247"/>
    <n v="1381.36305176474"/>
    <n v="0"/>
    <n v="0"/>
    <n v="0"/>
    <n v="0"/>
  </r>
  <r>
    <x v="18"/>
    <s v="MVPRP"/>
    <s v="C30"/>
    <s v="P6"/>
    <s v="V3"/>
    <x v="0"/>
    <x v="0"/>
    <s v="OPTIMAL"/>
    <n v="77354.526374788198"/>
    <n v="77352.388431525804"/>
    <n v="2.76382438443287E-5"/>
    <n v="0.71352505683898904"/>
    <s v="[]"/>
    <n v="228"/>
    <m/>
    <n v="2"/>
    <n v="0.5"/>
    <n v="100"/>
    <n v="50"/>
    <n v="0"/>
    <n v="2"/>
    <s v="True"/>
    <n v="0.05"/>
    <n v="6000"/>
    <n v="33150"/>
    <n v="15987"/>
    <n v="19381.5"/>
    <n v="1890.6842498587901"/>
    <n v="945.342124929394"/>
    <n v="2836.02637478819"/>
    <n v="0"/>
    <n v="0"/>
    <n v="0"/>
    <n v="0"/>
  </r>
  <r>
    <x v="19"/>
    <s v="MVPRP"/>
    <s v="C45"/>
    <s v="P3"/>
    <s v="V3"/>
    <x v="1"/>
    <x v="0"/>
    <s v="OPTIMAL"/>
    <n v="48829.581233312201"/>
    <n v="48829.581232696502"/>
    <n v="1.26089865561282E-11"/>
    <n v="0.78091788291931197"/>
    <s v="[]"/>
    <n v="360"/>
    <m/>
    <n v="2"/>
    <n v="0.5"/>
    <n v="100"/>
    <n v="50"/>
    <n v="0"/>
    <n v="2"/>
    <s v="True"/>
    <n v="0.05"/>
    <n v="6000"/>
    <n v="33060"/>
    <n v="5021"/>
    <n v="4178"/>
    <n v="380.387488874822"/>
    <n v="190.193744437411"/>
    <n v="570.58123331223396"/>
    <n v="0"/>
    <n v="0"/>
    <n v="0"/>
    <n v="0"/>
  </r>
  <r>
    <x v="20"/>
    <s v="MVPRP"/>
    <s v="C25"/>
    <s v="P6"/>
    <s v="V3"/>
    <x v="1"/>
    <x v="0"/>
    <s v="OPTIMAL"/>
    <n v="55786.484722264096"/>
    <n v="55786.484722264096"/>
    <n v="0"/>
    <n v="0.63126611709594704"/>
    <s v="[]"/>
    <n v="189"/>
    <m/>
    <n v="2"/>
    <n v="0.5"/>
    <n v="100"/>
    <n v="50"/>
    <n v="0"/>
    <n v="2"/>
    <s v="True"/>
    <n v="0.05"/>
    <n v="6000"/>
    <n v="28380"/>
    <n v="16369"/>
    <n v="4530"/>
    <n v="338.323148176073"/>
    <n v="169.16157408803599"/>
    <n v="507.484722264109"/>
    <n v="0"/>
    <n v="0"/>
    <n v="0"/>
    <n v="0"/>
  </r>
  <r>
    <x v="21"/>
    <s v="MVPRP"/>
    <s v="C35"/>
    <s v="P6"/>
    <s v="V3"/>
    <x v="1"/>
    <x v="0"/>
    <s v="OPTIMAL"/>
    <n v="72969.8460902964"/>
    <n v="72969.151541604195"/>
    <n v="9.5182973428135496E-6"/>
    <n v="1.2403638362884499"/>
    <s v="[]"/>
    <n v="276"/>
    <m/>
    <n v="2"/>
    <n v="0.5"/>
    <n v="100"/>
    <n v="50"/>
    <n v="0"/>
    <n v="2"/>
    <s v="True"/>
    <n v="0.05"/>
    <n v="6000"/>
    <n v="42900"/>
    <n v="17483"/>
    <n v="6002"/>
    <n v="389.89739353091301"/>
    <n v="194.94869676545599"/>
    <n v="584.84609029636897"/>
    <n v="0"/>
    <n v="0"/>
    <n v="0"/>
    <n v="0"/>
  </r>
  <r>
    <x v="22"/>
    <s v="MVPRP"/>
    <s v="C25"/>
    <s v="P3"/>
    <s v="V3"/>
    <x v="1"/>
    <x v="0"/>
    <s v="OPTIMAL"/>
    <n v="25165.198867160201"/>
    <n v="25165.198867160201"/>
    <n v="0"/>
    <n v="0.14877581596374501"/>
    <s v="[]"/>
    <n v="189"/>
    <m/>
    <n v="2"/>
    <n v="0.5"/>
    <n v="100"/>
    <n v="50"/>
    <n v="0"/>
    <n v="2"/>
    <s v="True"/>
    <n v="0.05"/>
    <n v="3000"/>
    <n v="14340"/>
    <n v="4915"/>
    <n v="2669"/>
    <n v="160.79924477344201"/>
    <n v="80.399622386721205"/>
    <n v="241.19886716016299"/>
    <n v="0"/>
    <n v="0"/>
    <n v="0"/>
    <n v="0"/>
  </r>
  <r>
    <x v="23"/>
    <s v="MVPRP"/>
    <s v="C10"/>
    <s v="P6"/>
    <s v="V3"/>
    <x v="1"/>
    <x v="0"/>
    <s v="OPTIMAL"/>
    <n v="28912.325360672399"/>
    <n v="28912.325360672399"/>
    <n v="0"/>
    <n v="0.128209829330444"/>
    <s v="[]"/>
    <n v="132"/>
    <m/>
    <n v="2"/>
    <n v="0.5"/>
    <n v="100"/>
    <n v="50"/>
    <n v="0"/>
    <n v="2"/>
    <s v="True"/>
    <n v="0.05"/>
    <n v="6000"/>
    <n v="12690"/>
    <n v="7073"/>
    <n v="3045.5"/>
    <n v="69.216907114924695"/>
    <n v="34.608453557462397"/>
    <n v="103.82536067238701"/>
    <n v="0"/>
    <n v="0"/>
    <n v="0"/>
    <n v="0"/>
  </r>
  <r>
    <x v="24"/>
    <s v="MVPRP"/>
    <s v="C35"/>
    <s v="P3"/>
    <s v="V3"/>
    <x v="1"/>
    <x v="0"/>
    <s v="OPTIMAL"/>
    <n v="34416.2067617551"/>
    <n v="34415.584928466298"/>
    <n v="1.80680367583086E-5"/>
    <n v="0.63661909103393599"/>
    <s v="[]"/>
    <n v="276"/>
    <m/>
    <n v="2"/>
    <n v="0.5"/>
    <n v="100"/>
    <n v="50"/>
    <n v="0"/>
    <n v="2"/>
    <s v="True"/>
    <n v="0.05"/>
    <n v="3000"/>
    <n v="21600"/>
    <n v="6375"/>
    <n v="3156.5"/>
    <n v="189.80450783674499"/>
    <n v="94.902253918372494"/>
    <n v="284.70676175511801"/>
    <n v="0"/>
    <n v="0"/>
    <n v="0"/>
    <n v="0"/>
  </r>
  <r>
    <x v="25"/>
    <s v="MVPRP"/>
    <s v="C10"/>
    <s v="P6"/>
    <s v="V3"/>
    <x v="0"/>
    <x v="0"/>
    <s v="OPTIMAL"/>
    <n v="38038.172765691197"/>
    <n v="38038.172765691197"/>
    <n v="0"/>
    <n v="9.3133926391601604E-2"/>
    <s v="[]"/>
    <n v="132"/>
    <m/>
    <n v="2"/>
    <n v="0.5"/>
    <n v="100"/>
    <n v="50"/>
    <n v="0"/>
    <n v="2"/>
    <s v="True"/>
    <n v="0.05"/>
    <n v="6000"/>
    <n v="12690"/>
    <n v="7881"/>
    <n v="10745.5"/>
    <n v="481.115177127479"/>
    <n v="240.55758856374001"/>
    <n v="721.67276569121896"/>
    <n v="0"/>
    <n v="0"/>
    <n v="0"/>
    <n v="0"/>
  </r>
  <r>
    <x v="26"/>
    <s v="MVPRP"/>
    <s v="C50"/>
    <s v="P3"/>
    <s v="V3"/>
    <x v="1"/>
    <x v="0"/>
    <s v="OPTIMAL"/>
    <n v="45274.429161204403"/>
    <n v="45274.429161204403"/>
    <n v="0"/>
    <n v="0.90576791763305697"/>
    <s v="[]"/>
    <n v="360"/>
    <m/>
    <n v="2"/>
    <n v="0.5"/>
    <n v="100"/>
    <n v="50"/>
    <n v="0"/>
    <n v="2"/>
    <s v="True"/>
    <n v="0.05"/>
    <n v="6000"/>
    <n v="29580"/>
    <n v="4550"/>
    <n v="4503"/>
    <n v="427.61944080296797"/>
    <n v="213.80972040148399"/>
    <n v="641.42916120445102"/>
    <n v="0"/>
    <n v="0"/>
    <n v="0"/>
    <n v="0"/>
  </r>
  <r>
    <x v="27"/>
    <s v="MVPRP"/>
    <s v="C30"/>
    <s v="P6"/>
    <s v="V3"/>
    <x v="1"/>
    <x v="0"/>
    <s v="OPTIMAL"/>
    <n v="59517.4860415476"/>
    <n v="59512.7415498232"/>
    <n v="7.9715929552229601E-5"/>
    <n v="1.0299308300018299"/>
    <s v="[]"/>
    <n v="228"/>
    <m/>
    <n v="2"/>
    <n v="0.5"/>
    <n v="100"/>
    <n v="50"/>
    <n v="0"/>
    <n v="2"/>
    <s v="True"/>
    <n v="0.05"/>
    <n v="6000"/>
    <n v="33150"/>
    <n v="15210"/>
    <n v="4721.5"/>
    <n v="290.65736103175402"/>
    <n v="145.32868051587701"/>
    <n v="435.98604154763098"/>
    <n v="0"/>
    <n v="0"/>
    <n v="0"/>
    <n v="0"/>
  </r>
  <r>
    <x v="28"/>
    <s v="MVPRP"/>
    <s v="C25"/>
    <s v="P9"/>
    <s v="V3"/>
    <x v="1"/>
    <x v="0"/>
    <s v="OPTIMAL"/>
    <n v="99854.509339261407"/>
    <n v="99849.069530817404"/>
    <n v="5.4477343887610703E-5"/>
    <n v="0.93325495719909701"/>
    <s v="[]"/>
    <n v="189"/>
    <m/>
    <n v="2"/>
    <n v="0.5"/>
    <n v="100"/>
    <n v="50"/>
    <n v="0"/>
    <n v="2"/>
    <s v="True"/>
    <n v="0.05"/>
    <n v="9000"/>
    <n v="59880"/>
    <n v="19728"/>
    <n v="8965.5"/>
    <n v="1520.6728928409"/>
    <n v="760.33644642044999"/>
    <n v="2281.0093392613499"/>
    <n v="0"/>
    <n v="0"/>
    <n v="0"/>
    <n v="0"/>
  </r>
  <r>
    <x v="29"/>
    <s v="MVPRP"/>
    <s v="C25"/>
    <s v="P3"/>
    <s v="V3"/>
    <x v="0"/>
    <x v="0"/>
    <s v="OPTIMAL"/>
    <n v="34032.056398000197"/>
    <n v="34032.056398000197"/>
    <n v="0"/>
    <n v="0.1264488697052"/>
    <s v="[]"/>
    <n v="189"/>
    <m/>
    <n v="2"/>
    <n v="0.5"/>
    <n v="100"/>
    <n v="50"/>
    <n v="0"/>
    <n v="2"/>
    <s v="True"/>
    <n v="0.05"/>
    <n v="3000"/>
    <n v="14340"/>
    <n v="6199"/>
    <n v="9510"/>
    <n v="655.37093200012805"/>
    <n v="327.68546600006403"/>
    <n v="983.05639800019298"/>
    <n v="0"/>
    <n v="0"/>
    <n v="0"/>
    <n v="0"/>
  </r>
  <r>
    <x v="30"/>
    <s v="MVPRP"/>
    <s v="C15"/>
    <s v="P6"/>
    <s v="V3"/>
    <x v="1"/>
    <x v="0"/>
    <s v="OPTIMAL"/>
    <n v="41270.954555705597"/>
    <n v="41270.954555705597"/>
    <n v="0"/>
    <n v="0.24188184738159199"/>
    <s v="[]"/>
    <n v="132"/>
    <m/>
    <n v="2"/>
    <n v="0.5"/>
    <n v="100"/>
    <n v="50"/>
    <n v="0"/>
    <n v="2"/>
    <s v="True"/>
    <n v="0.05"/>
    <n v="6000"/>
    <n v="19800"/>
    <n v="10348"/>
    <n v="4693"/>
    <n v="286.63637047038702"/>
    <n v="143.318185235193"/>
    <n v="429.95455570557999"/>
    <n v="0"/>
    <n v="0"/>
    <n v="0"/>
    <n v="0"/>
  </r>
  <r>
    <x v="31"/>
    <s v="MVPRP"/>
    <s v="C15"/>
    <s v="P3"/>
    <s v="V3"/>
    <x v="1"/>
    <x v="0"/>
    <s v="OPTIMAL"/>
    <n v="18984.126365642202"/>
    <n v="18984.126365642202"/>
    <n v="0"/>
    <n v="6.6889047622680706E-2"/>
    <s v="[]"/>
    <n v="132"/>
    <m/>
    <n v="2"/>
    <n v="0.5"/>
    <n v="100"/>
    <n v="50"/>
    <n v="0"/>
    <n v="2"/>
    <s v="True"/>
    <n v="0.05"/>
    <n v="3000"/>
    <n v="9960"/>
    <n v="3341"/>
    <n v="2486"/>
    <n v="131.41757709480501"/>
    <n v="65.708788547402506"/>
    <n v="197.12636564220699"/>
    <n v="0"/>
    <n v="0"/>
    <n v="0"/>
    <n v="0"/>
  </r>
  <r>
    <x v="32"/>
    <s v="MVPRP"/>
    <s v="C20"/>
    <s v="P6"/>
    <s v="V3"/>
    <x v="0"/>
    <x v="0"/>
    <s v="OPTIMAL"/>
    <n v="61479.340245791704"/>
    <n v="61479.340245791704"/>
    <n v="0"/>
    <n v="0.24436712265014601"/>
    <s v="[]"/>
    <n v="189"/>
    <m/>
    <n v="2"/>
    <n v="0.5"/>
    <n v="100"/>
    <n v="50"/>
    <n v="0"/>
    <n v="2"/>
    <s v="True"/>
    <n v="0.05"/>
    <n v="6000"/>
    <n v="23820"/>
    <n v="13370"/>
    <n v="15842.5"/>
    <n v="1631.2268305278101"/>
    <n v="815.61341526390595"/>
    <n v="2446.84024579172"/>
    <n v="0"/>
    <n v="0"/>
    <n v="0"/>
    <n v="0"/>
  </r>
  <r>
    <x v="33"/>
    <s v="MVPRP"/>
    <s v="C20"/>
    <s v="P9"/>
    <s v="V3"/>
    <x v="0"/>
    <x v="0"/>
    <s v="OPTIMAL"/>
    <n v="112995.774405897"/>
    <n v="112995.774405897"/>
    <n v="0"/>
    <n v="0.89100193977356001"/>
    <s v="[]"/>
    <n v="189"/>
    <m/>
    <n v="2"/>
    <n v="0.5"/>
    <n v="100"/>
    <n v="50"/>
    <n v="0"/>
    <n v="2"/>
    <s v="True"/>
    <n v="0.05"/>
    <n v="12000"/>
    <n v="48120"/>
    <n v="17450"/>
    <n v="28599"/>
    <n v="4551.1829372648899"/>
    <n v="2275.59146863245"/>
    <n v="6826.7744058973403"/>
    <n v="0"/>
    <n v="0"/>
    <n v="0"/>
    <n v="0"/>
  </r>
  <r>
    <x v="34"/>
    <s v="MVPRP"/>
    <s v="C40"/>
    <s v="P6"/>
    <s v="V3"/>
    <x v="0"/>
    <x v="0"/>
    <s v="OPTIMAL"/>
    <n v="118796.383601792"/>
    <n v="118792.955030364"/>
    <n v="2.8860907416903599E-5"/>
    <n v="2.8724479675293"/>
    <s v="[]"/>
    <n v="360"/>
    <m/>
    <n v="2"/>
    <n v="0.5"/>
    <n v="100"/>
    <n v="50"/>
    <n v="0"/>
    <n v="2"/>
    <s v="True"/>
    <n v="0.05"/>
    <n v="6000"/>
    <n v="55170"/>
    <n v="28397"/>
    <n v="25013.5"/>
    <n v="2810.5890678615601"/>
    <n v="1405.2945339307801"/>
    <n v="4215.8836017923404"/>
    <n v="0"/>
    <n v="0"/>
    <n v="0"/>
    <n v="0"/>
  </r>
  <r>
    <x v="35"/>
    <s v="MVPRP"/>
    <s v="C20"/>
    <s v="P9"/>
    <s v="V3"/>
    <x v="1"/>
    <x v="0"/>
    <s v="OPTIMAL"/>
    <n v="81173.837618463498"/>
    <n v="81173.837618463396"/>
    <n v="0"/>
    <n v="0.56210589408874501"/>
    <s v="[]"/>
    <n v="189"/>
    <m/>
    <n v="2"/>
    <n v="0.5"/>
    <n v="100"/>
    <n v="50"/>
    <n v="0"/>
    <n v="2"/>
    <s v="True"/>
    <n v="0.05"/>
    <n v="9000"/>
    <n v="48120"/>
    <n v="15214"/>
    <n v="7564.5"/>
    <n v="850.22507897564299"/>
    <n v="425.112539487822"/>
    <n v="1275.3376184634601"/>
    <n v="0"/>
    <n v="0"/>
    <n v="0"/>
    <n v="0"/>
  </r>
  <r>
    <x v="36"/>
    <s v="MVPRP"/>
    <s v="C15"/>
    <s v="P9"/>
    <s v="V3"/>
    <x v="0"/>
    <x v="0"/>
    <s v="OPTIMAL"/>
    <n v="106666.043249344"/>
    <n v="106666.043249344"/>
    <n v="1.0914000208557499E-15"/>
    <n v="0.82485485076904297"/>
    <s v="[]"/>
    <n v="132"/>
    <m/>
    <n v="2"/>
    <n v="0.5"/>
    <n v="100"/>
    <n v="50"/>
    <n v="0"/>
    <n v="2"/>
    <s v="True"/>
    <n v="0.05"/>
    <n v="12000"/>
    <n v="40950"/>
    <n v="15544"/>
    <n v="31403.5"/>
    <n v="4512.3621662294699"/>
    <n v="2256.18108311474"/>
    <n v="6768.5432493442104"/>
    <n v="0"/>
    <n v="0"/>
    <n v="0"/>
    <n v="0"/>
  </r>
  <r>
    <x v="37"/>
    <s v="MVPRP"/>
    <s v="C30"/>
    <s v="P9"/>
    <s v="V3"/>
    <x v="1"/>
    <x v="0"/>
    <s v="OPTIMAL"/>
    <n v="107529.301682925"/>
    <n v="107528.728340099"/>
    <n v="5.3319682864334499E-6"/>
    <n v="1.7604229450225799"/>
    <s v="[]"/>
    <n v="228"/>
    <m/>
    <n v="2"/>
    <n v="0.5"/>
    <n v="100"/>
    <n v="50"/>
    <n v="0"/>
    <n v="2"/>
    <s v="True"/>
    <n v="0.05"/>
    <n v="12000"/>
    <n v="67710"/>
    <n v="16127"/>
    <n v="10222.5"/>
    <n v="979.86778861674304"/>
    <n v="489.93389430837101"/>
    <n v="1469.8016829251101"/>
    <n v="0"/>
    <n v="0"/>
    <n v="0"/>
    <n v="0"/>
  </r>
  <r>
    <x v="38"/>
    <s v="MVPRP"/>
    <s v="C10"/>
    <s v="P9"/>
    <s v="V3"/>
    <x v="1"/>
    <x v="0"/>
    <s v="OPTIMAL"/>
    <n v="50231.331443295901"/>
    <n v="50231.331443295901"/>
    <n v="0"/>
    <n v="0.14565014839172399"/>
    <s v="[]"/>
    <n v="132"/>
    <m/>
    <n v="2"/>
    <n v="0.5"/>
    <n v="100"/>
    <n v="50"/>
    <n v="0"/>
    <n v="2"/>
    <s v="True"/>
    <n v="0.05"/>
    <n v="9000"/>
    <n v="26370"/>
    <n v="8932"/>
    <n v="5527.5"/>
    <n v="267.88762886395301"/>
    <n v="133.94381443197599"/>
    <n v="401.83144329592898"/>
    <n v="0"/>
    <n v="0"/>
    <n v="0"/>
    <n v="0"/>
  </r>
  <r>
    <x v="39"/>
    <s v="MVPRP"/>
    <s v="C30"/>
    <s v="P3"/>
    <s v="V3"/>
    <x v="1"/>
    <x v="0"/>
    <s v="OPTIMAL"/>
    <n v="27975.740465439099"/>
    <n v="27974.317305026201"/>
    <n v="5.0871233049088201E-5"/>
    <n v="0.328365087509155"/>
    <s v="[]"/>
    <n v="228"/>
    <m/>
    <n v="2"/>
    <n v="0.5"/>
    <n v="100"/>
    <n v="50"/>
    <n v="0"/>
    <n v="2"/>
    <s v="True"/>
    <n v="0.05"/>
    <n v="3000"/>
    <n v="16680"/>
    <n v="5126"/>
    <n v="2887"/>
    <n v="188.493643626074"/>
    <n v="94.246821813037101"/>
    <n v="282.74046543911101"/>
    <n v="0"/>
    <n v="0"/>
    <n v="0"/>
    <n v="0"/>
  </r>
  <r>
    <x v="40"/>
    <s v="MVPRP"/>
    <s v="C10"/>
    <s v="P9"/>
    <s v="V3"/>
    <x v="0"/>
    <x v="0"/>
    <s v="OPTIMAL"/>
    <n v="69154.905995275505"/>
    <n v="69154.905995275505"/>
    <n v="0"/>
    <n v="0.124292135238647"/>
    <s v="[]"/>
    <n v="132"/>
    <m/>
    <n v="2"/>
    <n v="0.5"/>
    <n v="100"/>
    <n v="50"/>
    <n v="0"/>
    <n v="2"/>
    <s v="True"/>
    <n v="0.05"/>
    <n v="9000"/>
    <n v="26370"/>
    <n v="12573"/>
    <n v="18892"/>
    <n v="1546.6039968503001"/>
    <n v="773.30199842515106"/>
    <n v="2319.9059952754601"/>
    <n v="0"/>
    <n v="0"/>
    <n v="0"/>
    <n v="0"/>
  </r>
  <r>
    <x v="41"/>
    <s v="MVPRP"/>
    <s v="C25"/>
    <s v="P9"/>
    <s v="V3"/>
    <x v="0"/>
    <x v="0"/>
    <s v="OPTIMAL"/>
    <n v="135894.00648996999"/>
    <n v="135894.00648996999"/>
    <n v="0"/>
    <n v="1.22195196151733"/>
    <s v="[]"/>
    <n v="189"/>
    <m/>
    <n v="2"/>
    <n v="0.5"/>
    <n v="100"/>
    <n v="50"/>
    <n v="0"/>
    <n v="2"/>
    <s v="True"/>
    <n v="0.05"/>
    <n v="9000"/>
    <n v="59880"/>
    <n v="22756"/>
    <n v="35223"/>
    <n v="6023.3376599796902"/>
    <n v="3011.6688299898401"/>
    <n v="9035.0064899695499"/>
    <n v="0"/>
    <n v="0"/>
    <n v="0"/>
    <n v="0"/>
  </r>
  <r>
    <x v="0"/>
    <s v="MVPRP"/>
    <s v="C15"/>
    <s v="P3"/>
    <s v="V3"/>
    <x v="0"/>
    <x v="1"/>
    <s v="OPTIMAL"/>
    <n v="26776.943479216901"/>
    <n v="26776.943479216901"/>
    <n v="0"/>
    <n v="96.257256984710693"/>
    <s v="[(1, 1, 65.99997111111112), (1, 2, 52.999978888888876), (2, 1, 60.0), (2, 2, 66.0), (3, 1, 64.99988444444448), (3, 2, 21.99997555555559)]"/>
    <n v="132"/>
    <m/>
    <n v="2"/>
    <n v="0.5"/>
    <n v="100"/>
    <n v="50"/>
    <n v="0"/>
    <m/>
    <s v="True"/>
    <n v="0.05"/>
    <n v="3000"/>
    <n v="9960"/>
    <n v="3841.99971777778"/>
    <n v="9974.9437614391409"/>
    <n v="-1"/>
    <n v="-1"/>
    <n v="-1"/>
    <m/>
    <m/>
    <m/>
    <m/>
  </r>
  <r>
    <x v="1"/>
    <s v="MVPRP"/>
    <s v="C30"/>
    <s v="P9"/>
    <s v="V3"/>
    <x v="0"/>
    <x v="1"/>
    <s v="TIME_LIMIT"/>
    <n v="157657.821480538"/>
    <n v="130614.944393093"/>
    <n v="0.171528927860917"/>
    <n v="3600.2395980358101"/>
    <s v="[(2, 1, 109.0), (2, 2, 36.0), (3, -2, 174.0), (3, 1, 85.0), (3, 2, 68.0), (4, 1, 95.0), (4, 2, 0), (4, 3, 56.0), (4, 4, 47.0), (5, -2, 30.0), (5, 1, 102.0), (5, 2, 114.0), (5, 3, 67.0), (6, -2, 228.0), (6, 1, 52.0), (6, 2, 114.0), (6, 3, 113.0), (7, -2, 197.0), (7, 1, 114.0), (7, 2, 114.0), (8, 1, 114.0), (8, 2, 114.0), (8, 3, 114.0)]"/>
    <n v="228"/>
    <m/>
    <n v="2"/>
    <n v="0.5"/>
    <n v="100"/>
    <n v="50"/>
    <n v="0"/>
    <m/>
    <s v="True"/>
    <n v="0.05"/>
    <n v="12000"/>
    <n v="67710"/>
    <n v="28583"/>
    <n v="49364.821480537801"/>
    <n v="-1"/>
    <n v="-1"/>
    <n v="-1"/>
    <m/>
    <m/>
    <m/>
    <m/>
  </r>
  <r>
    <x v="2"/>
    <s v="MVPRP"/>
    <s v="C15"/>
    <s v="P9"/>
    <s v="V3"/>
    <x v="1"/>
    <x v="1"/>
    <s v="TIME_LIMIT"/>
    <n v="73717.314924689694"/>
    <n v="71692.915113215393"/>
    <n v="2.7461659632374302E-2"/>
    <n v="3600.0716583728799"/>
    <s v="[(2, 1, 64.00005065116264), (2, 2, 65.0), (2, 3, 66.0), (4, 1, 66.0), (4, 2, 47.00000000000001), (5, 1, 56.0), (5, 2, 66.0), (6, -2, 131.00006371383085), (6, 1, 61.00007597674419), (6, 2, 57.000045586046525), (6, 3, 59.0), (6, 4, 37.99990376279069), (7, 1, 64.99967076744183), (7, 2, 59.0), (8, -2, 120.00019339534889), (8, 1, 52.0), (8, 2, 64.00005986046513), (8, 3, 37.99990213165154), (9, 1, 66.0), (9, 2, 65.99969609302319), (9, 3, 58.999696093023175)]"/>
    <n v="132"/>
    <m/>
    <n v="2"/>
    <n v="0.5"/>
    <n v="100"/>
    <n v="50"/>
    <n v="0"/>
    <m/>
    <s v="True"/>
    <n v="0.05"/>
    <n v="9000"/>
    <n v="40950"/>
    <n v="13697.004142903599"/>
    <n v="10070.3107817861"/>
    <n v="-1"/>
    <n v="-1"/>
    <n v="-1"/>
    <m/>
    <m/>
    <m/>
    <m/>
  </r>
  <r>
    <x v="3"/>
    <s v="MVPRP"/>
    <s v="C40"/>
    <s v="P3"/>
    <s v="V3"/>
    <x v="0"/>
    <x v="1"/>
    <s v="TIME_LIMIT"/>
    <n v="55442.306989568999"/>
    <n v="52779.501307745799"/>
    <n v="4.8028406940646001E-2"/>
    <n v="3600.1434149742099"/>
    <s v="[(1, 1, 180.0), (1, 2, 180.0), (2, 1, 180.0), (2, 2, 22.0), (3, 1, 180.0), (3, 2, 180.0)]"/>
    <n v="360"/>
    <m/>
    <n v="2"/>
    <n v="0.5"/>
    <n v="100"/>
    <n v="50"/>
    <n v="0"/>
    <m/>
    <s v="True"/>
    <n v="0.05"/>
    <n v="3000"/>
    <n v="27660"/>
    <n v="9547"/>
    <n v="15235.306989569101"/>
    <n v="-1"/>
    <n v="-1"/>
    <n v="-1"/>
    <m/>
    <m/>
    <m/>
    <m/>
  </r>
  <r>
    <x v="4"/>
    <s v="MVPRP"/>
    <s v="C40"/>
    <s v="P3"/>
    <s v="V3"/>
    <x v="1"/>
    <x v="1"/>
    <s v="TIME_LIMIT"/>
    <n v="42745.741727257198"/>
    <n v="42222.871714756599"/>
    <n v="1.22320959088001E-2"/>
    <n v="3600.1835372447999"/>
    <s v="[(1, 1, 136.0), (2, 1, 179.0), (2, 2, 73.0), (3, 1, 176.0), (3, 2, 178.0), (3, 3, 180.0)]"/>
    <n v="360"/>
    <m/>
    <n v="2"/>
    <n v="0.5"/>
    <n v="100"/>
    <n v="50"/>
    <n v="0"/>
    <m/>
    <s v="True"/>
    <n v="0.05"/>
    <n v="6000"/>
    <n v="27660"/>
    <n v="4731"/>
    <n v="4354.7417272571702"/>
    <n v="-1"/>
    <n v="-1"/>
    <n v="-1"/>
    <m/>
    <m/>
    <m/>
    <m/>
  </r>
  <r>
    <x v="5"/>
    <s v="MVPRP"/>
    <s v="C20"/>
    <s v="P6"/>
    <s v="V3"/>
    <x v="1"/>
    <x v="1"/>
    <s v="OPTIMAL"/>
    <n v="46354.875063957501"/>
    <n v="46351.189802901397"/>
    <n v="7.9501046028155405E-5"/>
    <n v="1966.58666706085"/>
    <s v="[(2, 1, 89.0), (2, 2, 86.0), (3, 1, 94.0), (4, 1, 94.0), (5, 1, 94.0), (5, 2, 94.0), (5, 3, 58.0), (6, 1, 91.0), (6, 2, 94.0)]"/>
    <n v="189"/>
    <m/>
    <n v="2"/>
    <n v="0.5"/>
    <n v="100"/>
    <n v="50"/>
    <n v="0"/>
    <m/>
    <s v="True"/>
    <n v="0.05"/>
    <n v="6000"/>
    <n v="23820"/>
    <n v="12089"/>
    <n v="4445.8750639574901"/>
    <n v="-1"/>
    <n v="-1"/>
    <n v="-1"/>
    <m/>
    <m/>
    <m/>
    <m/>
  </r>
  <r>
    <x v="6"/>
    <s v="MVPRP"/>
    <s v="C10"/>
    <s v="P3"/>
    <s v="V3"/>
    <x v="1"/>
    <x v="1"/>
    <s v="OPTIMAL"/>
    <n v="13310.3697351343"/>
    <n v="13310.3697351343"/>
    <n v="0"/>
    <n v="1.6492121219635001"/>
    <s v="[(1, 1, 61.0), (2, 1, 41.0), (3, 1, 63.0), (3, 2, 48.0)]"/>
    <n v="132"/>
    <m/>
    <n v="2"/>
    <n v="0.5"/>
    <n v="100"/>
    <n v="50"/>
    <n v="0"/>
    <m/>
    <s v="True"/>
    <n v="0.05"/>
    <n v="3000"/>
    <n v="6390"/>
    <n v="2223"/>
    <n v="1697.3697351343601"/>
    <n v="-1"/>
    <n v="-1"/>
    <n v="-1"/>
    <m/>
    <m/>
    <m/>
    <m/>
  </r>
  <r>
    <x v="7"/>
    <s v="MVPRP"/>
    <s v="C45"/>
    <s v="P3"/>
    <s v="V3"/>
    <x v="0"/>
    <x v="1"/>
    <s v="TIME_LIMIT"/>
    <n v="68503.6573462745"/>
    <n v="60207.194066633303"/>
    <n v="0.121109785973966"/>
    <n v="3600.0934727191898"/>
    <s v="[(1, -2, 267.0), (1, 1, 176.0), (1, 2, 96.0), (1, 3, 87.0), (2, 1, 180.0), (3, 1, 180.0), (3, 2, 116.0)]"/>
    <n v="360"/>
    <m/>
    <n v="2"/>
    <n v="0.5"/>
    <n v="100"/>
    <n v="50"/>
    <n v="0"/>
    <m/>
    <s v="True"/>
    <n v="0.05"/>
    <n v="3000"/>
    <n v="33060"/>
    <n v="12243"/>
    <n v="20200.6573462745"/>
    <n v="-1"/>
    <n v="-1"/>
    <n v="-1"/>
    <m/>
    <m/>
    <m/>
    <m/>
  </r>
  <r>
    <x v="8"/>
    <s v="MVPRP"/>
    <s v="C20"/>
    <s v="P3"/>
    <s v="V3"/>
    <x v="1"/>
    <x v="1"/>
    <s v="OPTIMAL"/>
    <n v="21378.120408857201"/>
    <n v="21378.120408857201"/>
    <n v="0"/>
    <n v="54.9741306304932"/>
    <s v="[(1, 1, 71.0), (1, 2, 60.0), (2, 1, 85.0), (3, 1, 91.0), (3, 2, 94.0)]"/>
    <n v="189"/>
    <m/>
    <n v="2"/>
    <n v="0.5"/>
    <n v="100"/>
    <n v="50"/>
    <n v="0"/>
    <m/>
    <s v="True"/>
    <n v="0.05"/>
    <n v="3000"/>
    <n v="12030"/>
    <n v="3827"/>
    <n v="2521.1204088572299"/>
    <n v="-1"/>
    <n v="-1"/>
    <n v="-1"/>
    <m/>
    <m/>
    <m/>
    <m/>
  </r>
  <r>
    <x v="9"/>
    <s v="MVPRP"/>
    <s v="C35"/>
    <s v="P3"/>
    <s v="V3"/>
    <x v="0"/>
    <x v="1"/>
    <s v="TIME_LIMIT"/>
    <n v="46757.813169665103"/>
    <n v="43252.147205412097"/>
    <n v="7.4974976941977897E-2"/>
    <n v="3600.18128275871"/>
    <s v="[(1, -2, 32.0), (1, 1, 138.0), (1, 2, 138.0), (2, 1, 138.0), (2, 2, 136.0), (3, 1, 138.0)]"/>
    <n v="276"/>
    <m/>
    <n v="2"/>
    <n v="0.5"/>
    <n v="100"/>
    <n v="50"/>
    <n v="0"/>
    <m/>
    <s v="True"/>
    <n v="0.05"/>
    <n v="3000"/>
    <n v="21600"/>
    <n v="7707"/>
    <n v="14450.8131696651"/>
    <n v="-1"/>
    <n v="-1"/>
    <n v="-1"/>
    <m/>
    <m/>
    <m/>
    <m/>
  </r>
  <r>
    <x v="10"/>
    <s v="MVPRP"/>
    <s v="C40"/>
    <s v="P6"/>
    <s v="V3"/>
    <x v="1"/>
    <x v="1"/>
    <s v="TIME_LIMIT"/>
    <n v="99987.190311141501"/>
    <n v="92745.055819965404"/>
    <n v="7.2430623049211607E-2"/>
    <n v="3600.2684252262102"/>
    <s v="[(2, -2, 14.0), (2, 1, 101.0), (2, 2, 72.0), (2, 3, 62.0), (2, 4, 34.0), (3, 1, 180.0), (3, 2, 14.0), (3, 3, 96.0), (4, -2, 71.0), (4, 1, 121.0), (4, 2, 57.0), (5, -2, 266.0), (5, 1, 180.0), (5, 2, 146.0), (6, 1, 170.0), (6, 2, 97.0), (6, 3, 144.0), (6, 4, 14.0)]"/>
    <n v="360"/>
    <m/>
    <n v="2"/>
    <n v="0.5"/>
    <n v="100"/>
    <n v="50"/>
    <n v="0"/>
    <m/>
    <s v="True"/>
    <n v="0.05"/>
    <n v="6000"/>
    <n v="55170"/>
    <n v="27231"/>
    <n v="11586.190311141499"/>
    <n v="-1"/>
    <n v="-1"/>
    <n v="-1"/>
    <m/>
    <m/>
    <m/>
    <m/>
  </r>
  <r>
    <x v="11"/>
    <s v="MVPRP"/>
    <s v="C10"/>
    <s v="P3"/>
    <s v="V3"/>
    <x v="0"/>
    <x v="1"/>
    <s v="OPTIMAL"/>
    <n v="18058.295875612901"/>
    <n v="18058.295875612901"/>
    <n v="0"/>
    <n v="2.6474487781524698"/>
    <s v="[(1, 1, 61.0), (1, 2, 25.0), (2, 1, 64.0), (2, 2, 63.0)]"/>
    <n v="132"/>
    <m/>
    <n v="2"/>
    <n v="0.5"/>
    <n v="100"/>
    <n v="50"/>
    <n v="0"/>
    <m/>
    <s v="True"/>
    <n v="0.05"/>
    <n v="3000"/>
    <n v="6390"/>
    <n v="2860"/>
    <n v="5808.2958756129101"/>
    <n v="-1"/>
    <n v="-1"/>
    <n v="-1"/>
    <m/>
    <m/>
    <m/>
    <m/>
  </r>
  <r>
    <x v="12"/>
    <s v="MVPRP"/>
    <s v="C30"/>
    <s v="P3"/>
    <s v="V3"/>
    <x v="0"/>
    <x v="1"/>
    <s v="TIME_LIMIT"/>
    <n v="36515.833673796398"/>
    <n v="35987.131236411798"/>
    <n v="1.44787174272826E-2"/>
    <n v="3600.0739946365402"/>
    <s v="[(1, 1, 114.0), (1, 2, 113.0), (2, 1, 114.0), (2, 2, 114.0), (3, 1, 101.0)]"/>
    <n v="228"/>
    <m/>
    <n v="2"/>
    <n v="0.5"/>
    <n v="100"/>
    <n v="50"/>
    <n v="0"/>
    <m/>
    <s v="True"/>
    <n v="0.05"/>
    <n v="3000"/>
    <n v="16680"/>
    <n v="6214"/>
    <n v="10621.8336737964"/>
    <n v="-1"/>
    <n v="-1"/>
    <n v="-1"/>
    <m/>
    <m/>
    <m/>
    <m/>
  </r>
  <r>
    <x v="13"/>
    <s v="MVPRP"/>
    <s v="C20"/>
    <s v="P3"/>
    <s v="V3"/>
    <x v="0"/>
    <x v="1"/>
    <s v="OPTIMAL"/>
    <n v="29250.8296868258"/>
    <n v="29250.8296868258"/>
    <n v="0"/>
    <n v="132.74919962883001"/>
    <s v="[(1, 1, 72.0), (1, 2, 79.0), (1, 3, 69.0), (2, 1, 93.0), (3, 1, 88.0)]"/>
    <n v="189"/>
    <m/>
    <n v="2"/>
    <n v="0.5"/>
    <n v="100"/>
    <n v="50"/>
    <n v="0"/>
    <m/>
    <s v="True"/>
    <n v="0.05"/>
    <n v="3000"/>
    <n v="12030"/>
    <n v="4645"/>
    <n v="9575.8296868258494"/>
    <n v="-1"/>
    <n v="-1"/>
    <n v="-1"/>
    <m/>
    <m/>
    <m/>
    <m/>
  </r>
  <r>
    <x v="14"/>
    <s v="MVPRP"/>
    <s v="C35"/>
    <s v="P6"/>
    <s v="V3"/>
    <x v="0"/>
    <x v="1"/>
    <s v="TIME_LIMIT"/>
    <n v="99325.829583081199"/>
    <n v="87617.019638080907"/>
    <n v="0.11788283062067401"/>
    <n v="3600.0582647323599"/>
    <s v="[(2, 1, 129.0), (2, 2, 122.0), (3, -2, 276.0), (3, 1, 138.0), (3, 2, 75.0), (4, 1, 138.0), (5, -2, 276.0), (5, 1, 138.0), (6, 1, 138.0)]"/>
    <n v="276"/>
    <m/>
    <n v="2"/>
    <n v="0.5"/>
    <n v="100"/>
    <n v="50"/>
    <n v="0"/>
    <m/>
    <s v="True"/>
    <n v="0.05"/>
    <n v="9000"/>
    <n v="42900"/>
    <n v="22217"/>
    <n v="25208.829583081199"/>
    <n v="-1"/>
    <n v="-1"/>
    <n v="-1"/>
    <m/>
    <m/>
    <m/>
    <m/>
  </r>
  <r>
    <x v="15"/>
    <s v="MVPRP"/>
    <s v="C25"/>
    <s v="P6"/>
    <s v="V3"/>
    <x v="0"/>
    <x v="1"/>
    <s v="TIME_LIMIT"/>
    <n v="72882.669112570497"/>
    <n v="69010.127646422407"/>
    <n v="5.31339139098592E-2"/>
    <n v="3600.0397450923901"/>
    <s v="[(2, 1, 94.0), (2, 2, 92.0), (2, 3, 86.0), (3, 1, 94.0), (3, 2, 36.0), (4, 1, 94.0), (4, 2, 74.0), (5, 1, 94.0), (5, 2, 94.0), (6, 1, 94.0), (6, 2, 94.0)]"/>
    <n v="189"/>
    <m/>
    <n v="2"/>
    <n v="0.5"/>
    <n v="100"/>
    <n v="50"/>
    <n v="0"/>
    <m/>
    <s v="True"/>
    <n v="0.05"/>
    <n v="6000"/>
    <n v="28380"/>
    <n v="19684"/>
    <n v="18818.6691125705"/>
    <n v="-1"/>
    <n v="-1"/>
    <n v="-1"/>
    <m/>
    <m/>
    <m/>
    <m/>
  </r>
  <r>
    <x v="16"/>
    <s v="MVPRP"/>
    <s v="C15"/>
    <s v="P6"/>
    <s v="V3"/>
    <x v="0"/>
    <x v="1"/>
    <s v="TIME_LIMIT"/>
    <n v="55753.511068026899"/>
    <n v="54594.489940477302"/>
    <n v="2.0788307415032899E-2"/>
    <n v="3600.0532271861998"/>
    <s v="[(2, 1, 64.0), (2, 2, 64.0), (3, 1, 66.0), (3, 2, 66.0), (3, 3, 39.0), (5, -2, 132.0), (5, 1, 66.0), (5, 2, 66.0), (5, 3, 38.0), (6, 1, 59.0)]"/>
    <n v="132"/>
    <m/>
    <n v="2"/>
    <n v="0.5"/>
    <n v="100"/>
    <n v="50"/>
    <n v="0"/>
    <m/>
    <s v="True"/>
    <n v="0.05"/>
    <n v="6000"/>
    <n v="19800"/>
    <n v="12069"/>
    <n v="17884.511068026899"/>
    <n v="-1"/>
    <n v="-1"/>
    <n v="-1"/>
    <m/>
    <m/>
    <m/>
    <m/>
  </r>
  <r>
    <x v="17"/>
    <s v="MVPRP"/>
    <s v="C50"/>
    <s v="P3"/>
    <s v="V3"/>
    <x v="0"/>
    <x v="1"/>
    <s v="TIME_LIMIT"/>
    <n v="62759.488721913804"/>
    <n v="57039.4868653382"/>
    <n v="9.1141626120008604E-2"/>
    <n v="3600.0841708183302"/>
    <s v="[(1, 1, 180.0), (1, 2, 136.0), (2, 1, 180.0), (2, 2, 180.0), (3, 1, 130.0), (3, 2, 180.0)]"/>
    <n v="360"/>
    <m/>
    <n v="2"/>
    <n v="0.5"/>
    <n v="100"/>
    <n v="50"/>
    <n v="0"/>
    <m/>
    <s v="True"/>
    <n v="0.05"/>
    <n v="3000"/>
    <n v="29580"/>
    <n v="10547"/>
    <n v="19632.4887219138"/>
    <n v="-1"/>
    <n v="-1"/>
    <n v="-1"/>
    <m/>
    <m/>
    <m/>
    <m/>
  </r>
  <r>
    <x v="18"/>
    <s v="MVPRP"/>
    <s v="C30"/>
    <s v="P6"/>
    <s v="V3"/>
    <x v="0"/>
    <x v="1"/>
    <s v="TIME_LIMIT"/>
    <n v="81327.520434716396"/>
    <n v="73549.844015917406"/>
    <n v="9.5634004052077004E-2"/>
    <n v="3600.1991057395899"/>
    <s v="[(2, 1, 109.0), (2, 2, 85.0), (3, 1, 47.0), (3, 2, 110.0), (4, 1, 113.0), (4, 2, 114.0), (5, -2, 80.0), (5, 1, 114.0), (5, 2, 92.0), (5, 3, 114.0), (6, 1, 114.0), (6, 2, 13.0)]"/>
    <n v="228"/>
    <m/>
    <n v="2"/>
    <n v="0.5"/>
    <n v="100"/>
    <n v="50"/>
    <n v="0"/>
    <m/>
    <s v="True"/>
    <n v="0.05"/>
    <n v="6000"/>
    <n v="33150"/>
    <n v="18276"/>
    <n v="23901.5204347164"/>
    <n v="-1"/>
    <n v="-1"/>
    <n v="-1"/>
    <m/>
    <m/>
    <m/>
    <m/>
  </r>
  <r>
    <x v="19"/>
    <s v="MVPRP"/>
    <s v="C45"/>
    <s v="P3"/>
    <s v="V3"/>
    <x v="1"/>
    <x v="1"/>
    <s v="TIME_LIMIT"/>
    <n v="49012.054775515098"/>
    <n v="48318.6472474275"/>
    <n v="1.4147693486093099E-2"/>
    <n v="3600.16135978699"/>
    <s v="[(1, 1, 141.0), (2, 1, 162.0), (2, 2, 172.0), (3, -2, 291.0), (3, 1, 165.0), (3, 2, 171.0)]"/>
    <n v="360"/>
    <m/>
    <n v="2"/>
    <n v="0.5"/>
    <n v="100"/>
    <n v="50"/>
    <n v="0"/>
    <m/>
    <s v="True"/>
    <n v="0.05"/>
    <n v="6000"/>
    <n v="33060"/>
    <n v="5021"/>
    <n v="4931.0547755151301"/>
    <n v="-1"/>
    <n v="-1"/>
    <n v="-1"/>
    <m/>
    <m/>
    <m/>
    <m/>
  </r>
  <r>
    <x v="20"/>
    <s v="MVPRP"/>
    <s v="C25"/>
    <s v="P6"/>
    <s v="V3"/>
    <x v="1"/>
    <x v="1"/>
    <s v="TIME_LIMIT"/>
    <n v="55725.301065368498"/>
    <n v="55488.430761960903"/>
    <n v="4.25067785869266E-3"/>
    <n v="3600.0831887722002"/>
    <s v="[(2, 1, 94.0), (2, 2, 66.0), (3, 1, 90.0), (3, 2, 58.0), (4, 1, 90.0), (5, 1, 93.0), (5, 2, 94.0), (5, 3, 79.0), (6, 1, 94.0), (6, 2, 94.0), (6, 3, 94.0)]"/>
    <n v="189"/>
    <m/>
    <n v="2"/>
    <n v="0.5"/>
    <n v="100"/>
    <n v="50"/>
    <n v="0"/>
    <m/>
    <s v="True"/>
    <n v="0.05"/>
    <n v="6000"/>
    <n v="28380"/>
    <n v="16195"/>
    <n v="5150.3010653684596"/>
    <n v="-1"/>
    <n v="-1"/>
    <n v="-1"/>
    <m/>
    <m/>
    <m/>
    <m/>
  </r>
  <r>
    <x v="21"/>
    <s v="MVPRP"/>
    <s v="C35"/>
    <s v="P6"/>
    <s v="V3"/>
    <x v="1"/>
    <x v="1"/>
    <s v="TIME_LIMIT"/>
    <n v="74655.621031930597"/>
    <n v="72147.231062062201"/>
    <n v="3.35994789835787E-2"/>
    <n v="3600.4885809421498"/>
    <s v="[(2, 1, 129.0), (3, 1, 138.0), (3, 2, 126.0), (3, 3, 27.0), (4, 1, 138.0), (4, 2, 44.0), (5, -2, 276.0), (5, 1, 138.0), (5, 2, 138.0), (6, 1, 138.0), (6, 2, 138.0)]"/>
    <n v="276"/>
    <m/>
    <n v="2"/>
    <n v="0.5"/>
    <n v="100"/>
    <n v="50"/>
    <n v="0"/>
    <m/>
    <s v="True"/>
    <n v="0.05"/>
    <n v="6000"/>
    <n v="42900"/>
    <n v="18088"/>
    <n v="7667.6210319314896"/>
    <n v="-1"/>
    <n v="-1"/>
    <n v="-1"/>
    <m/>
    <m/>
    <m/>
    <m/>
  </r>
  <r>
    <x v="22"/>
    <s v="MVPRP"/>
    <s v="C25"/>
    <s v="P3"/>
    <s v="V3"/>
    <x v="1"/>
    <x v="1"/>
    <s v="OPTIMAL"/>
    <n v="25160.310285837098"/>
    <n v="25160.310285837098"/>
    <n v="0"/>
    <n v="159.57117414474499"/>
    <s v="[(1, 1, 91.0), (1, 2, 47.0), (2, 1, 85.0), (3, 1, 91.0), (3, 2, 94.0), (3, 3, 70.0)]"/>
    <n v="189"/>
    <m/>
    <n v="2"/>
    <n v="0.5"/>
    <n v="100"/>
    <n v="50"/>
    <n v="0"/>
    <m/>
    <s v="True"/>
    <n v="0.05"/>
    <n v="3000"/>
    <n v="14340"/>
    <n v="4935"/>
    <n v="2885.3102858371199"/>
    <n v="-1"/>
    <n v="-1"/>
    <n v="-1"/>
    <m/>
    <m/>
    <m/>
    <m/>
  </r>
  <r>
    <x v="23"/>
    <s v="MVPRP"/>
    <s v="C10"/>
    <s v="P6"/>
    <s v="V3"/>
    <x v="1"/>
    <x v="1"/>
    <s v="OPTIMAL"/>
    <n v="28912.325360672399"/>
    <n v="28912.325360672399"/>
    <n v="0"/>
    <n v="9.4827632904052699"/>
    <s v="[(2, 1, 65.0), (3, 1, 51.0), (4, 1, 60.0), (5, 1, 61.0), (5, 2, 61.0), (6, 1, 66.0), (6, 2, 59.0)]"/>
    <n v="132"/>
    <m/>
    <n v="2"/>
    <n v="0.5"/>
    <n v="100"/>
    <n v="50"/>
    <n v="0"/>
    <m/>
    <s v="True"/>
    <n v="0.05"/>
    <n v="6000"/>
    <n v="12690"/>
    <n v="7073"/>
    <n v="3149.3253606723902"/>
    <n v="-1"/>
    <n v="-1"/>
    <n v="-1"/>
    <m/>
    <m/>
    <m/>
    <m/>
  </r>
  <r>
    <x v="24"/>
    <s v="MVPRP"/>
    <s v="C35"/>
    <s v="P3"/>
    <s v="V3"/>
    <x v="1"/>
    <x v="1"/>
    <s v="TIME_LIMIT"/>
    <n v="34466.262315235297"/>
    <n v="34117.230129068899"/>
    <n v="1.01267779770884E-2"/>
    <n v="3600.0682177543599"/>
    <s v="[(1, 1, 125.0), (1, 2, 123.0), (2, 1, 95.0), (3, 1, 135.0), (3, 2, 138.0), (3, 3, 104.0)]"/>
    <n v="276"/>
    <m/>
    <n v="2"/>
    <n v="0.5"/>
    <n v="100"/>
    <n v="50"/>
    <n v="0"/>
    <m/>
    <s v="True"/>
    <n v="0.05"/>
    <n v="3000"/>
    <n v="21600"/>
    <n v="6452"/>
    <n v="3414.2623152353199"/>
    <n v="-1"/>
    <n v="-1"/>
    <n v="-1"/>
    <m/>
    <m/>
    <m/>
    <m/>
  </r>
  <r>
    <x v="25"/>
    <s v="MVPRP"/>
    <s v="C10"/>
    <s v="P6"/>
    <s v="V3"/>
    <x v="0"/>
    <x v="1"/>
    <s v="OPTIMAL"/>
    <n v="37774.950416902298"/>
    <n v="37774.950416902298"/>
    <n v="0"/>
    <n v="46.119750261306798"/>
    <s v="[(2, 1, 66.0), (2, 2, 30.0), (3, 1, 66.0), (3, 2, 66.0), (5, 1, 66.0), (5, 2, 66.0), (6, 1, 63.0)]"/>
    <n v="132"/>
    <m/>
    <n v="2"/>
    <n v="0.5"/>
    <n v="100"/>
    <n v="50"/>
    <n v="0"/>
    <m/>
    <s v="True"/>
    <n v="0.05"/>
    <n v="6000"/>
    <n v="12690"/>
    <n v="8619"/>
    <n v="10465.9504169023"/>
    <n v="-1"/>
    <n v="-1"/>
    <n v="-1"/>
    <m/>
    <m/>
    <m/>
    <m/>
  </r>
  <r>
    <x v="26"/>
    <s v="MVPRP"/>
    <s v="C50"/>
    <s v="P3"/>
    <s v="V3"/>
    <x v="1"/>
    <x v="1"/>
    <s v="TIME_LIMIT"/>
    <n v="45747.905895398297"/>
    <n v="44651.431294652903"/>
    <n v="2.3967755010524699E-2"/>
    <n v="3600.1454582214401"/>
    <s v="[(1, 1, 156.0), (2, 1, 180.0), (2, 2, 110.0), (3, 1, 180.0), (3, 2, 180.0), (3, 3, 180.0)]"/>
    <n v="360"/>
    <m/>
    <n v="2"/>
    <n v="0.5"/>
    <n v="100"/>
    <n v="50"/>
    <n v="0"/>
    <m/>
    <s v="True"/>
    <n v="0.05"/>
    <n v="6000"/>
    <n v="29580"/>
    <n v="5523"/>
    <n v="4644.9058953983304"/>
    <n v="-1"/>
    <n v="-1"/>
    <n v="-1"/>
    <m/>
    <m/>
    <m/>
    <m/>
  </r>
  <r>
    <x v="27"/>
    <s v="MVPRP"/>
    <s v="C30"/>
    <s v="P6"/>
    <s v="V3"/>
    <x v="1"/>
    <x v="1"/>
    <s v="TIME_LIMIT"/>
    <n v="59786.768739537103"/>
    <n v="59210.413966135398"/>
    <n v="9.6401726594840999E-3"/>
    <n v="3600.0621676444998"/>
    <s v="[(2, 1, 111.0), (3, 1, 112.0), (3, 2, 109.0), (4, 1, 97.0), (5, 1, 113.0), (5, 2, 113.0), (5, 3, 113.0), (6, 1, 114.0), (6, 2, 114.0), (6, 3, 109.0)]"/>
    <n v="228"/>
    <m/>
    <n v="2"/>
    <n v="0.5"/>
    <n v="100"/>
    <n v="50"/>
    <n v="0"/>
    <m/>
    <s v="True"/>
    <n v="0.05"/>
    <n v="6000"/>
    <n v="33150"/>
    <n v="15190"/>
    <n v="5446.7687395371304"/>
    <n v="-1"/>
    <n v="-1"/>
    <n v="-1"/>
    <m/>
    <m/>
    <m/>
    <m/>
  </r>
  <r>
    <x v="28"/>
    <s v="MVPRP"/>
    <s v="C25"/>
    <s v="P9"/>
    <s v="V3"/>
    <x v="1"/>
    <x v="1"/>
    <s v="TIME_LIMIT"/>
    <n v="100009.872030873"/>
    <n v="97572.951477217299"/>
    <n v="2.43668000385317E-2"/>
    <n v="3600.1429238319402"/>
    <s v="[(2, 1, 94.0), (2, 2, 94.0), (2, 3, 78.0), (3, 1, 94.0), (4, 1, 94.0), (5, 1, 94.0), (5, 2, 53.0), (6, -2, 184.0), (6, 1, 90.0), (6, 2, 94.0), (6, 3, 65.0), (7, 1, 94.0), (7, 2, 79.0), (7, 3, 90.0), (8, -2, 232.0), (8, 1, 94.0), (8, 2, 94.0), (9, 1, 91.0), (9, 2, 94.0), (9, 3, 94.0)]"/>
    <n v="189"/>
    <m/>
    <n v="2"/>
    <n v="0.5"/>
    <n v="100"/>
    <n v="50"/>
    <n v="0"/>
    <m/>
    <s v="True"/>
    <n v="0.05"/>
    <n v="9000"/>
    <n v="59880"/>
    <n v="20372"/>
    <n v="10757.872030872801"/>
    <n v="-1"/>
    <n v="-1"/>
    <n v="-1"/>
    <m/>
    <m/>
    <m/>
    <m/>
  </r>
  <r>
    <x v="29"/>
    <s v="MVPRP"/>
    <s v="C25"/>
    <s v="P3"/>
    <s v="V3"/>
    <x v="0"/>
    <x v="1"/>
    <s v="OPTIMAL"/>
    <n v="34032.056398000197"/>
    <n v="34028.930519911701"/>
    <n v="9.1850990487900096E-5"/>
    <n v="1203.1169180870099"/>
    <s v="[(1, 1, 92.0), (1, 2, 93.0), (1, 3, 91.0), (2, 1, 90.0), (2, 2, 18.0), (3, 1, 94.0)]"/>
    <n v="189"/>
    <m/>
    <n v="2"/>
    <n v="0.5"/>
    <n v="100"/>
    <n v="50"/>
    <n v="0"/>
    <m/>
    <s v="True"/>
    <n v="0.05"/>
    <n v="3000"/>
    <n v="14340"/>
    <n v="6199"/>
    <n v="10493.056398000201"/>
    <n v="-1"/>
    <n v="-1"/>
    <n v="-1"/>
    <m/>
    <m/>
    <m/>
    <m/>
  </r>
  <r>
    <x v="30"/>
    <s v="MVPRP"/>
    <s v="C15"/>
    <s v="P6"/>
    <s v="V3"/>
    <x v="1"/>
    <x v="1"/>
    <s v="TIME_LIMIT"/>
    <n v="41262.2486082865"/>
    <n v="40988.612591177"/>
    <n v="6.6316312449948202E-3"/>
    <n v="3600.0509643554701"/>
    <s v="[(2, 1, 65.0), (3, 1, 64.0), (3, 2, 29.0), (4, 1, 61.0), (4, 2, 56.999999256666506), (5, 1, 66.0), (5, 2, 61.0), (5, 3, 65.99999953000041), (6, 1, 66.0), (6, 2, 66.0), (6, 3, 59.0)]"/>
    <n v="132"/>
    <m/>
    <n v="2"/>
    <n v="0.5"/>
    <n v="100"/>
    <n v="50"/>
    <n v="0"/>
    <m/>
    <s v="True"/>
    <n v="0.05"/>
    <n v="6000"/>
    <n v="19799.999915550001"/>
    <n v="10321.99997463"/>
    <n v="5140.2487181064698"/>
    <n v="-1"/>
    <n v="-1"/>
    <n v="-1"/>
    <m/>
    <m/>
    <m/>
    <m/>
  </r>
  <r>
    <x v="31"/>
    <s v="MVPRP"/>
    <s v="C15"/>
    <s v="P3"/>
    <s v="V3"/>
    <x v="1"/>
    <x v="1"/>
    <s v="OPTIMAL"/>
    <n v="18956.9855368877"/>
    <n v="18956.9855368877"/>
    <n v="0"/>
    <n v="72.067611455917401"/>
    <s v="[(1, 1, 65.0), (1, 2, 32.0), (2, 1, 65.0), (2, 2, 38.0), (3, 1, 66.0), (3, 2, 66.0)]"/>
    <n v="132"/>
    <m/>
    <n v="2"/>
    <n v="0.5"/>
    <n v="100"/>
    <n v="50"/>
    <n v="0"/>
    <m/>
    <s v="True"/>
    <n v="0.05"/>
    <n v="3000"/>
    <n v="9960"/>
    <n v="3583"/>
    <n v="2413.9855368877302"/>
    <n v="-1"/>
    <n v="-1"/>
    <n v="-1"/>
    <m/>
    <m/>
    <m/>
    <m/>
  </r>
  <r>
    <x v="32"/>
    <s v="MVPRP"/>
    <s v="C20"/>
    <s v="P6"/>
    <s v="V3"/>
    <x v="0"/>
    <x v="1"/>
    <s v="TIME_LIMIT"/>
    <n v="60849.287344152202"/>
    <n v="59052.642768488797"/>
    <n v="2.9526139977646599E-2"/>
    <n v="3600.0613012313802"/>
    <s v="[(2, 1, 94.0), (2, 2, 88.99999905333226), (2, 3, 78.0), (3, 1, 94.0), (4, 1, 93.99999999999991), (5, 1, 78.0), (5, 2, 94.00000000000023), (6, 1, 90.0), (6, 2, 83.0)]"/>
    <n v="189"/>
    <m/>
    <n v="2"/>
    <n v="0.5"/>
    <n v="100"/>
    <n v="50"/>
    <n v="0"/>
    <m/>
    <s v="True"/>
    <n v="0.05"/>
    <n v="6000"/>
    <n v="23819.999971500001"/>
    <n v="13992.9999697066"/>
    <n v="17036.2874029456"/>
    <n v="-1"/>
    <n v="-1"/>
    <n v="-1"/>
    <m/>
    <m/>
    <m/>
    <m/>
  </r>
  <r>
    <x v="33"/>
    <s v="MVPRP"/>
    <s v="C20"/>
    <s v="P9"/>
    <s v="V3"/>
    <x v="0"/>
    <x v="1"/>
    <s v="TIME_LIMIT"/>
    <n v="110207.29372188701"/>
    <n v="101863.38213030199"/>
    <n v="7.5711065119167295E-2"/>
    <n v="3600.06781983376"/>
    <s v="[(2, -2, 166.0), (2, 1, 94.0), (2, 2, 66.0), (4, 1, 87.0), (4, 2, 94.0), (5, -2, 189.0), (5, 1, 94.0), (5, 2, 94.0), (6, 1, 94.0), (6, 2, 80.0), (7, -2, 189.0), (7, 1, 87.0), (8, 1, 93.0), (8, 2, 91.0), (9, 1, 86.0)]"/>
    <n v="189"/>
    <m/>
    <n v="2"/>
    <n v="0.5"/>
    <n v="100"/>
    <n v="50"/>
    <n v="0"/>
    <m/>
    <s v="True"/>
    <n v="0.05"/>
    <n v="9000"/>
    <n v="48120"/>
    <n v="23360"/>
    <n v="29727.293721886599"/>
    <n v="-1"/>
    <n v="-1"/>
    <n v="-1"/>
    <m/>
    <m/>
    <m/>
    <m/>
  </r>
  <r>
    <x v="34"/>
    <s v="MVPRP"/>
    <s v="C40"/>
    <s v="P6"/>
    <s v="V3"/>
    <x v="0"/>
    <x v="1"/>
    <s v="TIME_LIMIT"/>
    <n v="126853.990983268"/>
    <n v="109864.894297905"/>
    <n v="0.13392638697196799"/>
    <n v="3600.1987092495001"/>
    <s v="[(1, 1, 169.0), (2, 1, 180.0), (2, 2, 28.0), (3, 1, 180.0), (3, 2, 132.0), (3, 3, 60.0), (4, 1, 180.0), (4, 2, 44.0), (4, 3, 42.0), (5, 1, 180.0), (5, 2, 179.0), (5, 3, 106.0), (6, 1, 180.0), (6, 2, 179.0)]"/>
    <n v="360"/>
    <m/>
    <n v="2"/>
    <n v="0.5"/>
    <n v="100"/>
    <n v="50"/>
    <n v="0"/>
    <m/>
    <s v="True"/>
    <n v="0.05"/>
    <n v="9000"/>
    <n v="55170"/>
    <n v="31257"/>
    <n v="31426.990983268301"/>
    <n v="-1"/>
    <n v="-1"/>
    <n v="-1"/>
    <m/>
    <m/>
    <m/>
    <m/>
  </r>
  <r>
    <x v="35"/>
    <s v="MVPRP"/>
    <s v="C20"/>
    <s v="P9"/>
    <s v="V3"/>
    <x v="1"/>
    <x v="1"/>
    <s v="TIME_LIMIT"/>
    <n v="81302.077718932502"/>
    <n v="79769.588477055106"/>
    <n v="1.88493244560781E-2"/>
    <n v="3600.03527736664"/>
    <s v="[(2, 1, 94.0), (2, 2, 94.0), (2, 3, 66.0), (3, 1, 86.0), (4, 1, 90.0), (5, 1, 94.0), (6, -2, 185.0), (6, 1, 84.0), (6, 2, 89.0), (7, 1, 90.0), (7, 2, 92.0), (8, -2, 173.0), (8, 1, 81.0), (8, 2, 49.0), (9, 1, 64.0), (9, 2, 83.0), (9, 3, 90.0)]"/>
    <n v="189"/>
    <m/>
    <n v="2"/>
    <n v="0.5"/>
    <n v="100"/>
    <n v="50"/>
    <n v="0"/>
    <m/>
    <s v="True"/>
    <n v="0.05"/>
    <n v="9000"/>
    <n v="48120"/>
    <n v="15395"/>
    <n v="8787.0777189325308"/>
    <n v="-1"/>
    <n v="-1"/>
    <n v="-1"/>
    <m/>
    <m/>
    <m/>
    <m/>
  </r>
  <r>
    <x v="36"/>
    <s v="MVPRP"/>
    <s v="C15"/>
    <s v="P9"/>
    <s v="V3"/>
    <x v="0"/>
    <x v="1"/>
    <s v="TIME_LIMIT"/>
    <n v="104190.162255156"/>
    <n v="94372.153593138995"/>
    <n v="9.4231628490734895E-2"/>
    <n v="3600.11109733582"/>
    <s v="[(2, 1, 66.0), (2, 2, 58.0), (2, 3, 66.0), (3, 1, 51.0), (3, 2, 66.0), (4, 1, 66.0), (4, 2, 40.0), (5, -2, 125.0), (5, 1, 66.0), (5, 2, 66.0), (6, 1, 66.0), (6, 2, 66.0), (7, -2, 264.0), (7, 1, 66.0), (7, 2, 57.0), (8, 1, 66.0), (8, 2, 66.0), (9, 1, 44.0)]"/>
    <n v="132"/>
    <m/>
    <n v="2"/>
    <n v="0.5"/>
    <n v="100"/>
    <n v="50"/>
    <n v="0"/>
    <m/>
    <s v="True"/>
    <n v="0.05"/>
    <n v="9000"/>
    <n v="40950"/>
    <n v="20448"/>
    <n v="33792.162255156298"/>
    <n v="-1"/>
    <n v="-1"/>
    <n v="-1"/>
    <m/>
    <m/>
    <m/>
    <m/>
  </r>
  <r>
    <x v="37"/>
    <s v="MVPRP"/>
    <s v="C30"/>
    <s v="P9"/>
    <s v="V3"/>
    <x v="1"/>
    <x v="1"/>
    <s v="TIME_LIMIT"/>
    <n v="117337.53102633401"/>
    <n v="105492.498984729"/>
    <n v="0.100948366119506"/>
    <n v="3600.8728432655298"/>
    <s v="[(2, 1, 101.0), (3, -2, 115.0), (3, 1, 107.0), (3, 2, 0), (3, 3, 24.0), (3, 4, 13.0), (4, 1, 77.0), (4, 2, 114.0), (4, 3, 8.0), (5, -2, 102.0), (5, 1, 105.0), (5, 2, 26.0), (5, 3, 58.0), (5, 4, 46.0), (6, -2, 214.0), (6, 1, 113.0), (6, 2, 85.0), (6, 3, 26.0), (7, -2, 148.0), (7, 1, 114.0), (7, 2, 50.0), (8, -2, 137.0), (8, 1, 114.0), (8, 2, 17.0), (8, 3, 114.0), (9, 1, 102.0), (9, 2, 13.0), (9, 3, 114.0)]"/>
    <n v="228"/>
    <m/>
    <n v="2"/>
    <n v="0.5"/>
    <n v="100"/>
    <n v="50"/>
    <n v="0"/>
    <m/>
    <s v="True"/>
    <n v="0.05"/>
    <n v="12000"/>
    <n v="67710"/>
    <n v="22039"/>
    <n v="15588.5310263339"/>
    <n v="-1"/>
    <n v="-1"/>
    <n v="-1"/>
    <m/>
    <m/>
    <m/>
    <m/>
  </r>
  <r>
    <x v="38"/>
    <s v="MVPRP"/>
    <s v="C10"/>
    <s v="P9"/>
    <s v="V3"/>
    <x v="1"/>
    <x v="1"/>
    <s v="OPTIMAL"/>
    <n v="50231.331083236597"/>
    <n v="50231.331083236597"/>
    <n v="0"/>
    <n v="1446.8093454837799"/>
    <s v="[(2, 1, 55.0), (2, 2, 64.0), (4, 1, 55.00000012119208), (4, 2, 60.0), (5, 1, 36.99999987880792), (6, 1, 59.0), (6, 2, 61.0), (6, 3, 59.0), (7, 1, 66.0), (7, 2, 59.0), (8, 1, 59.0), (8, 2, 61.0), (8, 3, 59.0), (9, 1, 66.0), (9, 2, 59.0)]"/>
    <n v="132"/>
    <m/>
    <n v="2"/>
    <n v="0.5"/>
    <n v="100"/>
    <n v="50"/>
    <n v="0"/>
    <m/>
    <s v="True"/>
    <n v="0.05"/>
    <n v="9000"/>
    <n v="26370"/>
    <n v="8932.0000004847698"/>
    <n v="5929.3310827517898"/>
    <n v="-1"/>
    <n v="-1"/>
    <n v="-1"/>
    <m/>
    <m/>
    <m/>
    <m/>
  </r>
  <r>
    <x v="39"/>
    <s v="MVPRP"/>
    <s v="C30"/>
    <s v="P3"/>
    <s v="V3"/>
    <x v="1"/>
    <x v="1"/>
    <s v="TIME_LIMIT"/>
    <n v="27907.462420580101"/>
    <n v="27751.627459327701"/>
    <n v="5.5839889311269202E-3"/>
    <n v="3600.1702923774701"/>
    <s v="[(1, 1, 112.0), (1, 2, 60.0), (2, 1, 95.0), (3, 1, 114.0), (3, 2, 98.0), (3, 3, 77.0)]"/>
    <n v="228"/>
    <m/>
    <n v="2"/>
    <n v="0.5"/>
    <n v="100"/>
    <n v="50"/>
    <n v="0"/>
    <m/>
    <s v="True"/>
    <n v="0.05"/>
    <n v="3000"/>
    <n v="16680"/>
    <n v="5240"/>
    <n v="2987.4624205800901"/>
    <n v="-1"/>
    <n v="-1"/>
    <n v="-1"/>
    <m/>
    <m/>
    <m/>
    <m/>
  </r>
  <r>
    <x v="40"/>
    <s v="MVPRP"/>
    <s v="C10"/>
    <s v="P9"/>
    <s v="V3"/>
    <x v="0"/>
    <x v="1"/>
    <s v="TIME_LIMIT"/>
    <n v="68563.336796616495"/>
    <n v="66581.519238390596"/>
    <n v="2.89049169836159E-2"/>
    <n v="3600.0440046787298"/>
    <s v="[(2, 1, 66.0), (2, 2, 60.0), (3, 1, 64.0), (5, -2, 126.00003471760738), (5, 1, 66.0), (5, 2, 66.0), (5, 3, 30.0), (6, 1, 64.0), (7, 1, 66.0), (7, 2, 66.0), (7, 3, 65.99997647532335), (8, 1, 59.99998880706927), (8, 2, 19.999972017672654), (9, 1, 59.0)]"/>
    <n v="132"/>
    <m/>
    <n v="2"/>
    <n v="0.5"/>
    <n v="100"/>
    <n v="50"/>
    <n v="0"/>
    <m/>
    <s v="True"/>
    <n v="0.05"/>
    <n v="9000"/>
    <n v="26370"/>
    <n v="13211.000403140701"/>
    <n v="19982.336393475802"/>
    <n v="-1"/>
    <n v="-1"/>
    <n v="-1"/>
    <m/>
    <m/>
    <m/>
    <m/>
  </r>
  <r>
    <x v="41"/>
    <s v="MVPRP"/>
    <s v="C25"/>
    <s v="P9"/>
    <s v="V3"/>
    <x v="0"/>
    <x v="1"/>
    <s v="TIME_LIMIT"/>
    <n v="140106.60353757499"/>
    <n v="123257.22692849999"/>
    <n v="0.12026111677567"/>
    <n v="3600.2022669315302"/>
    <s v="[(2, -2, 139.0), (2, 1, 50.0), (2, 2, 60.0), (3, 1, 18.0), (3, 2, 63.0), (4, -2, 173.0), (4, 1, 94.0), (5, -2, 157.0), (5, 1, 94.0), (5, 2, 59.0), (5, 3, 42.0), (6, -2, 183.0), (6, 1, 37.0), (6, 2, 94.0), (6, 3, 36.0), (7, -2, 378.0), (7, 1, 21.0), (7, 2, 27.0), (8, 1, 94.0), (8, 2, 94.0), (9, 1, 83.0)]"/>
    <n v="189"/>
    <m/>
    <n v="2"/>
    <n v="0.5"/>
    <n v="100"/>
    <n v="50"/>
    <n v="0"/>
    <m/>
    <s v="True"/>
    <n v="0.05"/>
    <n v="9000"/>
    <n v="59880"/>
    <n v="30371"/>
    <n v="40855.603537574898"/>
    <n v="-1"/>
    <n v="-1"/>
    <n v="-1"/>
    <m/>
    <m/>
    <m/>
    <m/>
  </r>
  <r>
    <x v="0"/>
    <s v="MVPRP"/>
    <s v="C15"/>
    <s v="P3"/>
    <s v="V3"/>
    <x v="0"/>
    <x v="2"/>
    <s v="OPTIMAL"/>
    <n v="26240.5"/>
    <n v="26240.4999320594"/>
    <n v="2.5891516174008001E-9"/>
    <n v="238.19414281845101"/>
    <s v="[]"/>
    <n v="132"/>
    <m/>
    <n v="2"/>
    <n v="0.5"/>
    <n v="100"/>
    <n v="50"/>
    <n v="0"/>
    <n v="2"/>
    <s v="True"/>
    <n v="0.05"/>
    <n v="3000"/>
    <n v="9960"/>
    <n v="3902"/>
    <n v="9378.5"/>
    <n v="0"/>
    <n v="0"/>
    <n v="0"/>
    <n v="0"/>
    <n v="0"/>
    <n v="0"/>
    <n v="0"/>
  </r>
  <r>
    <x v="1"/>
    <s v="MVPRP"/>
    <s v="C30"/>
    <s v="P9"/>
    <s v="V3"/>
    <x v="0"/>
    <x v="2"/>
    <s v="TIME_LIMIT"/>
    <n v="136171.999986562"/>
    <n v="133302.284555272"/>
    <n v="2.10741961017923E-2"/>
    <n v="3600.0624740123799"/>
    <s v="[]"/>
    <n v="228"/>
    <m/>
    <n v="2"/>
    <n v="0.5"/>
    <n v="100"/>
    <n v="50"/>
    <n v="0"/>
    <n v="2"/>
    <s v="True"/>
    <n v="0.05"/>
    <n v="12000"/>
    <n v="67709.999999999898"/>
    <n v="22020.999832142901"/>
    <n v="34441.0001544193"/>
    <n v="0"/>
    <n v="0"/>
    <n v="0"/>
    <n v="0"/>
    <n v="0"/>
    <n v="0"/>
    <n v="0"/>
  </r>
  <r>
    <x v="2"/>
    <s v="MVPRP"/>
    <s v="C15"/>
    <s v="P9"/>
    <s v="V3"/>
    <x v="1"/>
    <x v="2"/>
    <s v="TIME_LIMIT"/>
    <n v="72398.999814665207"/>
    <n v="71861.067706896894"/>
    <n v="7.4301041332798202E-3"/>
    <n v="3600.0329861640898"/>
    <s v="[]"/>
    <n v="132"/>
    <m/>
    <n v="2"/>
    <n v="0.5"/>
    <n v="100"/>
    <n v="50"/>
    <n v="0"/>
    <n v="2"/>
    <s v="True"/>
    <n v="0.05"/>
    <n v="9000"/>
    <n v="40949.999871443702"/>
    <n v="13559.999943221501"/>
    <n v="8889"/>
    <n v="0"/>
    <n v="0"/>
    <n v="0"/>
    <n v="0"/>
    <n v="0"/>
    <n v="0"/>
    <n v="0"/>
  </r>
  <r>
    <x v="3"/>
    <s v="MVPRP"/>
    <s v="C40"/>
    <s v="P3"/>
    <s v="V3"/>
    <x v="0"/>
    <x v="2"/>
    <s v="TIME_LIMIT"/>
    <n v="54377.998651985297"/>
    <n v="53634.238078731098"/>
    <n v="1.3677601083008801E-2"/>
    <n v="3600.04021906853"/>
    <s v="[]"/>
    <n v="360"/>
    <m/>
    <n v="2"/>
    <n v="0.5"/>
    <n v="100"/>
    <n v="50"/>
    <n v="0"/>
    <n v="2"/>
    <s v="True"/>
    <n v="0.05"/>
    <n v="3000"/>
    <n v="27659.999999928601"/>
    <n v="9704.9993109017305"/>
    <n v="14012.999341155"/>
    <n v="0"/>
    <n v="0"/>
    <n v="0"/>
    <n v="0"/>
    <n v="0"/>
    <n v="0"/>
    <n v="0"/>
  </r>
  <r>
    <x v="4"/>
    <s v="MVPRP"/>
    <s v="C40"/>
    <s v="P3"/>
    <s v="V3"/>
    <x v="1"/>
    <x v="2"/>
    <s v="TIME_LIMIT"/>
    <n v="42223.499796775701"/>
    <n v="42040.333896737699"/>
    <n v="4.3380084767872702E-3"/>
    <n v="3600.10026597977"/>
    <s v="[]"/>
    <n v="360"/>
    <m/>
    <n v="2"/>
    <n v="0.5"/>
    <n v="100"/>
    <n v="50"/>
    <n v="0"/>
    <n v="2"/>
    <s v="True"/>
    <n v="0.05"/>
    <n v="6000"/>
    <n v="27659.999853184199"/>
    <n v="4691.9999435915297"/>
    <n v="3871.5"/>
    <n v="0"/>
    <n v="0"/>
    <n v="0"/>
    <n v="0"/>
    <n v="0"/>
    <n v="0"/>
    <n v="0"/>
  </r>
  <r>
    <x v="5"/>
    <s v="MVPRP"/>
    <s v="C20"/>
    <s v="P6"/>
    <s v="V3"/>
    <x v="1"/>
    <x v="2"/>
    <s v="TIME_LIMIT"/>
    <n v="46031.499994193699"/>
    <n v="45971.462731603198"/>
    <n v="1.30426474475215E-3"/>
    <n v="3600.04978013039"/>
    <s v="[]"/>
    <n v="189"/>
    <m/>
    <n v="2"/>
    <n v="0.5"/>
    <n v="100"/>
    <n v="50"/>
    <n v="0"/>
    <n v="2"/>
    <s v="True"/>
    <n v="0.05"/>
    <n v="6000"/>
    <n v="23820"/>
    <n v="12077.9999950769"/>
    <n v="4133.4999991167897"/>
    <n v="0"/>
    <n v="0"/>
    <n v="0"/>
    <n v="0"/>
    <n v="0"/>
    <n v="0"/>
    <n v="0"/>
  </r>
  <r>
    <x v="6"/>
    <s v="MVPRP"/>
    <s v="C10"/>
    <s v="P3"/>
    <s v="V3"/>
    <x v="1"/>
    <x v="2"/>
    <s v="OPTIMAL"/>
    <n v="13261"/>
    <n v="13261"/>
    <n v="0"/>
    <n v="2.5826830863952601"/>
    <s v="[]"/>
    <n v="132"/>
    <m/>
    <n v="2"/>
    <n v="0.5"/>
    <n v="100"/>
    <n v="50"/>
    <n v="0"/>
    <n v="2"/>
    <s v="True"/>
    <n v="0.05"/>
    <n v="3000"/>
    <n v="6390"/>
    <n v="2223"/>
    <n v="1648"/>
    <n v="0"/>
    <n v="0"/>
    <n v="0"/>
    <n v="0"/>
    <n v="0"/>
    <n v="0"/>
    <n v="0"/>
  </r>
  <r>
    <x v="7"/>
    <s v="MVPRP"/>
    <s v="C45"/>
    <s v="P3"/>
    <s v="V3"/>
    <x v="0"/>
    <x v="2"/>
    <s v="TIME_LIMIT"/>
    <n v="63308.499966032497"/>
    <n v="61213.621557050799"/>
    <n v="3.3090002292041801E-2"/>
    <n v="3600.1742379665402"/>
    <s v="[]"/>
    <n v="360"/>
    <m/>
    <n v="2"/>
    <n v="0.5"/>
    <n v="100"/>
    <n v="50"/>
    <n v="0"/>
    <n v="2"/>
    <s v="True"/>
    <n v="0.05"/>
    <n v="6000"/>
    <n v="33060"/>
    <n v="7474.0002455903596"/>
    <n v="16774.4997204422"/>
    <n v="0"/>
    <n v="0"/>
    <n v="0"/>
    <n v="0"/>
    <n v="0"/>
    <n v="0"/>
    <n v="0"/>
  </r>
  <r>
    <x v="8"/>
    <s v="MVPRP"/>
    <s v="C20"/>
    <s v="P3"/>
    <s v="V3"/>
    <x v="1"/>
    <x v="2"/>
    <s v="OPTIMAL"/>
    <n v="21264.5"/>
    <n v="21264.5"/>
    <n v="0"/>
    <n v="63.981189012527501"/>
    <s v="[]"/>
    <n v="189"/>
    <m/>
    <n v="2"/>
    <n v="0.5"/>
    <n v="100"/>
    <n v="50"/>
    <n v="0"/>
    <n v="2"/>
    <s v="True"/>
    <n v="0.05"/>
    <n v="3000"/>
    <n v="12030"/>
    <n v="3827"/>
    <n v="2407.5"/>
    <n v="0"/>
    <n v="0"/>
    <n v="0"/>
    <n v="0"/>
    <n v="0"/>
    <n v="0"/>
    <n v="0"/>
  </r>
  <r>
    <x v="9"/>
    <s v="MVPRP"/>
    <s v="C35"/>
    <s v="P3"/>
    <s v="V3"/>
    <x v="0"/>
    <x v="2"/>
    <s v="TIME_LIMIT"/>
    <n v="44185.999043605101"/>
    <n v="43510.528620756799"/>
    <n v="1.52869786237405E-2"/>
    <n v="3600.06271195412"/>
    <s v="[]"/>
    <n v="276"/>
    <m/>
    <n v="2"/>
    <n v="0.5"/>
    <n v="100"/>
    <n v="50"/>
    <n v="0"/>
    <n v="2"/>
    <s v="True"/>
    <n v="0.05"/>
    <n v="3000"/>
    <n v="21599.9999999992"/>
    <n v="7650.9999265340302"/>
    <n v="11934.9991170719"/>
    <n v="0"/>
    <n v="0"/>
    <n v="0"/>
    <n v="0"/>
    <n v="0"/>
    <n v="0"/>
    <n v="0"/>
  </r>
  <r>
    <x v="10"/>
    <s v="MVPRP"/>
    <s v="C40"/>
    <s v="P6"/>
    <s v="V3"/>
    <x v="1"/>
    <x v="2"/>
    <s v="TIME_LIMIT"/>
    <n v="93436"/>
    <n v="92812.185047562205"/>
    <n v="6.6763876068941901E-3"/>
    <n v="3600.07370400429"/>
    <s v="[]"/>
    <n v="360"/>
    <m/>
    <n v="2"/>
    <n v="0.5"/>
    <n v="100"/>
    <n v="50"/>
    <n v="0"/>
    <n v="2"/>
    <s v="True"/>
    <n v="0.05"/>
    <n v="6000"/>
    <n v="55170"/>
    <n v="25322"/>
    <n v="6944"/>
    <n v="0"/>
    <n v="0"/>
    <n v="0"/>
    <n v="0"/>
    <n v="0"/>
    <n v="0"/>
    <n v="0"/>
  </r>
  <r>
    <x v="11"/>
    <s v="MVPRP"/>
    <s v="C10"/>
    <s v="P3"/>
    <s v="V3"/>
    <x v="0"/>
    <x v="2"/>
    <s v="OPTIMAL"/>
    <n v="17835"/>
    <n v="17835"/>
    <n v="0"/>
    <n v="1.38335108757019"/>
    <s v="[]"/>
    <n v="132"/>
    <m/>
    <n v="2"/>
    <n v="0.5"/>
    <n v="100"/>
    <n v="50"/>
    <n v="0"/>
    <n v="2"/>
    <s v="True"/>
    <n v="0.05"/>
    <n v="3000"/>
    <n v="6390"/>
    <n v="2860"/>
    <n v="5585"/>
    <n v="0"/>
    <n v="0"/>
    <n v="0"/>
    <n v="0"/>
    <n v="0"/>
    <n v="0"/>
    <n v="0"/>
  </r>
  <r>
    <x v="12"/>
    <s v="MVPRP"/>
    <s v="C30"/>
    <s v="P3"/>
    <s v="V3"/>
    <x v="0"/>
    <x v="2"/>
    <s v="TIME_LIMIT"/>
    <n v="36026"/>
    <n v="35744.762171535003"/>
    <n v="7.8065238567977804E-3"/>
    <n v="3600.05626797676"/>
    <s v="[]"/>
    <n v="228"/>
    <m/>
    <n v="2"/>
    <n v="0.5"/>
    <n v="100"/>
    <n v="50"/>
    <n v="0"/>
    <n v="2"/>
    <s v="True"/>
    <n v="0.05"/>
    <n v="3000"/>
    <n v="16680"/>
    <n v="6549"/>
    <n v="9797"/>
    <n v="0"/>
    <n v="0"/>
    <n v="0"/>
    <n v="0"/>
    <n v="0"/>
    <n v="0"/>
    <n v="0"/>
  </r>
  <r>
    <x v="13"/>
    <s v="MVPRP"/>
    <s v="C20"/>
    <s v="P3"/>
    <s v="V3"/>
    <x v="0"/>
    <x v="2"/>
    <s v="OPTIMAL"/>
    <n v="28517"/>
    <n v="28517"/>
    <n v="0"/>
    <n v="38.965275049209602"/>
    <s v="[]"/>
    <n v="189"/>
    <m/>
    <n v="2"/>
    <n v="0.5"/>
    <n v="100"/>
    <n v="50"/>
    <n v="0"/>
    <n v="2"/>
    <s v="True"/>
    <n v="0.05"/>
    <n v="3000"/>
    <n v="12030"/>
    <n v="4645"/>
    <n v="8842"/>
    <n v="0"/>
    <n v="0"/>
    <n v="0"/>
    <n v="0"/>
    <n v="0"/>
    <n v="0"/>
    <n v="0"/>
  </r>
  <r>
    <x v="14"/>
    <s v="MVPRP"/>
    <s v="C35"/>
    <s v="P6"/>
    <s v="V3"/>
    <x v="0"/>
    <x v="2"/>
    <s v="TIME_LIMIT"/>
    <n v="90834"/>
    <n v="89349.516171641706"/>
    <n v="1.63428212823209E-2"/>
    <n v="3600.0530130863199"/>
    <s v="[]"/>
    <n v="276"/>
    <m/>
    <n v="2"/>
    <n v="0.5"/>
    <n v="100"/>
    <n v="50"/>
    <n v="0"/>
    <n v="2"/>
    <s v="True"/>
    <n v="0.05"/>
    <n v="6000"/>
    <n v="42900"/>
    <n v="20532"/>
    <n v="21402"/>
    <n v="0"/>
    <n v="0"/>
    <n v="0"/>
    <n v="0"/>
    <n v="0"/>
    <n v="0"/>
    <n v="0"/>
  </r>
  <r>
    <x v="15"/>
    <s v="MVPRP"/>
    <s v="C25"/>
    <s v="P6"/>
    <s v="V3"/>
    <x v="0"/>
    <x v="2"/>
    <s v="TIME_LIMIT"/>
    <n v="69545.498197501394"/>
    <n v="68940.450279132099"/>
    <n v="8.7000299667282701E-3"/>
    <n v="3600.0907940864599"/>
    <s v="[]"/>
    <n v="189"/>
    <m/>
    <n v="2"/>
    <n v="0.5"/>
    <n v="100"/>
    <n v="50"/>
    <n v="0"/>
    <n v="2"/>
    <s v="True"/>
    <n v="0.05"/>
    <n v="6000"/>
    <n v="28380"/>
    <n v="17844.9981550023"/>
    <n v="17320.500042499199"/>
    <n v="0"/>
    <n v="0"/>
    <n v="0"/>
    <n v="0"/>
    <n v="0"/>
    <n v="0"/>
    <n v="0"/>
  </r>
  <r>
    <x v="16"/>
    <s v="MVPRP"/>
    <s v="C15"/>
    <s v="P6"/>
    <s v="V3"/>
    <x v="0"/>
    <x v="2"/>
    <s v="TIME_LIMIT"/>
    <n v="54121"/>
    <n v="54064.641131386197"/>
    <n v="1.04134935817579E-3"/>
    <n v="3600.0338850021399"/>
    <s v="[]"/>
    <n v="132"/>
    <m/>
    <n v="2"/>
    <n v="0.5"/>
    <n v="100"/>
    <n v="50"/>
    <n v="0"/>
    <n v="2"/>
    <s v="True"/>
    <n v="0.05"/>
    <n v="6000"/>
    <n v="19800"/>
    <n v="12105"/>
    <n v="16216"/>
    <n v="0"/>
    <n v="0"/>
    <n v="0"/>
    <n v="0"/>
    <n v="0"/>
    <n v="0"/>
    <n v="0"/>
  </r>
  <r>
    <x v="17"/>
    <s v="MVPRP"/>
    <s v="C50"/>
    <s v="P3"/>
    <s v="V3"/>
    <x v="0"/>
    <x v="2"/>
    <s v="TIME_LIMIT"/>
    <n v="59060.999700654"/>
    <n v="57483.592799488601"/>
    <n v="2.6708096868668301E-2"/>
    <n v="3600.1775269508398"/>
    <s v="[]"/>
    <n v="360"/>
    <m/>
    <n v="2"/>
    <n v="0.5"/>
    <n v="100"/>
    <n v="50"/>
    <n v="0"/>
    <n v="2"/>
    <s v="True"/>
    <n v="0.05"/>
    <n v="3000.0008600441402"/>
    <n v="29579.9999999828"/>
    <n v="9778.9988406270695"/>
    <n v="16702"/>
    <n v="0"/>
    <n v="0"/>
    <n v="0"/>
    <n v="0"/>
    <n v="0"/>
    <n v="0"/>
    <n v="0"/>
  </r>
  <r>
    <x v="18"/>
    <s v="MVPRP"/>
    <s v="C30"/>
    <s v="P6"/>
    <s v="V3"/>
    <x v="0"/>
    <x v="2"/>
    <s v="TIME_LIMIT"/>
    <n v="74518.499908963393"/>
    <n v="73724.5142886432"/>
    <n v="1.06548792754849E-2"/>
    <n v="3600.07070803642"/>
    <s v="[]"/>
    <n v="228"/>
    <m/>
    <n v="2"/>
    <n v="0.5"/>
    <n v="100"/>
    <n v="50"/>
    <n v="0"/>
    <n v="2"/>
    <s v="True"/>
    <n v="0.05"/>
    <n v="6000"/>
    <n v="33150"/>
    <n v="15987"/>
    <n v="19381.4999089634"/>
    <n v="0"/>
    <n v="0"/>
    <n v="0"/>
    <n v="0"/>
    <n v="0"/>
    <n v="0"/>
    <n v="0"/>
  </r>
  <r>
    <x v="19"/>
    <s v="MVPRP"/>
    <s v="C45"/>
    <s v="P3"/>
    <s v="V3"/>
    <x v="1"/>
    <x v="2"/>
    <s v="TIME_LIMIT"/>
    <n v="48258.999980307497"/>
    <n v="48092.253679702801"/>
    <n v="3.4552373789921501E-3"/>
    <n v="3600.0970969200098"/>
    <s v="[]"/>
    <n v="360"/>
    <m/>
    <n v="2"/>
    <n v="0.5"/>
    <n v="100"/>
    <n v="50"/>
    <n v="0"/>
    <n v="2"/>
    <s v="True"/>
    <n v="0.05"/>
    <n v="6000"/>
    <n v="33060"/>
    <n v="5021.0000027061596"/>
    <n v="4177.9999776013501"/>
    <n v="0"/>
    <n v="0"/>
    <n v="0"/>
    <n v="0"/>
    <n v="0"/>
    <n v="0"/>
    <n v="0"/>
  </r>
  <r>
    <x v="20"/>
    <s v="MVPRP"/>
    <s v="C25"/>
    <s v="P6"/>
    <s v="V3"/>
    <x v="1"/>
    <x v="2"/>
    <s v="TIME_LIMIT"/>
    <n v="55278.999990389297"/>
    <n v="55182.0376204192"/>
    <n v="1.7540543422810599E-3"/>
    <n v="3600.05472517014"/>
    <s v="[]"/>
    <n v="189"/>
    <m/>
    <n v="2"/>
    <n v="0.5"/>
    <n v="100"/>
    <n v="50"/>
    <n v="0"/>
    <n v="2"/>
    <s v="True"/>
    <n v="0.05"/>
    <n v="6000"/>
    <n v="28380"/>
    <n v="16368.9999903893"/>
    <n v="4530"/>
    <n v="0"/>
    <n v="0"/>
    <n v="0"/>
    <n v="0"/>
    <n v="0"/>
    <n v="0"/>
    <n v="0"/>
  </r>
  <r>
    <x v="21"/>
    <s v="MVPRP"/>
    <s v="C35"/>
    <s v="P6"/>
    <s v="V3"/>
    <x v="1"/>
    <x v="2"/>
    <s v="TIME_LIMIT"/>
    <n v="72384.999967396303"/>
    <n v="72002.368161820996"/>
    <n v="5.2860648718336904E-3"/>
    <n v="3600.1030459404001"/>
    <s v="[]"/>
    <n v="276"/>
    <m/>
    <n v="2"/>
    <n v="0.5"/>
    <n v="100"/>
    <n v="50"/>
    <n v="0"/>
    <n v="2"/>
    <s v="True"/>
    <n v="0.05"/>
    <n v="6000"/>
    <n v="42900"/>
    <n v="17483"/>
    <n v="6001.9999673963403"/>
    <n v="0"/>
    <n v="0"/>
    <n v="0"/>
    <n v="0"/>
    <n v="0"/>
    <n v="0"/>
    <n v="0"/>
  </r>
  <r>
    <x v="22"/>
    <s v="MVPRP"/>
    <s v="C25"/>
    <s v="P3"/>
    <s v="V3"/>
    <x v="1"/>
    <x v="2"/>
    <s v="OPTIMAL"/>
    <n v="24924"/>
    <n v="24924"/>
    <n v="0"/>
    <n v="83.338111877441406"/>
    <s v="[]"/>
    <n v="189"/>
    <m/>
    <n v="2"/>
    <n v="0.5"/>
    <n v="100"/>
    <n v="50"/>
    <n v="0"/>
    <n v="2"/>
    <s v="True"/>
    <n v="0.05"/>
    <n v="3000"/>
    <n v="14340"/>
    <n v="4915"/>
    <n v="2669"/>
    <n v="0"/>
    <n v="0"/>
    <n v="0"/>
    <n v="0"/>
    <n v="0"/>
    <n v="0"/>
    <n v="0"/>
  </r>
  <r>
    <x v="23"/>
    <s v="MVPRP"/>
    <s v="C10"/>
    <s v="P6"/>
    <s v="V3"/>
    <x v="1"/>
    <x v="2"/>
    <s v="OPTIMAL"/>
    <n v="28808.5"/>
    <n v="28808.5"/>
    <n v="0"/>
    <n v="109.88926386833199"/>
    <s v="[]"/>
    <n v="132"/>
    <m/>
    <n v="2"/>
    <n v="0.5"/>
    <n v="100"/>
    <n v="50"/>
    <n v="0"/>
    <n v="2"/>
    <s v="True"/>
    <n v="0.05"/>
    <n v="6000"/>
    <n v="12690"/>
    <n v="7073"/>
    <n v="3045.5"/>
    <n v="0"/>
    <n v="0"/>
    <n v="0"/>
    <n v="0"/>
    <n v="0"/>
    <n v="0"/>
    <n v="0"/>
  </r>
  <r>
    <x v="24"/>
    <s v="MVPRP"/>
    <s v="C35"/>
    <s v="P3"/>
    <s v="V3"/>
    <x v="1"/>
    <x v="2"/>
    <s v="TIME_LIMIT"/>
    <n v="34131.4999023825"/>
    <n v="33951.488507069902"/>
    <n v="5.2740546365498799E-3"/>
    <n v="3600.21579194069"/>
    <s v="[]"/>
    <n v="276"/>
    <m/>
    <n v="2"/>
    <n v="0.5"/>
    <n v="100"/>
    <n v="50"/>
    <n v="0"/>
    <n v="2"/>
    <s v="True"/>
    <n v="0.05"/>
    <n v="3000"/>
    <n v="21599.999939907098"/>
    <n v="6374.9999604741997"/>
    <n v="3156.5000020011198"/>
    <n v="0"/>
    <n v="0"/>
    <n v="0"/>
    <n v="0"/>
    <n v="0"/>
    <n v="0"/>
    <n v="0"/>
  </r>
  <r>
    <x v="25"/>
    <s v="MVPRP"/>
    <s v="C10"/>
    <s v="P6"/>
    <s v="V3"/>
    <x v="0"/>
    <x v="2"/>
    <s v="OPTIMAL"/>
    <n v="37316.5"/>
    <n v="37316.498822320304"/>
    <n v="3.1559221890780703E-8"/>
    <n v="162.77340507507299"/>
    <s v="[]"/>
    <n v="132"/>
    <m/>
    <n v="2"/>
    <n v="0.5"/>
    <n v="100"/>
    <n v="50"/>
    <n v="0"/>
    <n v="2"/>
    <s v="True"/>
    <n v="0.05"/>
    <n v="6000"/>
    <n v="12690"/>
    <n v="7881"/>
    <n v="10745.5"/>
    <n v="0"/>
    <n v="0"/>
    <n v="0"/>
    <n v="0"/>
    <n v="0"/>
    <n v="0"/>
    <n v="0"/>
  </r>
  <r>
    <x v="26"/>
    <s v="MVPRP"/>
    <s v="C50"/>
    <s v="P3"/>
    <s v="V3"/>
    <x v="1"/>
    <x v="2"/>
    <s v="TIME_LIMIT"/>
    <n v="44632.9997904212"/>
    <n v="44344.516036604"/>
    <n v="6.46346324853256E-3"/>
    <n v="3600.1724021434802"/>
    <s v="[]"/>
    <n v="360"/>
    <m/>
    <n v="2"/>
    <n v="0.5"/>
    <n v="100"/>
    <n v="50"/>
    <n v="0"/>
    <n v="2"/>
    <s v="True"/>
    <n v="0.05"/>
    <n v="6000"/>
    <n v="29580"/>
    <n v="4550"/>
    <n v="4502.9997904211796"/>
    <n v="0"/>
    <n v="0"/>
    <n v="0"/>
    <n v="0"/>
    <n v="0"/>
    <n v="0"/>
    <n v="0"/>
  </r>
  <r>
    <x v="27"/>
    <s v="MVPRP"/>
    <s v="C30"/>
    <s v="P6"/>
    <s v="V3"/>
    <x v="1"/>
    <x v="2"/>
    <s v="TIME_LIMIT"/>
    <n v="59081.5"/>
    <n v="58997.2614388281"/>
    <n v="1.42580268225938E-3"/>
    <n v="3600.04789113998"/>
    <s v="[]"/>
    <n v="228"/>
    <m/>
    <n v="2"/>
    <n v="0.5"/>
    <n v="100"/>
    <n v="50"/>
    <n v="0"/>
    <n v="2"/>
    <s v="True"/>
    <n v="0.05"/>
    <n v="6000"/>
    <n v="33150"/>
    <n v="15210"/>
    <n v="4721.5"/>
    <n v="0"/>
    <n v="0"/>
    <n v="0"/>
    <n v="0"/>
    <n v="0"/>
    <n v="0"/>
    <n v="0"/>
  </r>
  <r>
    <x v="28"/>
    <s v="MVPRP"/>
    <s v="C25"/>
    <s v="P9"/>
    <s v="V3"/>
    <x v="1"/>
    <x v="2"/>
    <s v="TIME_LIMIT"/>
    <n v="97573.499990081604"/>
    <n v="97183.542108072099"/>
    <n v="3.99655523322596E-3"/>
    <n v="3600.09210920334"/>
    <s v="[]"/>
    <n v="189"/>
    <m/>
    <n v="2"/>
    <n v="0.5"/>
    <n v="100"/>
    <n v="50"/>
    <n v="0"/>
    <n v="2"/>
    <s v="True"/>
    <n v="0.05"/>
    <n v="9000"/>
    <n v="59880"/>
    <n v="19727.999971335801"/>
    <n v="8965.5000187458299"/>
    <n v="0"/>
    <n v="0"/>
    <n v="0"/>
    <n v="0"/>
    <n v="0"/>
    <n v="0"/>
    <n v="0"/>
  </r>
  <r>
    <x v="29"/>
    <s v="MVPRP"/>
    <s v="C25"/>
    <s v="P3"/>
    <s v="V3"/>
    <x v="0"/>
    <x v="2"/>
    <s v="OPTIMAL"/>
    <n v="33049"/>
    <n v="33049"/>
    <n v="0"/>
    <n v="227.94780611991899"/>
    <s v="[]"/>
    <n v="189"/>
    <m/>
    <n v="2"/>
    <n v="0.5"/>
    <n v="100"/>
    <n v="50"/>
    <n v="0"/>
    <n v="2"/>
    <s v="True"/>
    <n v="0.05"/>
    <n v="3000"/>
    <n v="14340"/>
    <n v="6199"/>
    <n v="9510"/>
    <n v="0"/>
    <n v="0"/>
    <n v="0"/>
    <n v="0"/>
    <n v="0"/>
    <n v="0"/>
    <n v="0"/>
  </r>
  <r>
    <x v="30"/>
    <s v="MVPRP"/>
    <s v="C15"/>
    <s v="P6"/>
    <s v="V3"/>
    <x v="1"/>
    <x v="2"/>
    <s v="TIME_LIMIT"/>
    <n v="40840.999735390396"/>
    <n v="40657.559437697601"/>
    <n v="4.4915721672193001E-3"/>
    <n v="3600.0269849300398"/>
    <s v="[]"/>
    <n v="132"/>
    <m/>
    <n v="2"/>
    <n v="0.5"/>
    <n v="100"/>
    <n v="50"/>
    <n v="0"/>
    <n v="2"/>
    <s v="True"/>
    <n v="0.05"/>
    <n v="6000"/>
    <n v="19799.9998177038"/>
    <n v="10347.9999176867"/>
    <n v="4693"/>
    <n v="0"/>
    <n v="0"/>
    <n v="0"/>
    <n v="0"/>
    <n v="0"/>
    <n v="0"/>
    <n v="0"/>
  </r>
  <r>
    <x v="31"/>
    <s v="MVPRP"/>
    <s v="C15"/>
    <s v="P3"/>
    <s v="V3"/>
    <x v="1"/>
    <x v="2"/>
    <s v="OPTIMAL"/>
    <n v="18787"/>
    <n v="18787"/>
    <n v="0"/>
    <n v="65.541598081588802"/>
    <s v="[]"/>
    <n v="132"/>
    <m/>
    <n v="2"/>
    <n v="0.5"/>
    <n v="100"/>
    <n v="50"/>
    <n v="0"/>
    <n v="2"/>
    <s v="True"/>
    <n v="0.05"/>
    <n v="3000"/>
    <n v="9960"/>
    <n v="3341"/>
    <n v="2486"/>
    <n v="0"/>
    <n v="0"/>
    <n v="0"/>
    <n v="0"/>
    <n v="0"/>
    <n v="0"/>
    <n v="0"/>
  </r>
  <r>
    <x v="32"/>
    <s v="MVPRP"/>
    <s v="C20"/>
    <s v="P6"/>
    <s v="V3"/>
    <x v="0"/>
    <x v="2"/>
    <s v="TIME_LIMIT"/>
    <n v="59032.496323716499"/>
    <n v="58537.4155821116"/>
    <n v="8.3865798066542208E-3"/>
    <n v="3600.0313742160802"/>
    <s v="[]"/>
    <n v="189"/>
    <m/>
    <n v="2"/>
    <n v="0.5"/>
    <n v="100"/>
    <n v="50"/>
    <n v="0"/>
    <n v="2"/>
    <s v="True"/>
    <n v="0.05"/>
    <n v="6000"/>
    <n v="23820"/>
    <n v="13369.9951575904"/>
    <n v="15842.5011661261"/>
    <n v="0"/>
    <n v="0"/>
    <n v="0"/>
    <n v="0"/>
    <n v="0"/>
    <n v="0"/>
    <n v="0"/>
  </r>
  <r>
    <x v="33"/>
    <s v="MVPRP"/>
    <s v="C20"/>
    <s v="P9"/>
    <s v="V3"/>
    <x v="0"/>
    <x v="2"/>
    <s v="TIME_LIMIT"/>
    <n v="106168.999353237"/>
    <n v="103926.153194074"/>
    <n v="2.1125245343043501E-2"/>
    <n v="3600.1596698761"/>
    <s v="[]"/>
    <n v="189"/>
    <m/>
    <n v="2"/>
    <n v="0.5"/>
    <n v="100"/>
    <n v="50"/>
    <n v="0"/>
    <n v="2"/>
    <s v="True"/>
    <n v="0.05"/>
    <n v="12000"/>
    <n v="48120"/>
    <n v="17449.999966208499"/>
    <n v="28598.9993870283"/>
    <n v="0"/>
    <n v="0"/>
    <n v="0"/>
    <n v="0"/>
    <n v="0"/>
    <n v="0"/>
    <n v="0"/>
  </r>
  <r>
    <x v="34"/>
    <s v="MVPRP"/>
    <s v="C40"/>
    <s v="P6"/>
    <s v="V3"/>
    <x v="0"/>
    <x v="2"/>
    <s v="TIME_LIMIT"/>
    <n v="114580.499510803"/>
    <n v="112321.893269849"/>
    <n v="1.9711960155501002E-2"/>
    <n v="3600.0457360744499"/>
    <s v="[]"/>
    <n v="360"/>
    <m/>
    <n v="2"/>
    <n v="0.5"/>
    <n v="100"/>
    <n v="50"/>
    <n v="0"/>
    <n v="2"/>
    <s v="True"/>
    <n v="0.05"/>
    <n v="6000"/>
    <n v="55170"/>
    <n v="28397.0000946"/>
    <n v="25013.4994162031"/>
    <n v="0"/>
    <n v="0"/>
    <n v="0"/>
    <n v="0"/>
    <n v="0"/>
    <n v="0"/>
    <n v="0"/>
  </r>
  <r>
    <x v="35"/>
    <s v="MVPRP"/>
    <s v="C20"/>
    <s v="P9"/>
    <s v="V3"/>
    <x v="1"/>
    <x v="2"/>
    <s v="TIME_LIMIT"/>
    <n v="79898.499787247696"/>
    <n v="79681.443479395995"/>
    <n v="2.7166506058261602E-3"/>
    <n v="3600.1542019844101"/>
    <s v="[]"/>
    <n v="189"/>
    <m/>
    <n v="2"/>
    <n v="0.5"/>
    <n v="100"/>
    <n v="50"/>
    <n v="0"/>
    <n v="2"/>
    <s v="True"/>
    <n v="0.05"/>
    <n v="9000"/>
    <n v="48120"/>
    <n v="15214"/>
    <n v="7564.4997872476497"/>
    <n v="0"/>
    <n v="0"/>
    <n v="0"/>
    <n v="0"/>
    <n v="0"/>
    <n v="0"/>
    <n v="0"/>
  </r>
  <r>
    <x v="36"/>
    <s v="MVPRP"/>
    <s v="C15"/>
    <s v="P9"/>
    <s v="V3"/>
    <x v="0"/>
    <x v="2"/>
    <s v="TIME_LIMIT"/>
    <n v="99897.499815615898"/>
    <n v="98544.457483100996"/>
    <n v="1.3544306264042599E-2"/>
    <n v="3600.0566389560699"/>
    <s v="[]"/>
    <n v="132"/>
    <m/>
    <n v="2"/>
    <n v="0.5"/>
    <n v="100"/>
    <n v="50"/>
    <n v="0"/>
    <n v="2"/>
    <s v="True"/>
    <n v="0.05"/>
    <n v="12000"/>
    <n v="40949.9998823075"/>
    <n v="15543.9999333083"/>
    <n v="31403.5"/>
    <n v="0"/>
    <n v="0"/>
    <n v="0"/>
    <n v="0"/>
    <n v="0"/>
    <n v="0"/>
    <n v="0"/>
  </r>
  <r>
    <x v="37"/>
    <s v="MVPRP"/>
    <s v="C30"/>
    <s v="P9"/>
    <s v="V3"/>
    <x v="1"/>
    <x v="2"/>
    <s v="TIME_LIMIT"/>
    <n v="106059.5"/>
    <n v="105374.008452761"/>
    <n v="6.4632734195350103E-3"/>
    <n v="3600.3483009338402"/>
    <s v="[]"/>
    <n v="228"/>
    <m/>
    <n v="2"/>
    <n v="0.5"/>
    <n v="100"/>
    <n v="50"/>
    <n v="0"/>
    <n v="2"/>
    <s v="True"/>
    <n v="0.05"/>
    <n v="12000"/>
    <n v="67710"/>
    <n v="16127"/>
    <n v="10222.5"/>
    <n v="0"/>
    <n v="0"/>
    <n v="0"/>
    <n v="0"/>
    <n v="0"/>
    <n v="0"/>
    <n v="0"/>
  </r>
  <r>
    <x v="38"/>
    <s v="MVPRP"/>
    <s v="C10"/>
    <s v="P9"/>
    <s v="V3"/>
    <x v="1"/>
    <x v="2"/>
    <s v="OPTIMAL"/>
    <n v="49829.5"/>
    <n v="49829.031330077101"/>
    <n v="9.4054711137442401E-6"/>
    <n v="707.30213308334396"/>
    <s v="[]"/>
    <n v="132"/>
    <m/>
    <n v="2"/>
    <n v="0.5"/>
    <n v="100"/>
    <n v="50"/>
    <n v="0"/>
    <n v="2"/>
    <s v="True"/>
    <n v="0.05"/>
    <n v="9000"/>
    <n v="26370"/>
    <n v="8932"/>
    <n v="5527.5"/>
    <n v="0"/>
    <n v="0"/>
    <n v="0"/>
    <n v="0"/>
    <n v="0"/>
    <n v="0"/>
    <n v="0"/>
  </r>
  <r>
    <x v="39"/>
    <s v="MVPRP"/>
    <s v="C30"/>
    <s v="P3"/>
    <s v="V3"/>
    <x v="1"/>
    <x v="2"/>
    <s v="TIME_LIMIT"/>
    <n v="27692.9996937326"/>
    <n v="27620.413750298601"/>
    <n v="2.62109357010183E-3"/>
    <n v="3600.0521810054802"/>
    <s v="[]"/>
    <n v="228"/>
    <m/>
    <n v="2"/>
    <n v="0.5"/>
    <n v="100"/>
    <n v="50"/>
    <n v="0"/>
    <n v="2"/>
    <s v="True"/>
    <n v="0.05"/>
    <n v="3000"/>
    <n v="16679.9997735992"/>
    <n v="5125.9999201334203"/>
    <n v="2887"/>
    <n v="0"/>
    <n v="0"/>
    <n v="0"/>
    <n v="0"/>
    <n v="0"/>
    <n v="0"/>
    <n v="0"/>
  </r>
  <r>
    <x v="40"/>
    <s v="MVPRP"/>
    <s v="C10"/>
    <s v="P9"/>
    <s v="V3"/>
    <x v="0"/>
    <x v="2"/>
    <s v="TIME_LIMIT"/>
    <n v="66834.994197344393"/>
    <n v="66574.279362295594"/>
    <n v="3.9008731605327698E-3"/>
    <n v="3600.0266900062602"/>
    <s v="[]"/>
    <n v="132"/>
    <m/>
    <n v="2"/>
    <n v="0.5"/>
    <n v="100"/>
    <n v="50"/>
    <n v="0"/>
    <n v="2"/>
    <s v="True"/>
    <n v="0.05"/>
    <n v="9000"/>
    <n v="26369.999999999902"/>
    <n v="12572.994000013599"/>
    <n v="18892.000197330901"/>
    <n v="0"/>
    <n v="0"/>
    <n v="0"/>
    <n v="0"/>
    <n v="0"/>
    <n v="0"/>
    <n v="0"/>
  </r>
  <r>
    <x v="41"/>
    <s v="MVPRP"/>
    <s v="C25"/>
    <s v="P9"/>
    <s v="V3"/>
    <x v="0"/>
    <x v="2"/>
    <s v="TIME_LIMIT"/>
    <n v="126859"/>
    <n v="124734.5805699"/>
    <n v="1.6746304401739302E-2"/>
    <n v="3600.06720685959"/>
    <s v="[]"/>
    <n v="189"/>
    <m/>
    <n v="2"/>
    <n v="0.5"/>
    <n v="100"/>
    <n v="50"/>
    <n v="0"/>
    <n v="2"/>
    <s v="True"/>
    <n v="0.05"/>
    <n v="9000"/>
    <n v="59880"/>
    <n v="22756"/>
    <n v="35223"/>
    <n v="0"/>
    <n v="0"/>
    <n v="0"/>
    <n v="0"/>
    <n v="0"/>
    <n v="0"/>
    <n v="0"/>
  </r>
  <r>
    <x v="0"/>
    <s v="MVPRP"/>
    <s v="C15"/>
    <s v="P3"/>
    <s v="V3"/>
    <x v="0"/>
    <x v="3"/>
    <s v="OPTIMAL"/>
    <n v="30676"/>
    <n v="30676"/>
    <n v="0"/>
    <n v="23.045698881149299"/>
    <s v="[]"/>
    <n v="132"/>
    <m/>
    <n v="2"/>
    <n v="0.5"/>
    <n v="100"/>
    <n v="50"/>
    <n v="0"/>
    <n v="1"/>
    <s v="False"/>
    <n v="0"/>
    <n v="3000"/>
    <n v="9960"/>
    <n v="4874"/>
    <n v="12842"/>
    <n v="0"/>
    <n v="0"/>
    <n v="0"/>
    <n v="187"/>
    <n v="0"/>
    <n v="25"/>
    <n v="0"/>
  </r>
  <r>
    <x v="1"/>
    <s v="MVPRP"/>
    <s v="C30"/>
    <s v="P9"/>
    <s v="V3"/>
    <x v="0"/>
    <x v="3"/>
    <s v="TIME_LIMIT"/>
    <n v="154135"/>
    <n v="146428.66490523101"/>
    <n v="4.9997308169909799E-2"/>
    <n v="3600.0424265861502"/>
    <s v="[]"/>
    <n v="228"/>
    <m/>
    <n v="2"/>
    <n v="0.5"/>
    <n v="100"/>
    <n v="50"/>
    <n v="0"/>
    <n v="1"/>
    <s v="False"/>
    <n v="0"/>
    <n v="12000"/>
    <n v="67710"/>
    <n v="24957"/>
    <n v="49468"/>
    <n v="0"/>
    <n v="0"/>
    <n v="0"/>
    <n v="3719"/>
    <n v="0"/>
    <n v="382"/>
    <n v="0"/>
  </r>
  <r>
    <x v="3"/>
    <s v="MVPRP"/>
    <s v="C40"/>
    <s v="P3"/>
    <s v="V3"/>
    <x v="0"/>
    <x v="3"/>
    <s v="OPTIMAL"/>
    <n v="61830"/>
    <n v="61827.609761093801"/>
    <n v="3.8658238819792197E-5"/>
    <n v="2714.9084372520401"/>
    <s v="[]"/>
    <n v="360"/>
    <m/>
    <n v="2"/>
    <n v="0.5"/>
    <n v="100"/>
    <n v="50"/>
    <n v="0"/>
    <n v="1"/>
    <s v="False"/>
    <n v="0"/>
    <n v="3000"/>
    <n v="27660"/>
    <n v="12624"/>
    <n v="18546"/>
    <n v="0"/>
    <n v="0"/>
    <n v="0"/>
    <n v="925"/>
    <n v="0"/>
    <n v="122"/>
    <n v="0"/>
  </r>
  <r>
    <x v="7"/>
    <s v="MVPRP"/>
    <s v="C45"/>
    <s v="P3"/>
    <s v="V3"/>
    <x v="0"/>
    <x v="3"/>
    <s v="OPTIMAL"/>
    <n v="70029"/>
    <n v="70029"/>
    <n v="0"/>
    <n v="1626.2620828151701"/>
    <s v="[]"/>
    <n v="360"/>
    <m/>
    <n v="2"/>
    <n v="0.5"/>
    <n v="100"/>
    <n v="50"/>
    <n v="0"/>
    <n v="1"/>
    <s v="False"/>
    <n v="0"/>
    <n v="3000"/>
    <n v="33060"/>
    <n v="14204"/>
    <n v="19765"/>
    <n v="0"/>
    <n v="0"/>
    <n v="0"/>
    <n v="708"/>
    <n v="0"/>
    <n v="107"/>
    <n v="0"/>
  </r>
  <r>
    <x v="9"/>
    <s v="MVPRP"/>
    <s v="C35"/>
    <s v="P3"/>
    <s v="V3"/>
    <x v="0"/>
    <x v="3"/>
    <s v="OPTIMAL"/>
    <n v="49960"/>
    <n v="49958.861801242201"/>
    <n v="2.2782200915835899E-5"/>
    <n v="111.026981592178"/>
    <s v="[]"/>
    <n v="276"/>
    <m/>
    <n v="2"/>
    <n v="0.5"/>
    <n v="100"/>
    <n v="50"/>
    <n v="0"/>
    <n v="1"/>
    <s v="False"/>
    <n v="0"/>
    <n v="3000"/>
    <n v="21600"/>
    <n v="8870"/>
    <n v="16490"/>
    <n v="0"/>
    <n v="0"/>
    <n v="0"/>
    <n v="271"/>
    <n v="0"/>
    <n v="73"/>
    <n v="0"/>
  </r>
  <r>
    <x v="11"/>
    <s v="MVPRP"/>
    <s v="C10"/>
    <s v="P3"/>
    <s v="V3"/>
    <x v="0"/>
    <x v="3"/>
    <s v="OPTIMAL"/>
    <n v="20750"/>
    <n v="20750"/>
    <n v="0"/>
    <n v="1.7461397647857699"/>
    <s v="[]"/>
    <n v="132"/>
    <m/>
    <n v="2"/>
    <n v="0.5"/>
    <n v="100"/>
    <n v="50"/>
    <n v="0"/>
    <n v="1"/>
    <s v="False"/>
    <n v="0"/>
    <n v="3000"/>
    <n v="6390"/>
    <n v="3082"/>
    <n v="8278"/>
    <n v="0"/>
    <n v="0"/>
    <n v="0"/>
    <n v="25"/>
    <n v="0"/>
    <n v="3"/>
    <n v="0"/>
  </r>
  <r>
    <x v="12"/>
    <s v="MVPRP"/>
    <s v="C30"/>
    <s v="P3"/>
    <s v="V3"/>
    <x v="0"/>
    <x v="3"/>
    <s v="OPTIMAL"/>
    <n v="41464"/>
    <n v="41464"/>
    <n v="0"/>
    <n v="12.4477450847626"/>
    <s v="[]"/>
    <n v="228"/>
    <m/>
    <n v="2"/>
    <n v="0.5"/>
    <n v="100"/>
    <n v="50"/>
    <n v="0"/>
    <n v="1"/>
    <s v="False"/>
    <n v="0"/>
    <n v="3000"/>
    <n v="16680"/>
    <n v="6562"/>
    <n v="15222"/>
    <n v="0"/>
    <n v="0"/>
    <n v="0"/>
    <n v="276"/>
    <n v="0"/>
    <n v="37"/>
    <n v="0"/>
  </r>
  <r>
    <x v="13"/>
    <s v="MVPRP"/>
    <s v="C20"/>
    <s v="P3"/>
    <s v="V3"/>
    <x v="0"/>
    <x v="3"/>
    <s v="OPTIMAL"/>
    <n v="33151"/>
    <n v="33151"/>
    <n v="0"/>
    <n v="16.105900287628199"/>
    <s v="[]"/>
    <n v="189"/>
    <m/>
    <n v="2"/>
    <n v="0.5"/>
    <n v="100"/>
    <n v="50"/>
    <n v="0"/>
    <n v="1"/>
    <s v="False"/>
    <n v="0"/>
    <n v="3000"/>
    <n v="12030"/>
    <n v="5961"/>
    <n v="12160"/>
    <n v="0"/>
    <n v="0"/>
    <n v="0"/>
    <n v="133"/>
    <n v="0"/>
    <n v="19"/>
    <n v="0"/>
  </r>
  <r>
    <x v="14"/>
    <s v="MVPRP"/>
    <s v="C35"/>
    <s v="P6"/>
    <s v="V3"/>
    <x v="0"/>
    <x v="3"/>
    <s v="TIME_LIMIT"/>
    <n v="99886"/>
    <n v="98851.925147300106"/>
    <n v="1.03525504344943E-2"/>
    <n v="3601.8449048995999"/>
    <s v="[]"/>
    <n v="276"/>
    <m/>
    <n v="2"/>
    <n v="0.5"/>
    <n v="100"/>
    <n v="50"/>
    <n v="0"/>
    <n v="1"/>
    <s v="False"/>
    <n v="0"/>
    <n v="6000"/>
    <n v="42900"/>
    <n v="22352"/>
    <n v="28634"/>
    <n v="0"/>
    <n v="0"/>
    <n v="0"/>
    <n v="1326"/>
    <n v="0"/>
    <n v="221"/>
    <n v="0"/>
  </r>
  <r>
    <x v="15"/>
    <s v="MVPRP"/>
    <s v="C25"/>
    <s v="P6"/>
    <s v="V3"/>
    <x v="0"/>
    <x v="3"/>
    <s v="TIME_LIMIT"/>
    <n v="76711.999283793804"/>
    <n v="76416.527816995702"/>
    <n v="3.8516981639992801E-3"/>
    <n v="3600.0264861583701"/>
    <s v="[]"/>
    <n v="189"/>
    <m/>
    <n v="2"/>
    <n v="0.5"/>
    <n v="100"/>
    <n v="50"/>
    <n v="0"/>
    <n v="1"/>
    <s v="False"/>
    <n v="0"/>
    <n v="6000"/>
    <n v="28379.999999990301"/>
    <n v="19686.999970307599"/>
    <n v="22644.9993134959"/>
    <n v="0"/>
    <n v="0"/>
    <n v="0"/>
    <n v="1021"/>
    <n v="0"/>
    <n v="91"/>
    <n v="0"/>
  </r>
  <r>
    <x v="16"/>
    <s v="MVPRP"/>
    <s v="C15"/>
    <s v="P6"/>
    <s v="V3"/>
    <x v="0"/>
    <x v="3"/>
    <s v="OPTIMAL"/>
    <n v="60686.999585325299"/>
    <n v="60686.999585325299"/>
    <n v="0"/>
    <n v="867.94262433052097"/>
    <s v="[]"/>
    <n v="132"/>
    <m/>
    <n v="2"/>
    <n v="0.5"/>
    <n v="100"/>
    <n v="50"/>
    <n v="0"/>
    <n v="1"/>
    <s v="False"/>
    <n v="0"/>
    <n v="6000"/>
    <n v="19800"/>
    <n v="12042.0007707271"/>
    <n v="22844.998812239399"/>
    <n v="0"/>
    <n v="0"/>
    <n v="0"/>
    <n v="604"/>
    <n v="0"/>
    <n v="26"/>
    <n v="0"/>
  </r>
  <r>
    <x v="17"/>
    <s v="MVPRP"/>
    <s v="C50"/>
    <s v="P3"/>
    <s v="V3"/>
    <x v="0"/>
    <x v="3"/>
    <s v="TIME_LIMIT"/>
    <n v="65560"/>
    <n v="65319.653853376803"/>
    <n v="3.6660486062108301E-3"/>
    <n v="3602.6810309886901"/>
    <s v="[]"/>
    <n v="360"/>
    <m/>
    <n v="2"/>
    <n v="0.5"/>
    <n v="100"/>
    <n v="50"/>
    <n v="0"/>
    <n v="1"/>
    <s v="False"/>
    <n v="0"/>
    <n v="3000"/>
    <n v="29580"/>
    <n v="12059"/>
    <n v="20921"/>
    <n v="0"/>
    <n v="0"/>
    <n v="0"/>
    <n v="1523"/>
    <n v="0"/>
    <n v="171"/>
    <n v="0"/>
  </r>
  <r>
    <x v="18"/>
    <s v="MVPRP"/>
    <s v="C30"/>
    <s v="P6"/>
    <s v="V3"/>
    <x v="0"/>
    <x v="3"/>
    <s v="TIME_LIMIT"/>
    <n v="82749"/>
    <n v="82465.450241958504"/>
    <n v="3.4266245881103001E-3"/>
    <n v="3600.7795357704199"/>
    <s v="[]"/>
    <n v="228"/>
    <m/>
    <n v="2"/>
    <n v="0.5"/>
    <n v="100"/>
    <n v="50"/>
    <n v="0"/>
    <n v="1"/>
    <s v="False"/>
    <n v="0"/>
    <n v="6000"/>
    <n v="33150"/>
    <n v="17740"/>
    <n v="25859"/>
    <n v="0"/>
    <n v="0"/>
    <n v="0"/>
    <n v="1316"/>
    <n v="0"/>
    <n v="130"/>
    <n v="0"/>
  </r>
  <r>
    <x v="25"/>
    <s v="MVPRP"/>
    <s v="C10"/>
    <s v="P6"/>
    <s v="V3"/>
    <x v="0"/>
    <x v="3"/>
    <s v="OPTIMAL"/>
    <n v="42067.999985979397"/>
    <n v="42067.999985979397"/>
    <n v="0"/>
    <n v="11.096104145050001"/>
    <s v="[]"/>
    <n v="132"/>
    <m/>
    <n v="2"/>
    <n v="0.5"/>
    <n v="100"/>
    <n v="50"/>
    <n v="0"/>
    <n v="1"/>
    <s v="False"/>
    <n v="0"/>
    <n v="6000"/>
    <n v="12690"/>
    <n v="8493"/>
    <n v="14884.999985979401"/>
    <n v="0"/>
    <n v="0"/>
    <n v="0"/>
    <n v="96"/>
    <n v="0"/>
    <n v="12"/>
    <n v="0"/>
  </r>
  <r>
    <x v="29"/>
    <s v="MVPRP"/>
    <s v="C25"/>
    <s v="P3"/>
    <s v="V3"/>
    <x v="0"/>
    <x v="3"/>
    <s v="OPTIMAL"/>
    <n v="38054"/>
    <n v="38054"/>
    <n v="0"/>
    <n v="28.681736707687399"/>
    <s v="[]"/>
    <n v="189"/>
    <m/>
    <n v="2"/>
    <n v="0.5"/>
    <n v="100"/>
    <n v="50"/>
    <n v="0"/>
    <n v="1"/>
    <s v="False"/>
    <n v="0"/>
    <n v="3000"/>
    <n v="14340"/>
    <n v="7653"/>
    <n v="13061"/>
    <n v="0"/>
    <n v="0"/>
    <n v="0"/>
    <n v="183"/>
    <n v="0"/>
    <n v="39"/>
    <n v="0"/>
  </r>
  <r>
    <x v="32"/>
    <s v="MVPRP"/>
    <s v="C20"/>
    <s v="P6"/>
    <s v="V3"/>
    <x v="0"/>
    <x v="3"/>
    <s v="OPTIMAL"/>
    <n v="66288.999920291695"/>
    <n v="66288.999920291695"/>
    <n v="0"/>
    <n v="2472.0361132621802"/>
    <s v="[]"/>
    <n v="189"/>
    <m/>
    <n v="2"/>
    <n v="0.5"/>
    <n v="100"/>
    <n v="50"/>
    <n v="0"/>
    <n v="1"/>
    <s v="False"/>
    <n v="0"/>
    <n v="6000"/>
    <n v="23819.999967546901"/>
    <n v="15462.9999525648"/>
    <n v="21006"/>
    <n v="0"/>
    <n v="0"/>
    <n v="0"/>
    <n v="901"/>
    <n v="0"/>
    <n v="56"/>
    <n v="0"/>
  </r>
  <r>
    <x v="33"/>
    <s v="MVPRP"/>
    <s v="C20"/>
    <s v="P9"/>
    <s v="V3"/>
    <x v="0"/>
    <x v="3"/>
    <s v="TIME_LIMIT"/>
    <n v="116181.999595663"/>
    <n v="115809.362405917"/>
    <n v="3.2073573448852099E-3"/>
    <n v="3600.1263711452498"/>
    <s v="[]"/>
    <n v="189"/>
    <m/>
    <n v="2"/>
    <n v="0.5"/>
    <n v="100"/>
    <n v="50"/>
    <n v="0"/>
    <n v="1"/>
    <s v="False"/>
    <n v="0"/>
    <n v="9000"/>
    <n v="48119.9997550021"/>
    <n v="21360.9998407245"/>
    <n v="37701"/>
    <n v="0"/>
    <n v="0"/>
    <n v="0"/>
    <n v="1115"/>
    <n v="0"/>
    <n v="77"/>
    <n v="0"/>
  </r>
  <r>
    <x v="34"/>
    <s v="MVPRP"/>
    <s v="C40"/>
    <s v="P6"/>
    <s v="V3"/>
    <x v="0"/>
    <x v="3"/>
    <s v="TIME_LIMIT"/>
    <n v="126608"/>
    <n v="121582.536354082"/>
    <n v="3.9693097165408898E-2"/>
    <n v="3605.21713376045"/>
    <s v="[]"/>
    <n v="360"/>
    <m/>
    <n v="2"/>
    <n v="0.5"/>
    <n v="100"/>
    <n v="50"/>
    <n v="0"/>
    <n v="1"/>
    <s v="False"/>
    <n v="0"/>
    <n v="6000"/>
    <n v="55170"/>
    <n v="30041"/>
    <n v="35397"/>
    <n v="0"/>
    <n v="0"/>
    <n v="0"/>
    <n v="2057"/>
    <n v="0"/>
    <n v="789"/>
    <n v="0"/>
  </r>
  <r>
    <x v="36"/>
    <s v="MVPRP"/>
    <s v="C15"/>
    <s v="P9"/>
    <s v="V3"/>
    <x v="0"/>
    <x v="3"/>
    <s v="TIME_LIMIT"/>
    <n v="109246"/>
    <n v="108534.871643727"/>
    <n v="6.5094223703681797E-3"/>
    <n v="3600.0643427372001"/>
    <s v="[]"/>
    <n v="132"/>
    <m/>
    <n v="2"/>
    <n v="0.5"/>
    <n v="100"/>
    <n v="50"/>
    <n v="0"/>
    <n v="1"/>
    <s v="False"/>
    <n v="0"/>
    <n v="9000"/>
    <n v="40950"/>
    <n v="22165"/>
    <n v="37131"/>
    <n v="0"/>
    <n v="0"/>
    <n v="0"/>
    <n v="1045"/>
    <n v="0"/>
    <n v="30"/>
    <n v="0"/>
  </r>
  <r>
    <x v="40"/>
    <s v="MVPRP"/>
    <s v="C10"/>
    <s v="P9"/>
    <s v="V3"/>
    <x v="0"/>
    <x v="3"/>
    <s v="OPTIMAL"/>
    <n v="72847.999958617205"/>
    <n v="72847.999958617205"/>
    <n v="0"/>
    <n v="22.308111429214499"/>
    <s v="[]"/>
    <n v="132"/>
    <m/>
    <n v="2"/>
    <n v="0.5"/>
    <n v="100"/>
    <n v="50"/>
    <n v="0"/>
    <n v="1"/>
    <s v="False"/>
    <n v="0"/>
    <n v="9000"/>
    <n v="26370"/>
    <n v="14132.9999374242"/>
    <n v="23345.000021192998"/>
    <n v="0"/>
    <n v="0"/>
    <n v="0"/>
    <n v="128"/>
    <n v="0"/>
    <n v="10"/>
    <n v="0"/>
  </r>
  <r>
    <x v="41"/>
    <s v="MVPRP"/>
    <s v="C25"/>
    <s v="P9"/>
    <s v="V3"/>
    <x v="0"/>
    <x v="3"/>
    <s v="TIME_LIMIT"/>
    <n v="140566"/>
    <n v="137113.438898578"/>
    <n v="2.4561850671019299E-2"/>
    <n v="3600.6079318523398"/>
    <s v="[]"/>
    <n v="189"/>
    <m/>
    <n v="2"/>
    <n v="0.5"/>
    <n v="100"/>
    <n v="50"/>
    <n v="0"/>
    <n v="1"/>
    <s v="False"/>
    <n v="0"/>
    <n v="12000"/>
    <n v="59880"/>
    <n v="25707"/>
    <n v="42979"/>
    <n v="0"/>
    <n v="0"/>
    <n v="0"/>
    <n v="2812"/>
    <n v="0"/>
    <n v="96"/>
    <n v="0"/>
  </r>
  <r>
    <x v="2"/>
    <s v="MVPRP"/>
    <s v="C15"/>
    <s v="P9"/>
    <s v="V3"/>
    <x v="1"/>
    <x v="3"/>
    <s v="TIME_LIMIT"/>
    <n v="75988"/>
    <n v="75255.136008802001"/>
    <n v="9.64447006366774E-3"/>
    <n v="3601.1645689010602"/>
    <s v="[]"/>
    <n v="132"/>
    <m/>
    <n v="2"/>
    <n v="0.5"/>
    <n v="100"/>
    <n v="50"/>
    <n v="0"/>
    <n v="1"/>
    <s v="False"/>
    <n v="0"/>
    <n v="9000"/>
    <n v="40950"/>
    <n v="14725"/>
    <n v="11313"/>
    <n v="0"/>
    <n v="0"/>
    <n v="0"/>
    <n v="1613"/>
    <n v="0"/>
    <n v="49"/>
    <n v="0"/>
  </r>
  <r>
    <x v="4"/>
    <s v="MVPRP"/>
    <s v="C40"/>
    <s v="P3"/>
    <s v="V3"/>
    <x v="1"/>
    <x v="3"/>
    <s v="OPTIMAL"/>
    <n v="44822"/>
    <n v="44822"/>
    <n v="0"/>
    <n v="107.950572729111"/>
    <s v="[]"/>
    <n v="360"/>
    <m/>
    <n v="2"/>
    <n v="0.5"/>
    <n v="100"/>
    <n v="50"/>
    <n v="0"/>
    <n v="1"/>
    <s v="False"/>
    <n v="0"/>
    <n v="6000"/>
    <n v="27660"/>
    <n v="5480"/>
    <n v="5682"/>
    <n v="0"/>
    <n v="0"/>
    <n v="0"/>
    <n v="324"/>
    <n v="0"/>
    <n v="82"/>
    <n v="0"/>
  </r>
  <r>
    <x v="5"/>
    <s v="MVPRP"/>
    <s v="C20"/>
    <s v="P6"/>
    <s v="V3"/>
    <x v="1"/>
    <x v="3"/>
    <s v="OPTIMAL"/>
    <n v="48181"/>
    <n v="48181"/>
    <n v="0"/>
    <n v="27.982041597366301"/>
    <s v="[]"/>
    <n v="189"/>
    <m/>
    <n v="2"/>
    <n v="0.5"/>
    <n v="100"/>
    <n v="50"/>
    <n v="0"/>
    <n v="1"/>
    <s v="False"/>
    <n v="0"/>
    <n v="6000"/>
    <n v="23820"/>
    <n v="12552"/>
    <n v="5809"/>
    <n v="0"/>
    <n v="0"/>
    <n v="0"/>
    <n v="201"/>
    <n v="0"/>
    <n v="52"/>
    <n v="0"/>
  </r>
  <r>
    <x v="6"/>
    <s v="MVPRP"/>
    <s v="C10"/>
    <s v="P3"/>
    <s v="V3"/>
    <x v="1"/>
    <x v="3"/>
    <s v="OPTIMAL"/>
    <n v="14236"/>
    <n v="14236"/>
    <n v="0"/>
    <n v="2.5246286392211901"/>
    <s v="[]"/>
    <n v="132"/>
    <m/>
    <n v="2"/>
    <n v="0.5"/>
    <n v="100"/>
    <n v="50"/>
    <n v="0"/>
    <n v="1"/>
    <s v="False"/>
    <n v="0"/>
    <n v="3000"/>
    <n v="6390"/>
    <n v="2845"/>
    <n v="2001"/>
    <n v="0"/>
    <n v="0"/>
    <n v="0"/>
    <n v="39"/>
    <n v="0"/>
    <n v="9"/>
    <n v="0"/>
  </r>
  <r>
    <x v="8"/>
    <s v="MVPRP"/>
    <s v="C20"/>
    <s v="P3"/>
    <s v="V3"/>
    <x v="1"/>
    <x v="3"/>
    <s v="OPTIMAL"/>
    <n v="22675"/>
    <n v="22675"/>
    <n v="0"/>
    <n v="7.94667267799377"/>
    <s v="[]"/>
    <n v="189"/>
    <m/>
    <n v="2"/>
    <n v="0.5"/>
    <n v="100"/>
    <n v="50"/>
    <n v="0"/>
    <n v="1"/>
    <s v="False"/>
    <n v="0"/>
    <n v="3000"/>
    <n v="12030"/>
    <n v="4455"/>
    <n v="3190"/>
    <n v="0"/>
    <n v="0"/>
    <n v="0"/>
    <n v="154"/>
    <n v="0"/>
    <n v="33"/>
    <n v="0"/>
  </r>
  <r>
    <x v="10"/>
    <s v="MVPRP"/>
    <s v="C40"/>
    <s v="P6"/>
    <s v="V3"/>
    <x v="1"/>
    <x v="3"/>
    <s v="TIME_LIMIT"/>
    <n v="96993"/>
    <n v="96752.303220362606"/>
    <n v="2.4815891831102099E-3"/>
    <n v="3601.67462682724"/>
    <s v="[]"/>
    <n v="360"/>
    <m/>
    <n v="2"/>
    <n v="0.5"/>
    <n v="100"/>
    <n v="50"/>
    <n v="0"/>
    <n v="1"/>
    <s v="False"/>
    <n v="0"/>
    <n v="6000"/>
    <n v="55170"/>
    <n v="26811"/>
    <n v="9012"/>
    <n v="0"/>
    <n v="0"/>
    <n v="0"/>
    <n v="843"/>
    <n v="0"/>
    <n v="2681"/>
    <n v="0"/>
  </r>
  <r>
    <x v="19"/>
    <s v="MVPRP"/>
    <s v="C45"/>
    <s v="P3"/>
    <s v="V3"/>
    <x v="1"/>
    <x v="3"/>
    <s v="OPTIMAL"/>
    <n v="50846"/>
    <n v="50846"/>
    <n v="0"/>
    <n v="68.337500810623197"/>
    <s v="[]"/>
    <n v="360"/>
    <m/>
    <n v="2"/>
    <n v="0.5"/>
    <n v="100"/>
    <n v="50"/>
    <n v="0"/>
    <n v="1"/>
    <s v="False"/>
    <n v="0"/>
    <n v="6000"/>
    <n v="33060"/>
    <n v="5021"/>
    <n v="6765"/>
    <n v="0"/>
    <n v="0"/>
    <n v="0"/>
    <n v="296"/>
    <n v="0"/>
    <n v="181"/>
    <n v="0"/>
  </r>
  <r>
    <x v="20"/>
    <s v="MVPRP"/>
    <s v="C25"/>
    <s v="P6"/>
    <s v="V3"/>
    <x v="1"/>
    <x v="3"/>
    <s v="OPTIMAL"/>
    <n v="57677"/>
    <n v="57671.304179105799"/>
    <n v="9.8753764832643705E-5"/>
    <n v="189.830693244934"/>
    <s v="[]"/>
    <n v="189"/>
    <m/>
    <n v="2"/>
    <n v="0.5"/>
    <n v="100"/>
    <n v="50"/>
    <n v="0"/>
    <n v="1"/>
    <s v="False"/>
    <n v="0"/>
    <n v="6000"/>
    <n v="28380"/>
    <n v="17248"/>
    <n v="6049"/>
    <n v="0"/>
    <n v="0"/>
    <n v="0"/>
    <n v="465"/>
    <n v="0"/>
    <n v="96"/>
    <n v="0"/>
  </r>
  <r>
    <x v="21"/>
    <s v="MVPRP"/>
    <s v="C35"/>
    <s v="P6"/>
    <s v="V3"/>
    <x v="1"/>
    <x v="3"/>
    <s v="TIME_LIMIT"/>
    <n v="75538.9998224054"/>
    <n v="75433.2378964089"/>
    <n v="1.40009698625977E-3"/>
    <n v="3601.5368080139201"/>
    <s v="[]"/>
    <n v="276"/>
    <m/>
    <n v="2"/>
    <n v="0.5"/>
    <n v="100"/>
    <n v="50"/>
    <n v="0"/>
    <n v="1"/>
    <s v="False"/>
    <n v="0"/>
    <n v="6000"/>
    <n v="42900"/>
    <n v="18867.999802736598"/>
    <n v="7771.0000196688097"/>
    <n v="0"/>
    <n v="0"/>
    <n v="0"/>
    <n v="1284"/>
    <n v="0"/>
    <n v="160"/>
    <n v="0"/>
  </r>
  <r>
    <x v="22"/>
    <s v="MVPRP"/>
    <s v="C25"/>
    <s v="P3"/>
    <s v="V3"/>
    <x v="1"/>
    <x v="3"/>
    <s v="OPTIMAL"/>
    <n v="26569"/>
    <n v="26569"/>
    <n v="0"/>
    <n v="15.451955080032301"/>
    <s v="[]"/>
    <n v="189"/>
    <m/>
    <n v="2"/>
    <n v="0.5"/>
    <n v="100"/>
    <n v="50"/>
    <n v="0"/>
    <n v="1"/>
    <s v="False"/>
    <n v="0"/>
    <n v="3000"/>
    <n v="14340"/>
    <n v="5405"/>
    <n v="3824"/>
    <n v="0"/>
    <n v="0"/>
    <n v="0"/>
    <n v="307"/>
    <n v="0"/>
    <n v="48"/>
    <n v="0"/>
  </r>
  <r>
    <x v="23"/>
    <s v="MVPRP"/>
    <s v="C10"/>
    <s v="P6"/>
    <s v="V3"/>
    <x v="1"/>
    <x v="3"/>
    <s v="OPTIMAL"/>
    <n v="30297"/>
    <n v="30297"/>
    <n v="0"/>
    <n v="6.7486011981964102"/>
    <s v="[]"/>
    <n v="132"/>
    <m/>
    <n v="2"/>
    <n v="0.5"/>
    <n v="100"/>
    <n v="50"/>
    <n v="0"/>
    <n v="1"/>
    <s v="False"/>
    <n v="0"/>
    <n v="6000"/>
    <n v="12690"/>
    <n v="8103"/>
    <n v="3504"/>
    <n v="0"/>
    <n v="0"/>
    <n v="0"/>
    <n v="81"/>
    <n v="0"/>
    <n v="11"/>
    <n v="0"/>
  </r>
  <r>
    <x v="24"/>
    <s v="MVPRP"/>
    <s v="C35"/>
    <s v="P3"/>
    <s v="V3"/>
    <x v="1"/>
    <x v="3"/>
    <s v="OPTIMAL"/>
    <n v="35803"/>
    <n v="35803"/>
    <n v="0"/>
    <n v="26.064972877502399"/>
    <s v="[]"/>
    <n v="276"/>
    <m/>
    <n v="2"/>
    <n v="0.5"/>
    <n v="100"/>
    <n v="50"/>
    <n v="0"/>
    <n v="1"/>
    <s v="False"/>
    <n v="0"/>
    <n v="3000"/>
    <n v="21600"/>
    <n v="6964"/>
    <n v="4239"/>
    <n v="0"/>
    <n v="0"/>
    <n v="0"/>
    <n v="271"/>
    <n v="0"/>
    <n v="61"/>
    <n v="0"/>
  </r>
  <r>
    <x v="26"/>
    <s v="MVPRP"/>
    <s v="C50"/>
    <s v="P3"/>
    <s v="V3"/>
    <x v="1"/>
    <x v="3"/>
    <s v="OPTIMAL"/>
    <n v="47126"/>
    <n v="47126"/>
    <n v="0"/>
    <n v="169.300560951233"/>
    <s v="[]"/>
    <n v="360"/>
    <m/>
    <n v="2"/>
    <n v="0.5"/>
    <n v="100"/>
    <n v="50"/>
    <n v="0"/>
    <n v="1"/>
    <s v="False"/>
    <n v="0"/>
    <n v="6000"/>
    <n v="29580"/>
    <n v="4839"/>
    <n v="6707"/>
    <n v="0"/>
    <n v="0"/>
    <n v="0"/>
    <n v="374"/>
    <n v="0"/>
    <n v="192"/>
    <n v="0"/>
  </r>
  <r>
    <x v="27"/>
    <s v="MVPRP"/>
    <s v="C30"/>
    <s v="P6"/>
    <s v="V3"/>
    <x v="1"/>
    <x v="3"/>
    <s v="OPTIMAL"/>
    <n v="61786.999969999997"/>
    <n v="61782.695040581501"/>
    <n v="6.96737083947566E-5"/>
    <n v="1727.2135601043699"/>
    <s v="[]"/>
    <n v="228"/>
    <m/>
    <n v="2"/>
    <n v="0.5"/>
    <n v="100"/>
    <n v="50"/>
    <n v="0"/>
    <n v="1"/>
    <s v="False"/>
    <n v="0"/>
    <n v="6000"/>
    <n v="33150"/>
    <n v="16439.999970000001"/>
    <n v="6197"/>
    <n v="0"/>
    <n v="0"/>
    <n v="0"/>
    <n v="748"/>
    <n v="0"/>
    <n v="129"/>
    <n v="0"/>
  </r>
  <r>
    <x v="28"/>
    <s v="MVPRP"/>
    <s v="C25"/>
    <s v="P9"/>
    <s v="V3"/>
    <x v="1"/>
    <x v="3"/>
    <s v="TIME_LIMIT"/>
    <n v="101897.9996581"/>
    <n v="101701.50339873599"/>
    <n v="1.9283622840831501E-3"/>
    <n v="3603.4120757579799"/>
    <s v="[]"/>
    <n v="189"/>
    <m/>
    <n v="2"/>
    <n v="0.5"/>
    <n v="100"/>
    <n v="50"/>
    <n v="0"/>
    <n v="1"/>
    <s v="False"/>
    <n v="0"/>
    <n v="9000"/>
    <n v="59879.999969712801"/>
    <n v="20857.000013471701"/>
    <n v="12160.9996749288"/>
    <n v="0"/>
    <n v="0"/>
    <n v="0"/>
    <n v="1519"/>
    <n v="0"/>
    <n v="93"/>
    <n v="0"/>
  </r>
  <r>
    <x v="30"/>
    <s v="MVPRP"/>
    <s v="C15"/>
    <s v="P6"/>
    <s v="V3"/>
    <x v="1"/>
    <x v="3"/>
    <s v="OPTIMAL"/>
    <n v="42791"/>
    <n v="42786.818181818198"/>
    <n v="9.7726582268017797E-5"/>
    <n v="581.02645182609604"/>
    <s v="[]"/>
    <n v="132"/>
    <m/>
    <n v="2"/>
    <n v="0.5"/>
    <n v="100"/>
    <n v="50"/>
    <n v="0"/>
    <n v="1"/>
    <s v="False"/>
    <n v="0"/>
    <n v="6000"/>
    <n v="19800"/>
    <n v="11100"/>
    <n v="5891"/>
    <n v="0"/>
    <n v="0"/>
    <n v="0"/>
    <n v="525"/>
    <n v="0"/>
    <n v="38"/>
    <n v="0"/>
  </r>
  <r>
    <x v="31"/>
    <s v="MVPRP"/>
    <s v="C15"/>
    <s v="P3"/>
    <s v="V3"/>
    <x v="1"/>
    <x v="3"/>
    <s v="OPTIMAL"/>
    <n v="19989"/>
    <n v="19989"/>
    <n v="0"/>
    <n v="7.2398519515991202"/>
    <s v="[]"/>
    <n v="132"/>
    <m/>
    <n v="2"/>
    <n v="0.5"/>
    <n v="100"/>
    <n v="50"/>
    <n v="0"/>
    <n v="1"/>
    <s v="False"/>
    <n v="0"/>
    <n v="3000"/>
    <n v="9960"/>
    <n v="3694"/>
    <n v="3335"/>
    <n v="0"/>
    <n v="0"/>
    <n v="0"/>
    <n v="199"/>
    <n v="0"/>
    <n v="25"/>
    <n v="0"/>
  </r>
  <r>
    <x v="35"/>
    <s v="MVPRP"/>
    <s v="C20"/>
    <s v="P9"/>
    <s v="V3"/>
    <x v="1"/>
    <x v="3"/>
    <s v="OPTIMAL"/>
    <n v="83684.999949504898"/>
    <n v="83678.781075164996"/>
    <n v="7.4312891721312597E-5"/>
    <n v="1338.0379493236501"/>
    <s v="[]"/>
    <n v="189"/>
    <m/>
    <n v="2"/>
    <n v="0.5"/>
    <n v="100"/>
    <n v="50"/>
    <n v="0"/>
    <n v="1"/>
    <s v="False"/>
    <n v="0"/>
    <n v="9000"/>
    <n v="48119.999970629702"/>
    <n v="15204.9999789342"/>
    <n v="11360"/>
    <n v="0"/>
    <n v="0"/>
    <n v="0"/>
    <n v="780"/>
    <n v="0"/>
    <n v="72"/>
    <n v="0"/>
  </r>
  <r>
    <x v="37"/>
    <s v="MVPRP"/>
    <s v="C30"/>
    <s v="P9"/>
    <s v="V3"/>
    <x v="1"/>
    <x v="3"/>
    <s v="TIME_LIMIT"/>
    <n v="111231"/>
    <n v="110668.141916063"/>
    <n v="5.06026273194677E-3"/>
    <n v="3601.7885897159599"/>
    <s v="[]"/>
    <n v="228"/>
    <m/>
    <n v="2"/>
    <n v="0.5"/>
    <n v="100"/>
    <n v="50"/>
    <n v="0"/>
    <n v="1"/>
    <s v="False"/>
    <n v="0"/>
    <n v="12000"/>
    <n v="67710"/>
    <n v="19116"/>
    <n v="12405"/>
    <n v="0"/>
    <n v="0"/>
    <n v="0"/>
    <n v="2662"/>
    <n v="0"/>
    <n v="323"/>
    <n v="0"/>
  </r>
  <r>
    <x v="38"/>
    <s v="MVPRP"/>
    <s v="C10"/>
    <s v="P9"/>
    <s v="V3"/>
    <x v="1"/>
    <x v="3"/>
    <s v="OPTIMAL"/>
    <n v="52638.999136016602"/>
    <n v="52635.5040288241"/>
    <n v="6.6397675675101896E-5"/>
    <n v="249.137942075729"/>
    <s v="[]"/>
    <n v="132"/>
    <m/>
    <n v="2"/>
    <n v="0.5"/>
    <n v="100"/>
    <n v="50"/>
    <n v="0"/>
    <n v="1"/>
    <s v="False"/>
    <n v="0"/>
    <n v="9000"/>
    <n v="26370"/>
    <n v="9789.99983192531"/>
    <n v="7478.9993066233401"/>
    <n v="0"/>
    <n v="0"/>
    <n v="0"/>
    <n v="191"/>
    <n v="0"/>
    <n v="12"/>
    <n v="0"/>
  </r>
  <r>
    <x v="39"/>
    <s v="MVPRP"/>
    <s v="C30"/>
    <s v="P3"/>
    <s v="V3"/>
    <x v="1"/>
    <x v="3"/>
    <s v="OPTIMAL"/>
    <n v="29172"/>
    <n v="29172"/>
    <n v="0"/>
    <n v="15.691298961639401"/>
    <s v="[]"/>
    <n v="228"/>
    <m/>
    <n v="2"/>
    <n v="0.5"/>
    <n v="100"/>
    <n v="50"/>
    <n v="0"/>
    <n v="1"/>
    <s v="False"/>
    <n v="0"/>
    <n v="3000"/>
    <n v="16680"/>
    <n v="5721"/>
    <n v="3771"/>
    <n v="0"/>
    <n v="0"/>
    <n v="0"/>
    <n v="288"/>
    <n v="0"/>
    <n v="64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s v="MVPRP_C10_P3_V3_I1"/>
    <s v="MVPRP"/>
    <s v="C10"/>
    <x v="0"/>
    <s v="V3"/>
    <x v="0"/>
    <n v="14236"/>
    <n v="14236"/>
    <n v="0"/>
    <n v="2.5246286392211901"/>
    <n v="13261"/>
    <n v="13261"/>
    <n v="0"/>
    <n v="2.5826830863952601"/>
    <n v="13310.3697351344"/>
    <n v="13310.3697351344"/>
    <n v="0"/>
    <n v="3.50089073181152E-2"/>
    <n v="13310.3697351343"/>
    <n v="13310.3697351343"/>
    <n v="0"/>
    <n v="1.6492121219635001"/>
    <n v="925.63026486570016"/>
    <n v="6.9542040024807825"/>
    <n v="6.9542040024807825"/>
    <n v="6.9542040024807825"/>
    <n v="1.0004441719502211E-10"/>
    <n v="7.5162763458736241E-13"/>
    <n v="7.5162763458736241E-13"/>
  </r>
  <r>
    <s v="MVPRP_C10_P6_V3_I1"/>
    <s v="MVPRP"/>
    <s v="C10"/>
    <x v="1"/>
    <s v="V3"/>
    <x v="0"/>
    <n v="30297"/>
    <n v="30297"/>
    <n v="0"/>
    <n v="6.7486011981964102"/>
    <n v="28808.5"/>
    <n v="28808.5"/>
    <n v="0"/>
    <n v="109.88926386833199"/>
    <n v="28912.325360672399"/>
    <n v="28912.325360672399"/>
    <n v="0"/>
    <n v="0.128209829330444"/>
    <n v="28912.325360672399"/>
    <n v="28912.325360672399"/>
    <n v="0"/>
    <n v="9.4827632904052699"/>
    <n v="1384.6746393276007"/>
    <n v="4.7892192068752992"/>
    <n v="4.7892192068752992"/>
    <n v="4.7892192068752992"/>
    <n v="0"/>
    <n v="0"/>
    <n v="0"/>
  </r>
  <r>
    <s v="MVPRP_C10_P9_V3_I1"/>
    <s v="MVPRP"/>
    <s v="C10"/>
    <x v="2"/>
    <s v="V3"/>
    <x v="0"/>
    <n v="52638.999136016602"/>
    <n v="52635.5040288241"/>
    <n v="6.6397675675101896E-5"/>
    <n v="249.137942075729"/>
    <n v="49829.5"/>
    <n v="49829.031330077101"/>
    <n v="9.4054711137442401E-6"/>
    <n v="707.30213308334396"/>
    <n v="50231.331443295901"/>
    <n v="50231.331443295901"/>
    <n v="0"/>
    <n v="0.14565014839172399"/>
    <n v="50231.331083236597"/>
    <n v="50231.331083236597"/>
    <n v="0"/>
    <n v="1446.8093454837799"/>
    <n v="2407.6680527800054"/>
    <n v="4.7931599678104133"/>
    <n v="4.7862019455618867"/>
    <n v="4.7931599678104133"/>
    <n v="3.6005930451210588E-4"/>
    <n v="7.1680223626856336E-7"/>
    <n v="7.1680223626856336E-7"/>
  </r>
  <r>
    <s v="MVPRP_C15_P3_V3_I1"/>
    <s v="MVPRP"/>
    <s v="C15"/>
    <x v="0"/>
    <s v="V3"/>
    <x v="0"/>
    <n v="19989"/>
    <n v="19989"/>
    <n v="0"/>
    <n v="7.2398519515991202"/>
    <n v="18787"/>
    <n v="18787"/>
    <n v="0"/>
    <n v="65.541598081588802"/>
    <n v="18984.126365642202"/>
    <n v="18984.126365642202"/>
    <n v="0"/>
    <n v="6.6889047622680706E-2"/>
    <n v="18956.9855368877"/>
    <n v="18956.9855368877"/>
    <n v="0"/>
    <n v="72.067611455917401"/>
    <n v="1032.0144631123003"/>
    <n v="5.4439797989197247"/>
    <n v="5.4439797989197247"/>
    <n v="5.4439797989197247"/>
    <n v="27.140828754501854"/>
    <n v="0.14317059377235644"/>
    <n v="0.14317059377235644"/>
  </r>
  <r>
    <s v="MVPRP_C15_P6_V3_I1"/>
    <s v="MVPRP"/>
    <s v="C15"/>
    <x v="1"/>
    <s v="V3"/>
    <x v="0"/>
    <n v="42791"/>
    <n v="42786.818181818198"/>
    <n v="9.7726582268017797E-5"/>
    <n v="581.02645182609604"/>
    <n v="40840.999735390396"/>
    <n v="40657.559437697601"/>
    <n v="4.4915721672193001E-3"/>
    <n v="3600.0269849300398"/>
    <n v="41270.954555705597"/>
    <n v="41270.954555705597"/>
    <n v="0"/>
    <n v="0.24188184738159199"/>
    <n v="41262.2486082865"/>
    <n v="40988.612591177"/>
    <n v="6.6316312449948202E-3"/>
    <n v="3600.0509643554701"/>
    <n v="1528.7513917135002"/>
    <n v="3.7049638429217562"/>
    <n v="3.694829111241229"/>
    <n v="4.3681269674213432"/>
    <n v="8.705947419097356"/>
    <n v="2.1099062006400163E-2"/>
    <n v="0.68426218650598758"/>
  </r>
  <r>
    <s v="MVPRP_C15_P9_V3_I1"/>
    <s v="MVPRP"/>
    <s v="C15"/>
    <x v="2"/>
    <s v="V3"/>
    <x v="0"/>
    <n v="75988"/>
    <n v="75255.136008802001"/>
    <n v="9.64447006366774E-3"/>
    <n v="3601.1645689010602"/>
    <n v="72398.999814665207"/>
    <n v="71861.067706896894"/>
    <n v="7.4301041332798202E-3"/>
    <n v="3600.0329861640898"/>
    <n v="73967.920901733101"/>
    <n v="73967.920901733101"/>
    <n v="0"/>
    <n v="0.42788386344909701"/>
    <n v="73717.314924689694"/>
    <n v="71692.915113215393"/>
    <n v="2.7461659632374302E-2"/>
    <n v="3600.0716583728799"/>
    <n v="2270.6850753103063"/>
    <n v="3.080260150047597"/>
    <n v="2.0861056668753601"/>
    <n v="5.8264261132849269"/>
    <n v="250.60597704340762"/>
    <n v="0.33995537859650621"/>
    <n v="3.0861213418338362"/>
  </r>
  <r>
    <s v="MVPRP_C20_P3_V3_I1"/>
    <s v="MVPRP"/>
    <s v="C20"/>
    <x v="0"/>
    <s v="V3"/>
    <x v="0"/>
    <n v="22675"/>
    <n v="22675"/>
    <n v="0"/>
    <n v="7.94667267799377"/>
    <n v="21264.5"/>
    <n v="21264.5"/>
    <n v="0"/>
    <n v="63.981189012527501"/>
    <n v="21378.120408857201"/>
    <n v="21378.120408857201"/>
    <n v="0"/>
    <n v="0.123895883560181"/>
    <n v="21378.120408857201"/>
    <n v="21378.120408857201"/>
    <n v="0"/>
    <n v="54.9741306304932"/>
    <n v="1296.8795911427987"/>
    <n v="6.0663873452854471"/>
    <n v="6.0663873452854471"/>
    <n v="6.0663873452854471"/>
    <n v="0"/>
    <n v="0"/>
    <n v="0"/>
  </r>
  <r>
    <s v="MVPRP_C20_P6_V3_I1"/>
    <s v="MVPRP"/>
    <s v="C20"/>
    <x v="1"/>
    <s v="V3"/>
    <x v="0"/>
    <n v="48181"/>
    <n v="48181"/>
    <n v="0"/>
    <n v="27.982041597366301"/>
    <n v="46031.499994193699"/>
    <n v="45971.462731603198"/>
    <n v="1.30426474475215E-3"/>
    <n v="3600.04978013039"/>
    <n v="46359.723733948202"/>
    <n v="46359.723733948202"/>
    <n v="0"/>
    <n v="0.28896093368530301"/>
    <n v="46354.875063957501"/>
    <n v="46351.189802901397"/>
    <n v="7.9501046028155405E-5"/>
    <n v="1966.58666706085"/>
    <n v="1826.124936042499"/>
    <n v="3.9394452763014209"/>
    <n v="3.9394452763014209"/>
    <n v="3.9473953809042679"/>
    <n v="4.8486699907007278"/>
    <n v="1.0459892263782055E-2"/>
    <n v="1.8409996866628982E-2"/>
  </r>
  <r>
    <s v="MVPRP_C20_P9_V3_I1"/>
    <s v="MVPRP"/>
    <s v="C20"/>
    <x v="2"/>
    <s v="V3"/>
    <x v="0"/>
    <n v="83684.999949504898"/>
    <n v="83678.781075164996"/>
    <n v="7.4312891721312597E-5"/>
    <n v="1338.0379493236501"/>
    <n v="79898.499787247696"/>
    <n v="79681.443479395995"/>
    <n v="2.7166506058261602E-3"/>
    <n v="3600.1542019844101"/>
    <n v="81173.837618463498"/>
    <n v="81173.837618463396"/>
    <n v="0"/>
    <n v="0.56210589408874501"/>
    <n v="81302.077718932502"/>
    <n v="79769.588477055106"/>
    <n v="1.88493244560781E-2"/>
    <n v="3600.03527736664"/>
    <n v="2382.9222305723961"/>
    <n v="2.9309487499327389"/>
    <n v="2.9232996534835669"/>
    <n v="4.8158811955404985"/>
    <n v="0"/>
    <n v="0"/>
    <n v="1.7271995757143981"/>
  </r>
  <r>
    <s v="MVPRP_C25_P3_V3_I1"/>
    <s v="MVPRP"/>
    <s v="C25"/>
    <x v="0"/>
    <s v="V3"/>
    <x v="0"/>
    <n v="26569"/>
    <n v="26569"/>
    <n v="0"/>
    <n v="15.451955080032301"/>
    <n v="24924"/>
    <n v="24924"/>
    <n v="0"/>
    <n v="83.338111877441406"/>
    <n v="25165.198867160201"/>
    <n v="25165.198867160201"/>
    <n v="0"/>
    <n v="0.14877581596374501"/>
    <n v="25160.310285837098"/>
    <n v="25160.310285837098"/>
    <n v="0"/>
    <n v="159.57117414474499"/>
    <n v="1408.6897141629015"/>
    <n v="5.5988566840364529"/>
    <n v="5.5988566840364529"/>
    <n v="5.5988566840364529"/>
    <n v="4.8885813231026987"/>
    <n v="1.9429733844953861E-2"/>
    <n v="1.9429733844953861E-2"/>
  </r>
  <r>
    <s v="MVPRP_C25_P6_V3_I1"/>
    <s v="MVPRP"/>
    <s v="C25"/>
    <x v="1"/>
    <s v="V3"/>
    <x v="0"/>
    <n v="57677"/>
    <n v="57671.304179105799"/>
    <n v="9.8753764832643705E-5"/>
    <n v="189.830693244934"/>
    <n v="55278.999990389297"/>
    <n v="55182.0376204192"/>
    <n v="1.7540543422810599E-3"/>
    <n v="3600.05472517014"/>
    <n v="55786.484722264096"/>
    <n v="55786.484722264096"/>
    <n v="0"/>
    <n v="0.63126611709594704"/>
    <n v="55725.301065368498"/>
    <n v="55488.430761960903"/>
    <n v="4.25067785869266E-3"/>
    <n v="3600.0831887722002"/>
    <n v="1951.6989346315022"/>
    <n v="3.5023569138586867"/>
    <n v="3.4921356664444825"/>
    <n v="3.9274246997280446"/>
    <n v="61.183656895598688"/>
    <n v="0.10979511232039334"/>
    <n v="0.53486289818975052"/>
  </r>
  <r>
    <s v="MVPRP_C25_P9_V3_I1"/>
    <s v="MVPRP"/>
    <s v="C25"/>
    <x v="2"/>
    <s v="V3"/>
    <x v="0"/>
    <n v="101897.9996581"/>
    <n v="101701.50339873599"/>
    <n v="1.9283622840831501E-3"/>
    <n v="3603.4120757579799"/>
    <n v="97573.499990081604"/>
    <n v="97183.542108072099"/>
    <n v="3.99655523322596E-3"/>
    <n v="3600.09210920334"/>
    <n v="99854.509339261407"/>
    <n v="99849.069530817404"/>
    <n v="5.4477343887610703E-5"/>
    <n v="0.93325495719909701"/>
    <n v="100009.872030873"/>
    <n v="97572.951477217299"/>
    <n v="2.43668000385317E-2"/>
    <n v="3600.1429238319402"/>
    <n v="1888.1276272270043"/>
    <n v="1.8879412490840308"/>
    <n v="1.6914643859766063"/>
    <n v="4.3246212529374723"/>
    <n v="0"/>
    <n v="0"/>
    <n v="2.2813326481807641"/>
  </r>
  <r>
    <s v="MVPRP_C30_P3_V3_I1"/>
    <s v="MVPRP"/>
    <s v="C30"/>
    <x v="0"/>
    <s v="V3"/>
    <x v="0"/>
    <n v="29172"/>
    <n v="29172"/>
    <n v="0"/>
    <n v="15.691298961639401"/>
    <n v="27692.9996937326"/>
    <n v="27620.413750298601"/>
    <n v="2.62109357010183E-3"/>
    <n v="3600.0521810054802"/>
    <n v="27975.740465439099"/>
    <n v="27974.317305026201"/>
    <n v="5.0871233049088201E-5"/>
    <n v="0.328365087509155"/>
    <n v="27907.462420580101"/>
    <n v="27751.627459327701"/>
    <n v="5.5839889311269202E-3"/>
    <n v="3600.1702923774701"/>
    <n v="1264.537579419899"/>
    <n v="4.5311808016173387"/>
    <n v="4.5311808016173387"/>
    <n v="5.0895796947301744"/>
    <n v="68.278044858998328"/>
    <n v="0.24465873618321998"/>
    <n v="0.8030576292960554"/>
  </r>
  <r>
    <s v="MVPRP_C30_P6_V3_I1"/>
    <s v="MVPRP"/>
    <s v="C30"/>
    <x v="1"/>
    <s v="V3"/>
    <x v="0"/>
    <n v="61786.999969999997"/>
    <n v="61782.695040581501"/>
    <n v="6.96737083947566E-5"/>
    <n v="1727.2135601043699"/>
    <n v="59081.5"/>
    <n v="58997.2614388281"/>
    <n v="1.42580268225938E-3"/>
    <n v="3600.04789113998"/>
    <n v="59517.4860415476"/>
    <n v="59512.7415498232"/>
    <n v="7.9715929552229601E-5"/>
    <n v="1.0299308300018299"/>
    <n v="59786.768739537103"/>
    <n v="59210.413966135398"/>
    <n v="9.6401726594840999E-3"/>
    <n v="3600.0621676444998"/>
    <n v="2000.231230462894"/>
    <n v="3.3456085228103949"/>
    <n v="3.3384080510182974"/>
    <n v="4.3096257887586722"/>
    <n v="0"/>
    <n v="0"/>
    <n v="0.51361209492683946"/>
  </r>
  <r>
    <s v="MVPRP_C30_P9_V3_I1"/>
    <s v="MVPRP"/>
    <s v="C30"/>
    <x v="2"/>
    <s v="V3"/>
    <x v="0"/>
    <n v="111231"/>
    <n v="110668.141916063"/>
    <n v="5.06026273194677E-3"/>
    <n v="3601.7885897159599"/>
    <n v="106059.5"/>
    <n v="105374.008452761"/>
    <n v="6.4632734195350103E-3"/>
    <n v="3600.3483009338402"/>
    <n v="107529.301682925"/>
    <n v="107528.728340099"/>
    <n v="5.3319682864334499E-6"/>
    <n v="1.7604229450225799"/>
    <n v="117337.53102633401"/>
    <n v="105492.498984729"/>
    <n v="0.100948366119506"/>
    <n v="3600.8728432655298"/>
    <n v="0"/>
    <n v="0"/>
    <n v="0"/>
    <n v="4.8905929459033128"/>
    <n v="0"/>
    <n v="0"/>
    <n v="1.7358492891237678"/>
  </r>
  <r>
    <s v="MVPRP_C35_P3_V3_I1"/>
    <s v="MVPRP"/>
    <s v="C35"/>
    <x v="0"/>
    <s v="V3"/>
    <x v="0"/>
    <n v="35803"/>
    <n v="35803"/>
    <n v="0"/>
    <n v="26.064972877502399"/>
    <n v="34131.4999023825"/>
    <n v="33951.488507069902"/>
    <n v="5.2740546365498799E-3"/>
    <n v="3600.21579194069"/>
    <n v="34416.2067617551"/>
    <n v="34415.584928466298"/>
    <n v="1.80680367583086E-5"/>
    <n v="0.63661909103393599"/>
    <n v="34466.262315235297"/>
    <n v="34117.230129068899"/>
    <n v="1.01267779770884E-2"/>
    <n v="3600.0682177543599"/>
    <n v="1336.7376847647029"/>
    <n v="3.8783946821347608"/>
    <n v="3.8783946821347608"/>
    <n v="4.8910724798433725"/>
    <n v="0"/>
    <n v="0"/>
    <n v="0.86744721534264757"/>
  </r>
  <r>
    <s v="MVPRP_C35_P6_V3_I1"/>
    <s v="MVPRP"/>
    <s v="C35"/>
    <x v="1"/>
    <s v="V3"/>
    <x v="0"/>
    <n v="75538.9998224054"/>
    <n v="75433.2378964089"/>
    <n v="1.40009698625977E-3"/>
    <n v="3601.5368080139201"/>
    <n v="72384.999967396303"/>
    <n v="72002.368161820996"/>
    <n v="5.2860648718336904E-3"/>
    <n v="3600.1030459404001"/>
    <n v="72969.8460902964"/>
    <n v="72969.151541604195"/>
    <n v="9.5182973428135496E-6"/>
    <n v="1.2403638362884499"/>
    <n v="74655.621031930597"/>
    <n v="72147.231062062201"/>
    <n v="3.35994789835787E-2"/>
    <n v="3600.4885809421498"/>
    <n v="883.37879047480237"/>
    <n v="1.1832716388454885"/>
    <n v="1.0416052451639404"/>
    <n v="4.5432195372033961"/>
    <n v="0"/>
    <n v="0"/>
    <n v="1.1018795595878332"/>
  </r>
  <r>
    <s v="MVPRP_C40_P3_V3_I1"/>
    <s v="MVPRP"/>
    <s v="C40"/>
    <x v="0"/>
    <s v="V3"/>
    <x v="0"/>
    <n v="44822"/>
    <n v="44822"/>
    <n v="0"/>
    <n v="107.950572729111"/>
    <n v="42223.499796775701"/>
    <n v="42040.333896737699"/>
    <n v="4.3380084767872702E-3"/>
    <n v="3600.10026597977"/>
    <n v="42573.582196626798"/>
    <n v="42573.582196132098"/>
    <n v="1.16203860820052E-11"/>
    <n v="0.52277612686157204"/>
    <n v="42745.741727257198"/>
    <n v="42222.871714756599"/>
    <n v="1.22320959088001E-2"/>
    <n v="3600.1835372447999"/>
    <n v="2076.2582727428016"/>
    <n v="4.8572283199354507"/>
    <n v="4.8572283199354507"/>
    <n v="6.0804379108154398"/>
    <n v="0"/>
    <n v="0"/>
    <n v="0.82045712087051126"/>
  </r>
  <r>
    <s v="MVPRP_C40_P6_V3_I1"/>
    <s v="MVPRP"/>
    <s v="C40"/>
    <x v="1"/>
    <s v="V3"/>
    <x v="0"/>
    <n v="96993"/>
    <n v="96752.303220362606"/>
    <n v="2.4815891831102099E-3"/>
    <n v="3601.67462682724"/>
    <n v="93436"/>
    <n v="92812.185047562205"/>
    <n v="6.6763876068941901E-3"/>
    <n v="3600.07370400429"/>
    <n v="94289.659078283396"/>
    <n v="94287.6995011689"/>
    <n v="2.0782524124149499E-5"/>
    <n v="1.64149498939514"/>
    <n v="99987.190311141501"/>
    <n v="92745.055819965404"/>
    <n v="7.2430623049211607E-2"/>
    <n v="3600.2684252262102"/>
    <n v="0"/>
    <n v="0"/>
    <n v="0"/>
    <n v="4.2484883981795925"/>
    <n v="0"/>
    <n v="0"/>
    <n v="1.544801142537833"/>
  </r>
  <r>
    <s v="MVPRP_C45_P3_V3_I1"/>
    <s v="MVPRP"/>
    <s v="C45"/>
    <x v="0"/>
    <s v="V3"/>
    <x v="0"/>
    <n v="50846"/>
    <n v="50846"/>
    <n v="0"/>
    <n v="68.337500810623197"/>
    <n v="48258.999980307497"/>
    <n v="48092.253679702801"/>
    <n v="3.4552373789921501E-3"/>
    <n v="3600.0970969200098"/>
    <n v="48829.581233312201"/>
    <n v="48829.581232696502"/>
    <n v="1.26089865561282E-11"/>
    <n v="0.78091788291931197"/>
    <n v="49012.054775515098"/>
    <n v="48318.6472474275"/>
    <n v="1.4147693486093099E-2"/>
    <n v="3600.16135978699"/>
    <n v="1833.9452244849017"/>
    <n v="3.7418248079676184"/>
    <n v="3.7418248079676184"/>
    <n v="5.1565941565769391"/>
    <n v="0"/>
    <n v="0"/>
    <n v="1.0424659570484858"/>
  </r>
  <r>
    <s v="MVPRP_C50_P3_V3_I1"/>
    <s v="MVPRP"/>
    <s v="C50"/>
    <x v="0"/>
    <s v="V3"/>
    <x v="0"/>
    <n v="47126"/>
    <n v="47126"/>
    <n v="0"/>
    <n v="169.300560951233"/>
    <n v="44632.9997904212"/>
    <n v="44344.516036604"/>
    <n v="6.46346324853256E-3"/>
    <n v="3600.1724021434802"/>
    <n v="45274.429161204403"/>
    <n v="45274.429161204403"/>
    <n v="0"/>
    <n v="0.90576791763305697"/>
    <n v="45747.905895398297"/>
    <n v="44651.431294652903"/>
    <n v="2.3967755010524699E-2"/>
    <n v="3600.1454582214401"/>
    <n v="1378.0941046017033"/>
    <n v="3.012365435376843"/>
    <n v="3.012365435376843"/>
    <n v="5.4091409364292016"/>
    <n v="0"/>
    <n v="0"/>
    <n v="1.3618063042622617"/>
  </r>
  <r>
    <s v="MVPRP_C10_P3_V3_I3"/>
    <s v="MVPRP"/>
    <s v="C10"/>
    <x v="0"/>
    <s v="V3"/>
    <x v="1"/>
    <n v="20750"/>
    <n v="20750"/>
    <n v="0"/>
    <n v="1.7461397647857699"/>
    <n v="17835"/>
    <n v="17835"/>
    <n v="0"/>
    <n v="1.38335108757019"/>
    <n v="18058.295875612901"/>
    <n v="18058.295875612901"/>
    <n v="0"/>
    <n v="3.5550117492675802E-2"/>
    <n v="18058.295875612901"/>
    <n v="18058.295875612901"/>
    <n v="0"/>
    <n v="2.6474487781524698"/>
    <n v="2691.704124387099"/>
    <n v="14.905637513793046"/>
    <n v="14.905637513793046"/>
    <n v="14.905637513793046"/>
    <n v="0"/>
    <n v="0"/>
    <n v="0"/>
  </r>
  <r>
    <s v="MVPRP_C10_P6_V3_I3"/>
    <s v="MVPRP"/>
    <s v="C10"/>
    <x v="1"/>
    <s v="V3"/>
    <x v="1"/>
    <n v="42067.999985979397"/>
    <n v="42067.999985979397"/>
    <n v="0"/>
    <n v="11.096104145050001"/>
    <n v="37316.5"/>
    <n v="37316.498822320304"/>
    <n v="3.1559221890780703E-8"/>
    <n v="162.77340507507299"/>
    <n v="38038.172765691197"/>
    <n v="38038.172765691197"/>
    <n v="0"/>
    <n v="9.3133926391601604E-2"/>
    <n v="37774.950416902298"/>
    <n v="37774.950416902298"/>
    <n v="0"/>
    <n v="46.119750261306798"/>
    <n v="4293.0495690770986"/>
    <n v="11.364805305359674"/>
    <n v="11.364805305359674"/>
    <n v="11.364805305359674"/>
    <n v="263.22234878889867"/>
    <n v="0.69681719203824699"/>
    <n v="0.69681719203824699"/>
  </r>
  <r>
    <s v="MVPRP_C10_P9_V3_I3"/>
    <s v="MVPRP"/>
    <s v="C10"/>
    <x v="2"/>
    <s v="V3"/>
    <x v="1"/>
    <n v="72847.999958617205"/>
    <n v="72847.999958617205"/>
    <n v="0"/>
    <n v="22.308111429214499"/>
    <n v="66834.994197344393"/>
    <n v="66574.279362295594"/>
    <n v="3.9008731605327698E-3"/>
    <n v="3600.0266900062602"/>
    <n v="69154.905995275505"/>
    <n v="69154.905995275505"/>
    <n v="0"/>
    <n v="0.124292135238647"/>
    <n v="68563.336796616495"/>
    <n v="66581.519238390596"/>
    <n v="2.89049169836159E-2"/>
    <n v="3600.0440046787298"/>
    <n v="4284.6631620007101"/>
    <n v="6.2492045489421866"/>
    <n v="6.2492045489421866"/>
    <n v="9.1396962473037799"/>
    <n v="591.56919865901"/>
    <n v="0.86280689694817059"/>
    <n v="3.7532985953097633"/>
  </r>
  <r>
    <s v="MVPRP_C15_P3_V3_I3"/>
    <s v="MVPRP"/>
    <s v="C15"/>
    <x v="0"/>
    <s v="V3"/>
    <x v="1"/>
    <n v="30676"/>
    <n v="30676"/>
    <n v="0"/>
    <n v="23.045698881149299"/>
    <n v="26240.5"/>
    <n v="26240.4999320594"/>
    <n v="2.5891516174008001E-9"/>
    <n v="238.19414281845101"/>
    <n v="26860.681430160799"/>
    <n v="26860.681430160799"/>
    <n v="0"/>
    <n v="5.9319972991943401E-2"/>
    <n v="26776.943479216901"/>
    <n v="26776.943479216901"/>
    <n v="0"/>
    <n v="96.257256984710693"/>
    <n v="3899.0565207830987"/>
    <n v="14.561245661997892"/>
    <n v="14.561245661997892"/>
    <n v="14.561245661997892"/>
    <n v="83.737950943897886"/>
    <n v="0.31272408297418874"/>
    <n v="0.31272408297418874"/>
  </r>
  <r>
    <s v="MVPRP_C15_P6_V3_I3"/>
    <s v="MVPRP"/>
    <s v="C15"/>
    <x v="1"/>
    <s v="V3"/>
    <x v="1"/>
    <n v="60686.999585325299"/>
    <n v="60686.999585325299"/>
    <n v="0"/>
    <n v="867.94262433052097"/>
    <n v="54121"/>
    <n v="54064.641131386197"/>
    <n v="1.04134935817579E-3"/>
    <n v="3600.0338850021399"/>
    <n v="57150.9185117249"/>
    <n v="57150.9185117249"/>
    <n v="0"/>
    <n v="0.167562961578369"/>
    <n v="55753.511068026899"/>
    <n v="54594.489940477302"/>
    <n v="2.0788307415032899E-2"/>
    <n v="3600.0532271861998"/>
    <n v="4933.4885172983995"/>
    <n v="8.8487494738741557"/>
    <n v="8.8487494738741557"/>
    <n v="10.927580215377471"/>
    <n v="1397.4074436980009"/>
    <n v="2.5064025869025053"/>
    <n v="4.5852333284058213"/>
  </r>
  <r>
    <s v="MVPRP_C15_P9_V3_I3"/>
    <s v="MVPRP"/>
    <s v="C15"/>
    <x v="2"/>
    <s v="V3"/>
    <x v="1"/>
    <n v="109246"/>
    <n v="108534.871643727"/>
    <n v="6.5094223703681797E-3"/>
    <n v="3600.0643427372001"/>
    <n v="99897.499815615898"/>
    <n v="98544.457483100996"/>
    <n v="1.3544306264042599E-2"/>
    <n v="3600.0566389560699"/>
    <n v="106666.043249344"/>
    <n v="106666.043249344"/>
    <n v="1.0914000208557499E-15"/>
    <n v="0.82485485076904297"/>
    <n v="104190.162255156"/>
    <n v="94372.153593138995"/>
    <n v="9.4231628490734895E-2"/>
    <n v="3600.11109733582"/>
    <n v="5055.8377448440006"/>
    <n v="4.8525097143649036"/>
    <n v="4.169980442041207"/>
    <n v="14.275672563438157"/>
    <n v="2475.8809941880027"/>
    <n v="2.3763097595766345"/>
    <n v="11.799472608649889"/>
  </r>
  <r>
    <s v="MVPRP_C20_P3_V3_I3"/>
    <s v="MVPRP"/>
    <s v="C20"/>
    <x v="0"/>
    <s v="V3"/>
    <x v="1"/>
    <n v="33151"/>
    <n v="33151"/>
    <n v="0"/>
    <n v="16.105900287628199"/>
    <n v="28517"/>
    <n v="28517"/>
    <n v="0"/>
    <n v="38.965275049209602"/>
    <n v="29250.8296868258"/>
    <n v="29250.8296868258"/>
    <n v="0"/>
    <n v="8.7544918060302707E-2"/>
    <n v="29250.8296868258"/>
    <n v="29250.8296868258"/>
    <n v="0"/>
    <n v="132.74919962883001"/>
    <n v="3900.1703131741997"/>
    <n v="13.333537389986535"/>
    <n v="13.333537389986535"/>
    <n v="13.333537389986535"/>
    <n v="0"/>
    <n v="0"/>
    <n v="0"/>
  </r>
  <r>
    <s v="MVPRP_C20_P6_V3_I3"/>
    <s v="MVPRP"/>
    <s v="C20"/>
    <x v="1"/>
    <s v="V3"/>
    <x v="1"/>
    <n v="66288.999920291695"/>
    <n v="66288.999920291695"/>
    <n v="0"/>
    <n v="2472.0361132621802"/>
    <n v="59032.496323716499"/>
    <n v="58537.4155821116"/>
    <n v="8.3865798066542208E-3"/>
    <n v="3600.0313742160802"/>
    <n v="61479.340245791704"/>
    <n v="61479.340245791704"/>
    <n v="0"/>
    <n v="0.24436712265014601"/>
    <n v="60849.287344152202"/>
    <n v="59052.642768488797"/>
    <n v="2.9526139977646599E-2"/>
    <n v="3600.0613012313802"/>
    <n v="5439.7125761394927"/>
    <n v="8.9396487840087495"/>
    <n v="8.9396487840087495"/>
    <n v="11.892262781773292"/>
    <n v="630.05290163950121"/>
    <n v="1.0354318499673458"/>
    <n v="3.9880458477318879"/>
  </r>
  <r>
    <s v="MVPRP_C20_P9_V3_I3"/>
    <s v="MVPRP"/>
    <s v="C20"/>
    <x v="2"/>
    <s v="V3"/>
    <x v="1"/>
    <n v="116181.999595663"/>
    <n v="115809.362405917"/>
    <n v="3.2073573448852099E-3"/>
    <n v="3600.1263711452498"/>
    <n v="106168.999353237"/>
    <n v="103926.153194074"/>
    <n v="2.1125245343043501E-2"/>
    <n v="3600.1596698761"/>
    <n v="112995.774405897"/>
    <n v="112995.774405897"/>
    <n v="0"/>
    <n v="0.89100193977356001"/>
    <n v="110207.29372188701"/>
    <n v="101863.38213030199"/>
    <n v="7.5711065119167295E-2"/>
    <n v="3600.06781983376"/>
    <n v="5974.7058737759944"/>
    <n v="5.4213343527456814"/>
    <n v="5.0832104617023433"/>
    <n v="12.992440864662436"/>
    <n v="2788.4806840099918"/>
    <n v="2.5302142805963883"/>
    <n v="10.101320792513144"/>
  </r>
  <r>
    <s v="MVPRP_C25_P3_V3_I3"/>
    <s v="MVPRP"/>
    <s v="C25"/>
    <x v="0"/>
    <s v="V3"/>
    <x v="1"/>
    <n v="38054"/>
    <n v="38054"/>
    <n v="0"/>
    <n v="28.681736707687399"/>
    <n v="33049"/>
    <n v="33049"/>
    <n v="0"/>
    <n v="227.94780611991899"/>
    <n v="34032.056398000197"/>
    <n v="34032.056398000197"/>
    <n v="0"/>
    <n v="0.1264488697052"/>
    <n v="34032.056398000197"/>
    <n v="34028.930519911701"/>
    <n v="9.1850990487900096E-5"/>
    <n v="1203.1169180870099"/>
    <n v="4021.9436019998029"/>
    <n v="11.818103363968749"/>
    <n v="11.818103363968749"/>
    <n v="11.827288463017538"/>
    <n v="0"/>
    <n v="0"/>
    <n v="9.1850990487900002E-3"/>
  </r>
  <r>
    <s v="MVPRP_C25_P6_V3_I3"/>
    <s v="MVPRP"/>
    <s v="C25"/>
    <x v="1"/>
    <s v="V3"/>
    <x v="1"/>
    <n v="76711.999283793804"/>
    <n v="76416.527816995702"/>
    <n v="3.8516981639992801E-3"/>
    <n v="3600.0264861583701"/>
    <n v="69545.498197501394"/>
    <n v="68940.450279132099"/>
    <n v="8.7000299667282701E-3"/>
    <n v="3600.0907940864599"/>
    <n v="73077.805343702406"/>
    <n v="73077.805343702305"/>
    <n v="1.3939034720525601E-15"/>
    <n v="0.43216204643249501"/>
    <n v="72882.669112570497"/>
    <n v="69010.127646422407"/>
    <n v="5.31339139098592E-2"/>
    <n v="3600.0397450923901"/>
    <n v="3829.3301712233078"/>
    <n v="5.2541025429635937"/>
    <n v="4.8486955094454682"/>
    <n v="10.567493933949535"/>
    <n v="195.13623113190988"/>
    <n v="0.26774023716188738"/>
    <n v="5.581131628147828"/>
  </r>
  <r>
    <s v="MVPRP_C25_P9_V3_I3"/>
    <s v="MVPRP"/>
    <s v="C25"/>
    <x v="2"/>
    <s v="V3"/>
    <x v="1"/>
    <n v="140566"/>
    <n v="137113.438898578"/>
    <n v="2.4561850671019299E-2"/>
    <n v="3600.6079318523398"/>
    <n v="126859"/>
    <n v="124734.5805699"/>
    <n v="1.6746304401739302E-2"/>
    <n v="3600.06720685959"/>
    <n v="135894.00648996999"/>
    <n v="135894.00648996999"/>
    <n v="0"/>
    <n v="1.22195196151733"/>
    <n v="140106.60353757499"/>
    <n v="123257.22692849999"/>
    <n v="0.12026111677567"/>
    <n v="3600.2022669315302"/>
    <n v="459.39646242500748"/>
    <n v="0.32789065670398798"/>
    <n v="0"/>
    <n v="12.354002334271126"/>
    <n v="0"/>
    <n v="0"/>
    <n v="9.0194032560934652"/>
  </r>
  <r>
    <s v="MVPRP_C30_P3_V3_I3"/>
    <s v="MVPRP"/>
    <s v="C30"/>
    <x v="0"/>
    <s v="V3"/>
    <x v="1"/>
    <n v="41464"/>
    <n v="41464"/>
    <n v="0"/>
    <n v="12.4477450847626"/>
    <n v="36026"/>
    <n v="35744.762171535003"/>
    <n v="7.8065238567977804E-3"/>
    <n v="3600.05626797676"/>
    <n v="36802.081355002701"/>
    <n v="36802.081355002701"/>
    <n v="0"/>
    <n v="0.18238306045532199"/>
    <n v="36515.833673796398"/>
    <n v="35987.131236411798"/>
    <n v="1.44787174272826E-2"/>
    <n v="3600.0739946365402"/>
    <n v="4948.1663262036018"/>
    <n v="13.550741769739147"/>
    <n v="13.550741769739147"/>
    <n v="14.998613512467548"/>
    <n v="286.24768120630324"/>
    <n v="0.78390016715327882"/>
    <n v="2.2317719098816786"/>
  </r>
  <r>
    <s v="MVPRP_C30_P6_V3_I3"/>
    <s v="MVPRP"/>
    <s v="C30"/>
    <x v="1"/>
    <s v="V3"/>
    <x v="1"/>
    <n v="82749"/>
    <n v="82465.450241958504"/>
    <n v="3.4266245881103001E-3"/>
    <n v="3600.7795357704199"/>
    <n v="74518.499908963393"/>
    <n v="73724.5142886432"/>
    <n v="1.06548792754849E-2"/>
    <n v="3600.07070803642"/>
    <n v="77354.526374788198"/>
    <n v="77352.388431525804"/>
    <n v="2.76382438443287E-5"/>
    <n v="0.71352505683898904"/>
    <n v="81327.520434716396"/>
    <n v="73549.844015917406"/>
    <n v="9.5634004052077004E-2"/>
    <n v="3600.1991057395899"/>
    <n v="1421.4795652836037"/>
    <n v="1.7478456956334483"/>
    <n v="1.3991940257855915"/>
    <n v="11.311246100841084"/>
    <n v="0"/>
    <n v="0"/>
    <n v="4.6782224990185268"/>
  </r>
  <r>
    <s v="MVPRP_C30_P9_V3_I3"/>
    <s v="MVPRP"/>
    <s v="C30"/>
    <x v="2"/>
    <s v="V3"/>
    <x v="1"/>
    <n v="154135"/>
    <n v="146428.66490523101"/>
    <n v="4.9997308169909799E-2"/>
    <n v="3600.0424265861502"/>
    <n v="136171.999986562"/>
    <n v="133302.284555272"/>
    <n v="2.10741961017923E-2"/>
    <n v="3600.0624740123799"/>
    <n v="144519.29233386801"/>
    <n v="144517.677953078"/>
    <n v="1.1170693993125501E-5"/>
    <n v="2.3734269142150901"/>
    <n v="157657.821480538"/>
    <n v="130614.944393093"/>
    <n v="0.171528927860917"/>
    <n v="3600.2395980358101"/>
    <n v="0"/>
    <n v="0"/>
    <n v="0"/>
    <n v="14.918419768860261"/>
    <n v="0"/>
    <n v="0"/>
    <n v="8.8193201010908489"/>
  </r>
  <r>
    <s v="MVPRP_C35_P3_V3_I3"/>
    <s v="MVPRP"/>
    <s v="C35"/>
    <x v="0"/>
    <s v="V3"/>
    <x v="1"/>
    <n v="49960"/>
    <n v="49958.861801242201"/>
    <n v="2.2782200915835899E-5"/>
    <n v="111.026981592178"/>
    <n v="44185.999043605101"/>
    <n v="43510.528620756799"/>
    <n v="1.52869786237405E-2"/>
    <n v="3600.06271195412"/>
    <n v="45016.600720531897"/>
    <n v="45016.600720531897"/>
    <n v="0"/>
    <n v="0.25788283348083502"/>
    <n v="46757.813169665103"/>
    <n v="43252.147205412097"/>
    <n v="7.4974976941977897E-2"/>
    <n v="3600.18128275871"/>
    <n v="3202.1868303348965"/>
    <n v="6.8484529392242148"/>
    <n v="6.8460186963017131"/>
    <n v="14.345950633422122"/>
    <n v="0"/>
    <n v="0"/>
    <n v="3.7736014486334399"/>
  </r>
  <r>
    <s v="MVPRP_C35_P6_V3_I3"/>
    <s v="MVPRP"/>
    <s v="C35"/>
    <x v="1"/>
    <s v="V3"/>
    <x v="1"/>
    <n v="99886"/>
    <n v="98851.925147300106"/>
    <n v="1.03525504344943E-2"/>
    <n v="3601.8449048995999"/>
    <n v="90834"/>
    <n v="89349.516171641706"/>
    <n v="1.63428212823209E-2"/>
    <n v="3600.0530130863199"/>
    <n v="95763.458077276504"/>
    <n v="95761.543621923396"/>
    <n v="1.9991501888549501E-5"/>
    <n v="0.98432803153991699"/>
    <n v="99325.829583081199"/>
    <n v="87617.019638080907"/>
    <n v="0.11788283062067401"/>
    <n v="3600.0582647323599"/>
    <n v="560.17041691880149"/>
    <n v="0.56397255303087734"/>
    <n v="0"/>
    <n v="12.352255615098278"/>
    <n v="0"/>
    <n v="0"/>
    <n v="8.2017320906255318"/>
  </r>
  <r>
    <s v="MVPRP_C40_P3_V3_I3"/>
    <s v="MVPRP"/>
    <s v="C40"/>
    <x v="0"/>
    <s v="V3"/>
    <x v="1"/>
    <n v="61830"/>
    <n v="61827.609761093801"/>
    <n v="3.8658238819792197E-5"/>
    <n v="2714.9084372520401"/>
    <n v="54377.998651985297"/>
    <n v="53634.238078731098"/>
    <n v="1.3677601083008801E-2"/>
    <n v="3600.04021906853"/>
    <n v="55163.152852195402"/>
    <n v="55158.754570694698"/>
    <n v="7.9732235618444502E-5"/>
    <n v="0.62129092216491699"/>
    <n v="55442.306989568999"/>
    <n v="52779.501307745799"/>
    <n v="4.8028406940646001E-2"/>
    <n v="3600.1434149742099"/>
    <n v="6387.6930104310013"/>
    <n v="11.521333359437572"/>
    <n v="11.517022141099114"/>
    <n v="16.324174053502094"/>
    <n v="0"/>
    <n v="0"/>
    <n v="4.2993368672376269"/>
  </r>
  <r>
    <s v="MVPRP_C40_P6_V3_I3"/>
    <s v="MVPRP"/>
    <s v="C40"/>
    <x v="1"/>
    <s v="V3"/>
    <x v="1"/>
    <n v="126608"/>
    <n v="121582.536354082"/>
    <n v="3.9693097165408898E-2"/>
    <n v="3605.21713376045"/>
    <n v="114580.499510803"/>
    <n v="112321.893269849"/>
    <n v="1.9711960155501002E-2"/>
    <n v="3600.0457360744499"/>
    <n v="118796.383601792"/>
    <n v="118792.955030364"/>
    <n v="2.8860907416903599E-5"/>
    <n v="2.8724479675293"/>
    <n v="126853.990983268"/>
    <n v="109864.894297905"/>
    <n v="0.13392638697196799"/>
    <n v="3600.1987092495001"/>
    <n v="0"/>
    <n v="0"/>
    <n v="0"/>
    <n v="13.198722068037579"/>
    <n v="0"/>
    <n v="0"/>
    <n v="7.0407633489947132"/>
  </r>
  <r>
    <s v="MVPRP_C45_P3_V3_I3"/>
    <s v="MVPRP"/>
    <s v="C45"/>
    <x v="0"/>
    <s v="V3"/>
    <x v="1"/>
    <n v="70029"/>
    <n v="70029"/>
    <n v="0"/>
    <n v="1626.2620828151701"/>
    <n v="63308.499966032497"/>
    <n v="61213.621557050799"/>
    <n v="3.3090002292041801E-2"/>
    <n v="3600.1742379665402"/>
    <n v="64703.057426742598"/>
    <n v="64703.057426707899"/>
    <n v="5.3695604179233501E-13"/>
    <n v="1.1803050041198699"/>
    <n v="68503.6573462745"/>
    <n v="60207.194066633303"/>
    <n v="0.121109785973966"/>
    <n v="3600.0934727191898"/>
    <n v="1525.3426537255"/>
    <n v="2.2266587111037719"/>
    <n v="2.2266587111037719"/>
    <n v="14.337637308500357"/>
    <n v="0"/>
    <n v="0"/>
    <n v="6.5629537666630853"/>
  </r>
  <r>
    <s v="MVPRP_C50_P3_V3_I3"/>
    <s v="MVPRP"/>
    <s v="C50"/>
    <x v="0"/>
    <s v="V3"/>
    <x v="1"/>
    <n v="65560"/>
    <n v="65319.653853376803"/>
    <n v="3.6660486062108301E-3"/>
    <n v="3602.6810309886901"/>
    <n v="59060.999700654"/>
    <n v="57483.592799488601"/>
    <n v="2.6708096868668301E-2"/>
    <n v="3600.1775269508398"/>
    <n v="60442.363051764703"/>
    <n v="60438.1314362423"/>
    <n v="7.0010755846874905E-5"/>
    <n v="0.84387683868408203"/>
    <n v="62759.488721913804"/>
    <n v="57039.4868653382"/>
    <n v="9.1141626120008604E-2"/>
    <n v="3600.0841708183302"/>
    <n v="2800.5112780861964"/>
    <n v="4.462291416195586"/>
    <n v="4.0793275783476295"/>
    <n v="13.576454028196508"/>
    <n v="0"/>
    <n v="0"/>
    <n v="5.422090357530776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06CBCC-93F5-43E7-8A9D-A82546F6ED8C}" name="PivotTable5" cacheId="1" applyNumberFormats="0" applyBorderFormats="0" applyFontFormats="0" applyPatternFormats="0" applyAlignmentFormats="0" applyWidthHeightFormats="1" dataCaption="Werte" updatedVersion="8" minRefreshableVersion="3" useAutoFormatting="1" colGrandTotals="0" itemPrintTitles="1" createdVersion="8" indent="0" outline="1" outlineData="1" multipleFieldFilters="0" chartFormat="1">
  <location ref="A1:Q48" firstHeaderRow="1" firstDataRow="3" firstDataCol="1"/>
  <pivotFields count="34">
    <pivotField axis="axisRow" showAll="0">
      <items count="68">
        <item m="1" x="58"/>
        <item m="1" x="44"/>
        <item x="6"/>
        <item x="11"/>
        <item m="1" x="60"/>
        <item m="1" x="47"/>
        <item x="23"/>
        <item x="25"/>
        <item m="1" x="56"/>
        <item m="1" x="54"/>
        <item x="38"/>
        <item x="40"/>
        <item m="1" x="57"/>
        <item m="1" x="51"/>
        <item x="31"/>
        <item x="0"/>
        <item m="1" x="61"/>
        <item m="1" x="49"/>
        <item x="30"/>
        <item x="16"/>
        <item m="1" x="59"/>
        <item m="1" x="45"/>
        <item x="2"/>
        <item x="36"/>
        <item m="1" x="55"/>
        <item m="1" x="50"/>
        <item x="8"/>
        <item x="13"/>
        <item m="1" x="62"/>
        <item m="1" x="43"/>
        <item x="5"/>
        <item x="32"/>
        <item m="1" x="66"/>
        <item m="1" x="53"/>
        <item x="35"/>
        <item x="33"/>
        <item m="1" x="64"/>
        <item m="1" x="48"/>
        <item x="22"/>
        <item x="29"/>
        <item m="1" x="65"/>
        <item m="1" x="46"/>
        <item x="20"/>
        <item x="15"/>
        <item m="1" x="63"/>
        <item m="1" x="52"/>
        <item x="28"/>
        <item x="41"/>
        <item x="39"/>
        <item x="12"/>
        <item x="27"/>
        <item x="18"/>
        <item x="37"/>
        <item x="1"/>
        <item x="24"/>
        <item x="9"/>
        <item x="21"/>
        <item x="14"/>
        <item x="4"/>
        <item x="3"/>
        <item x="10"/>
        <item x="34"/>
        <item x="19"/>
        <item x="7"/>
        <item x="26"/>
        <item x="17"/>
        <item m="1" x="42"/>
        <item t="default"/>
      </items>
    </pivotField>
    <pivotField showAll="0"/>
    <pivotField showAll="0"/>
    <pivotField showAll="0"/>
    <pivotField showAll="0"/>
    <pivotField axis="axisRow" showAll="0">
      <items count="4">
        <item x="1"/>
        <item x="0"/>
        <item h="1" m="1" x="2"/>
        <item t="default"/>
      </items>
    </pivotField>
    <pivotField axis="axisCol" showAll="0">
      <items count="6">
        <item x="3"/>
        <item x="2"/>
        <item x="0"/>
        <item x="1"/>
        <item m="1" x="4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5"/>
    <field x="0"/>
  </rowFields>
  <rowItems count="45">
    <i>
      <x/>
    </i>
    <i r="1">
      <x v="2"/>
    </i>
    <i r="1">
      <x v="6"/>
    </i>
    <i r="1">
      <x v="10"/>
    </i>
    <i r="1">
      <x v="14"/>
    </i>
    <i r="1">
      <x v="18"/>
    </i>
    <i r="1">
      <x v="22"/>
    </i>
    <i r="1">
      <x v="26"/>
    </i>
    <i r="1">
      <x v="30"/>
    </i>
    <i r="1">
      <x v="34"/>
    </i>
    <i r="1">
      <x v="38"/>
    </i>
    <i r="1">
      <x v="42"/>
    </i>
    <i r="1">
      <x v="46"/>
    </i>
    <i r="1">
      <x v="48"/>
    </i>
    <i r="1">
      <x v="50"/>
    </i>
    <i r="1">
      <x v="52"/>
    </i>
    <i r="1">
      <x v="54"/>
    </i>
    <i r="1">
      <x v="56"/>
    </i>
    <i r="1">
      <x v="58"/>
    </i>
    <i r="1">
      <x v="60"/>
    </i>
    <i r="1">
      <x v="62"/>
    </i>
    <i r="1">
      <x v="64"/>
    </i>
    <i>
      <x v="1"/>
    </i>
    <i r="1">
      <x v="3"/>
    </i>
    <i r="1">
      <x v="7"/>
    </i>
    <i r="1">
      <x v="11"/>
    </i>
    <i r="1">
      <x v="15"/>
    </i>
    <i r="1">
      <x v="19"/>
    </i>
    <i r="1">
      <x v="23"/>
    </i>
    <i r="1">
      <x v="27"/>
    </i>
    <i r="1">
      <x v="31"/>
    </i>
    <i r="1">
      <x v="35"/>
    </i>
    <i r="1">
      <x v="39"/>
    </i>
    <i r="1">
      <x v="43"/>
    </i>
    <i r="1">
      <x v="47"/>
    </i>
    <i r="1">
      <x v="49"/>
    </i>
    <i r="1">
      <x v="51"/>
    </i>
    <i r="1">
      <x v="53"/>
    </i>
    <i r="1">
      <x v="55"/>
    </i>
    <i r="1">
      <x v="57"/>
    </i>
    <i r="1">
      <x v="59"/>
    </i>
    <i r="1">
      <x v="61"/>
    </i>
    <i r="1">
      <x v="63"/>
    </i>
    <i r="1">
      <x v="65"/>
    </i>
    <i t="grand">
      <x/>
    </i>
  </rowItems>
  <colFields count="2">
    <field x="6"/>
    <field x="-2"/>
  </colFields>
  <colItems count="16">
    <i>
      <x/>
      <x/>
    </i>
    <i r="1" i="1">
      <x v="1"/>
    </i>
    <i r="1" i="2">
      <x v="2"/>
    </i>
    <i r="1" i="3">
      <x v="3"/>
    </i>
    <i>
      <x v="1"/>
      <x/>
    </i>
    <i r="1" i="1">
      <x v="1"/>
    </i>
    <i r="1" i="2">
      <x v="2"/>
    </i>
    <i r="1" i="3">
      <x v="3"/>
    </i>
    <i>
      <x v="2"/>
      <x/>
    </i>
    <i r="1" i="1">
      <x v="1"/>
    </i>
    <i r="1" i="2">
      <x v="2"/>
    </i>
    <i r="1" i="3">
      <x v="3"/>
    </i>
    <i>
      <x v="3"/>
      <x/>
    </i>
    <i r="1" i="1">
      <x v="1"/>
    </i>
    <i r="1" i="2">
      <x v="2"/>
    </i>
    <i r="1" i="3">
      <x v="3"/>
    </i>
  </colItems>
  <dataFields count="4">
    <dataField name="Mittelwert von ObjVal" fld="8" subtotal="average" baseField="0" baseItem="18"/>
    <dataField name="Mittelwert von ObjBound" fld="9" subtotal="average" baseField="0" baseItem="18"/>
    <dataField name="Mittelwert von Gap" fld="10" subtotal="average" baseField="0" baseItem="18"/>
    <dataField name="Mittelwert von runtime" fld="11" subtotal="average" baseField="0" baseItem="18"/>
  </dataFields>
  <chartFormats count="24">
    <chartFormat chart="0" format="0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2"/>
          </reference>
          <reference field="6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2"/>
          </reference>
          <reference field="6" count="1" selected="0">
            <x v="3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3"/>
          </reference>
          <reference field="6" count="1" selected="0">
            <x v="2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3"/>
          </reference>
          <reference field="6" count="1" selected="0">
            <x v="3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3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4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2"/>
          </reference>
          <reference field="6" count="1" selected="0">
            <x v="4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3"/>
          </reference>
          <reference field="6" count="1" selected="0">
            <x v="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0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2"/>
          </reference>
          <reference field="6" count="1" selected="0">
            <x v="0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3"/>
          </reference>
          <reference field="6" count="1" selected="0">
            <x v="0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1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2"/>
          </reference>
          <reference field="6" count="1" selected="0">
            <x v="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3"/>
          </reference>
          <reference field="6" count="1" selected="0">
            <x v="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5BDBA7-F09B-4D6D-B6D1-F00D5F4D7F5E}" name="PivotTable1" cacheId="2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 chartFormat="1">
  <location ref="A1:P10" firstHeaderRow="0" firstDataRow="1" firstDataCol="1"/>
  <pivotFields count="29"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axis="axisRow" showAll="0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showAll="0"/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numFmtId="1" showAll="0"/>
    <pivotField dataField="1" numFmtId="2" showAll="0"/>
    <pivotField dataField="1" numFmtId="2" showAll="0"/>
    <pivotField dataField="1" numFmtId="2" showAll="0"/>
    <pivotField dataField="1" numFmtId="1" showAll="0"/>
    <pivotField dataField="1" numFmtId="2" showAll="0"/>
    <pivotField dataField="1" numFmtId="2" showAll="0"/>
  </pivotFields>
  <rowFields count="2">
    <field x="5"/>
    <field x="3"/>
  </rowFields>
  <rowItems count="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dataFields count="15">
    <dataField name="Mittelwert von UB_model1_determ_var_cost_all_own_vehicle" fld="6" subtotal="average" baseField="5" baseItem="0"/>
    <dataField name="Mittelwert von LB_model1_determ_var_cost_all_own_vehicle" fld="7" subtotal="average" baseField="5" baseItem="0"/>
    <dataField name="Mittelwert von Gap_model1_determ_var_cost_all_own_vehicle" fld="8" subtotal="average" baseField="5" baseItem="0"/>
    <dataField name="Mittelwert von UB_model1_ScenarioPRP_VSScalc" fld="14" subtotal="average" baseField="5" baseItem="0"/>
    <dataField name="Mittelwert von Gap_model1_ScenarioPRP_VssRouteGen" fld="12" subtotal="average" baseField="5" baseItem="0"/>
    <dataField name="Mittelwert von UB_model4_HPRP_comb_stoch_var_cost_MIPstart" fld="18" subtotal="average" baseField="5" baseItem="0"/>
    <dataField name="Mittelwert von LB_model4_HPRP_comb_stoch_var_cost_MIPstart" fld="19" subtotal="average" baseField="5" baseItem="0"/>
    <dataField name="Mittelwert von Gap_model4_HPRP_comb_stoch_var_cost_MIPstart" fld="20" subtotal="average" baseField="5" baseItem="0"/>
    <dataField name="Mittelwert von VCD" fld="22" subtotal="average" baseField="5" baseItem="0" numFmtId="1"/>
    <dataField name="Mittelwert von VCD[%]" fld="23" subtotal="average" baseField="5" baseItem="0" numFmtId="2"/>
    <dataField name="Mittelwert von VCD_min" fld="24" subtotal="average" baseField="5" baseItem="0" numFmtId="2"/>
    <dataField name="Mittelwert von VCD_max" fld="25" subtotal="average" baseField="5" baseItem="0" numFmtId="2"/>
    <dataField name="Mittelwert von VSS" fld="26" subtotal="average" baseField="5" baseItem="0" numFmtId="1"/>
    <dataField name="Mittelwert von VSS[%]" fld="27" subtotal="average" baseField="5" baseItem="0" numFmtId="2"/>
    <dataField name="Mittelwert von VSSmax[%]" fld="28" subtotal="average" baseField="5" baseItem="0" numFmtId="2"/>
  </dataFields>
  <chartFormats count="1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13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14"/>
          </reference>
        </references>
      </pivotArea>
    </chartFormat>
    <chartFormat chart="0" format="13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0" format="14" series="1">
      <pivotArea type="data" outline="0" fieldPosition="0">
        <references count="1">
          <reference field="429496729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73B60-C8DD-46D3-B99F-56C013E7CEBF}">
  <dimension ref="A1:Q48"/>
  <sheetViews>
    <sheetView tabSelected="1" workbookViewId="0">
      <selection activeCell="J4" sqref="J4:M48"/>
    </sheetView>
  </sheetViews>
  <sheetFormatPr baseColWidth="10" defaultRowHeight="13.2" x14ac:dyDescent="0.25"/>
  <cols>
    <col min="1" max="1" width="25.6640625" bestFit="1" customWidth="1"/>
    <col min="2" max="2" width="40" bestFit="1" customWidth="1"/>
    <col min="3" max="3" width="23.6640625" bestFit="1" customWidth="1"/>
    <col min="4" max="4" width="18.33203125" bestFit="1" customWidth="1"/>
    <col min="5" max="5" width="21.6640625" bestFit="1" customWidth="1"/>
    <col min="6" max="6" width="110.44140625" bestFit="1" customWidth="1"/>
    <col min="7" max="7" width="23.6640625" bestFit="1" customWidth="1"/>
    <col min="8" max="8" width="18.33203125" bestFit="1" customWidth="1"/>
    <col min="9" max="9" width="21.6640625" bestFit="1" customWidth="1"/>
    <col min="10" max="10" width="85.109375" bestFit="1" customWidth="1"/>
    <col min="11" max="11" width="23.6640625" bestFit="1" customWidth="1"/>
    <col min="12" max="12" width="18.33203125" bestFit="1" customWidth="1"/>
    <col min="13" max="13" width="21.6640625" bestFit="1" customWidth="1"/>
    <col min="14" max="14" width="43.109375" bestFit="1" customWidth="1"/>
    <col min="15" max="15" width="23.6640625" bestFit="1" customWidth="1"/>
    <col min="16" max="16" width="18.33203125" bestFit="1" customWidth="1"/>
    <col min="17" max="17" width="21.6640625" bestFit="1" customWidth="1"/>
    <col min="18" max="18" width="20.6640625" bestFit="1" customWidth="1"/>
    <col min="19" max="19" width="23.6640625" bestFit="1" customWidth="1"/>
    <col min="20" max="20" width="18.33203125" bestFit="1" customWidth="1"/>
    <col min="21" max="21" width="21.6640625" bestFit="1" customWidth="1"/>
  </cols>
  <sheetData>
    <row r="1" spans="1:17" x14ac:dyDescent="0.25">
      <c r="B1" s="3" t="s">
        <v>129</v>
      </c>
    </row>
    <row r="2" spans="1:17" x14ac:dyDescent="0.25">
      <c r="B2" t="s">
        <v>120</v>
      </c>
      <c r="F2" t="s">
        <v>119</v>
      </c>
      <c r="J2" t="s">
        <v>30</v>
      </c>
      <c r="N2" t="s">
        <v>75</v>
      </c>
    </row>
    <row r="3" spans="1:17" x14ac:dyDescent="0.25">
      <c r="A3" s="3" t="s">
        <v>127</v>
      </c>
      <c r="B3" t="s">
        <v>133</v>
      </c>
      <c r="C3" t="s">
        <v>135</v>
      </c>
      <c r="D3" t="s">
        <v>132</v>
      </c>
      <c r="E3" t="s">
        <v>134</v>
      </c>
      <c r="F3" t="s">
        <v>133</v>
      </c>
      <c r="G3" t="s">
        <v>135</v>
      </c>
      <c r="H3" t="s">
        <v>132</v>
      </c>
      <c r="I3" t="s">
        <v>134</v>
      </c>
      <c r="J3" t="s">
        <v>133</v>
      </c>
      <c r="K3" t="s">
        <v>135</v>
      </c>
      <c r="L3" t="s">
        <v>132</v>
      </c>
      <c r="M3" t="s">
        <v>134</v>
      </c>
      <c r="N3" t="s">
        <v>133</v>
      </c>
      <c r="O3" t="s">
        <v>135</v>
      </c>
      <c r="P3" t="s">
        <v>132</v>
      </c>
      <c r="Q3" t="s">
        <v>134</v>
      </c>
    </row>
    <row r="4" spans="1:17" x14ac:dyDescent="0.25">
      <c r="A4" s="4" t="s">
        <v>130</v>
      </c>
      <c r="B4">
        <v>53806.857073144143</v>
      </c>
      <c r="C4">
        <v>53718.163092660339</v>
      </c>
      <c r="D4">
        <v>9.9626885104568924E-4</v>
      </c>
      <c r="E4">
        <v>1073.8124725364503</v>
      </c>
      <c r="F4">
        <v>51276.142782999224</v>
      </c>
      <c r="G4">
        <v>51078.379685026062</v>
      </c>
      <c r="H4">
        <v>3.0336186947230552E-3</v>
      </c>
      <c r="I4">
        <v>2620.6788784095224</v>
      </c>
      <c r="J4">
        <v>51893.844560168007</v>
      </c>
      <c r="K4">
        <v>51893.10852380548</v>
      </c>
      <c r="L4">
        <v>1.1369778915714582E-5</v>
      </c>
      <c r="M4">
        <v>0.59906866436912865</v>
      </c>
      <c r="N4">
        <v>52760.365241222004</v>
      </c>
      <c r="O4">
        <v>51260.482776775149</v>
      </c>
      <c r="P4">
        <v>1.7348406971529211E-2</v>
      </c>
      <c r="Q4">
        <v>2576.8545618738444</v>
      </c>
    </row>
    <row r="5" spans="1:17" x14ac:dyDescent="0.25">
      <c r="A5" s="5" t="s">
        <v>39</v>
      </c>
      <c r="B5">
        <v>14236</v>
      </c>
      <c r="C5">
        <v>14236</v>
      </c>
      <c r="D5">
        <v>0</v>
      </c>
      <c r="E5">
        <v>2.5246286392211901</v>
      </c>
      <c r="F5">
        <v>13261</v>
      </c>
      <c r="G5">
        <v>13261</v>
      </c>
      <c r="H5">
        <v>0</v>
      </c>
      <c r="I5">
        <v>2.5826830863952601</v>
      </c>
      <c r="J5">
        <v>13310.3697351344</v>
      </c>
      <c r="K5">
        <v>13310.3697351344</v>
      </c>
      <c r="L5">
        <v>0</v>
      </c>
      <c r="M5">
        <v>3.50089073181152E-2</v>
      </c>
      <c r="N5">
        <v>13310.3697351343</v>
      </c>
      <c r="O5">
        <v>13310.3697351343</v>
      </c>
      <c r="P5">
        <v>0</v>
      </c>
      <c r="Q5">
        <v>1.6492121219635001</v>
      </c>
    </row>
    <row r="6" spans="1:17" x14ac:dyDescent="0.25">
      <c r="A6" s="5" t="s">
        <v>56</v>
      </c>
      <c r="B6">
        <v>30297</v>
      </c>
      <c r="C6">
        <v>30297</v>
      </c>
      <c r="D6">
        <v>0</v>
      </c>
      <c r="E6">
        <v>6.7486011981964102</v>
      </c>
      <c r="F6">
        <v>28808.5</v>
      </c>
      <c r="G6">
        <v>28808.5</v>
      </c>
      <c r="H6">
        <v>0</v>
      </c>
      <c r="I6">
        <v>109.88926386833199</v>
      </c>
      <c r="J6">
        <v>28912.325360672399</v>
      </c>
      <c r="K6">
        <v>28912.325360672399</v>
      </c>
      <c r="L6">
        <v>0</v>
      </c>
      <c r="M6">
        <v>0.128209829330444</v>
      </c>
      <c r="N6">
        <v>28912.325360672399</v>
      </c>
      <c r="O6">
        <v>28912.325360672399</v>
      </c>
      <c r="P6">
        <v>0</v>
      </c>
      <c r="Q6">
        <v>9.4827632904052699</v>
      </c>
    </row>
    <row r="7" spans="1:17" x14ac:dyDescent="0.25">
      <c r="A7" s="5" t="s">
        <v>71</v>
      </c>
      <c r="B7">
        <v>52638.999136016602</v>
      </c>
      <c r="C7">
        <v>52635.5040288241</v>
      </c>
      <c r="D7">
        <v>6.6397675675101896E-5</v>
      </c>
      <c r="E7">
        <v>249.137942075729</v>
      </c>
      <c r="F7">
        <v>49829.5</v>
      </c>
      <c r="G7">
        <v>49829.031330077101</v>
      </c>
      <c r="H7">
        <v>9.4054711137442401E-6</v>
      </c>
      <c r="I7">
        <v>707.30213308334396</v>
      </c>
      <c r="J7">
        <v>50231.331443295901</v>
      </c>
      <c r="K7">
        <v>50231.331443295901</v>
      </c>
      <c r="L7">
        <v>0</v>
      </c>
      <c r="M7">
        <v>0.14565014839172399</v>
      </c>
      <c r="N7">
        <v>50231.331083236597</v>
      </c>
      <c r="O7">
        <v>50231.331083236597</v>
      </c>
      <c r="P7">
        <v>0</v>
      </c>
      <c r="Q7">
        <v>1446.8093454837799</v>
      </c>
    </row>
    <row r="8" spans="1:17" x14ac:dyDescent="0.25">
      <c r="A8" s="5" t="s">
        <v>64</v>
      </c>
      <c r="B8">
        <v>19989</v>
      </c>
      <c r="C8">
        <v>19989</v>
      </c>
      <c r="D8">
        <v>0</v>
      </c>
      <c r="E8">
        <v>7.2398519515991202</v>
      </c>
      <c r="F8">
        <v>18787</v>
      </c>
      <c r="G8">
        <v>18787</v>
      </c>
      <c r="H8">
        <v>0</v>
      </c>
      <c r="I8">
        <v>65.541598081588802</v>
      </c>
      <c r="J8">
        <v>18984.126365642202</v>
      </c>
      <c r="K8">
        <v>18984.126365642202</v>
      </c>
      <c r="L8">
        <v>0</v>
      </c>
      <c r="M8">
        <v>6.6889047622680706E-2</v>
      </c>
      <c r="N8">
        <v>18956.9855368877</v>
      </c>
      <c r="O8">
        <v>18956.9855368877</v>
      </c>
      <c r="P8">
        <v>0</v>
      </c>
      <c r="Q8">
        <v>72.067611455917401</v>
      </c>
    </row>
    <row r="9" spans="1:17" x14ac:dyDescent="0.25">
      <c r="A9" s="5" t="s">
        <v>63</v>
      </c>
      <c r="B9">
        <v>42791</v>
      </c>
      <c r="C9">
        <v>42786.818181818198</v>
      </c>
      <c r="D9">
        <v>9.7726582268017797E-5</v>
      </c>
      <c r="E9">
        <v>581.02645182609604</v>
      </c>
      <c r="F9">
        <v>40840.999735390396</v>
      </c>
      <c r="G9">
        <v>40657.559437697601</v>
      </c>
      <c r="H9">
        <v>4.4915721672193001E-3</v>
      </c>
      <c r="I9">
        <v>3600.0269849300398</v>
      </c>
      <c r="J9">
        <v>41270.954555705597</v>
      </c>
      <c r="K9">
        <v>41270.954555705597</v>
      </c>
      <c r="L9">
        <v>0</v>
      </c>
      <c r="M9">
        <v>0.24188184738159199</v>
      </c>
      <c r="N9">
        <v>41262.2486082865</v>
      </c>
      <c r="O9">
        <v>40988.612591177</v>
      </c>
      <c r="P9">
        <v>6.6316312449948202E-3</v>
      </c>
      <c r="Q9">
        <v>3600.0509643554701</v>
      </c>
    </row>
    <row r="10" spans="1:17" x14ac:dyDescent="0.25">
      <c r="A10" s="5" t="s">
        <v>35</v>
      </c>
      <c r="B10">
        <v>75988</v>
      </c>
      <c r="C10">
        <v>75255.136008802001</v>
      </c>
      <c r="D10">
        <v>9.64447006366774E-3</v>
      </c>
      <c r="E10">
        <v>3601.1645689010602</v>
      </c>
      <c r="F10">
        <v>72398.999814665207</v>
      </c>
      <c r="G10">
        <v>71861.067706896894</v>
      </c>
      <c r="H10">
        <v>7.4301041332798202E-3</v>
      </c>
      <c r="I10">
        <v>3600.0329861640898</v>
      </c>
      <c r="J10">
        <v>73967.920901733101</v>
      </c>
      <c r="K10">
        <v>73967.920901733101</v>
      </c>
      <c r="L10">
        <v>0</v>
      </c>
      <c r="M10">
        <v>0.42788386344909701</v>
      </c>
      <c r="N10">
        <v>73717.314924689694</v>
      </c>
      <c r="O10">
        <v>71692.915113215393</v>
      </c>
      <c r="P10">
        <v>2.7461659632374302E-2</v>
      </c>
      <c r="Q10">
        <v>3600.0716583728799</v>
      </c>
    </row>
    <row r="11" spans="1:17" x14ac:dyDescent="0.25">
      <c r="A11" s="5" t="s">
        <v>41</v>
      </c>
      <c r="B11">
        <v>22675</v>
      </c>
      <c r="C11">
        <v>22675</v>
      </c>
      <c r="D11">
        <v>0</v>
      </c>
      <c r="E11">
        <v>7.94667267799377</v>
      </c>
      <c r="F11">
        <v>21264.5</v>
      </c>
      <c r="G11">
        <v>21264.5</v>
      </c>
      <c r="H11">
        <v>0</v>
      </c>
      <c r="I11">
        <v>63.981189012527501</v>
      </c>
      <c r="J11">
        <v>21378.120408857201</v>
      </c>
      <c r="K11">
        <v>21378.120408857201</v>
      </c>
      <c r="L11">
        <v>0</v>
      </c>
      <c r="M11">
        <v>0.123895883560181</v>
      </c>
      <c r="N11">
        <v>21378.120408857201</v>
      </c>
      <c r="O11">
        <v>21378.120408857201</v>
      </c>
      <c r="P11">
        <v>0</v>
      </c>
      <c r="Q11">
        <v>54.9741306304932</v>
      </c>
    </row>
    <row r="12" spans="1:17" x14ac:dyDescent="0.25">
      <c r="A12" s="5" t="s">
        <v>38</v>
      </c>
      <c r="B12">
        <v>48181</v>
      </c>
      <c r="C12">
        <v>48181</v>
      </c>
      <c r="D12">
        <v>0</v>
      </c>
      <c r="E12">
        <v>27.982041597366301</v>
      </c>
      <c r="F12">
        <v>46031.499994193699</v>
      </c>
      <c r="G12">
        <v>45971.462731603198</v>
      </c>
      <c r="H12">
        <v>1.30426474475215E-3</v>
      </c>
      <c r="I12">
        <v>3600.04978013039</v>
      </c>
      <c r="J12">
        <v>46359.723733948202</v>
      </c>
      <c r="K12">
        <v>46359.723733948202</v>
      </c>
      <c r="L12">
        <v>0</v>
      </c>
      <c r="M12">
        <v>0.28896093368530301</v>
      </c>
      <c r="N12">
        <v>46354.875063957501</v>
      </c>
      <c r="O12">
        <v>46351.189802901397</v>
      </c>
      <c r="P12">
        <v>7.9501046028155405E-5</v>
      </c>
      <c r="Q12">
        <v>1966.58666706085</v>
      </c>
    </row>
    <row r="13" spans="1:17" x14ac:dyDescent="0.25">
      <c r="A13" s="5" t="s">
        <v>68</v>
      </c>
      <c r="B13">
        <v>83684.999949504898</v>
      </c>
      <c r="C13">
        <v>83678.781075164996</v>
      </c>
      <c r="D13">
        <v>7.4312891721312597E-5</v>
      </c>
      <c r="E13">
        <v>1338.0379493236501</v>
      </c>
      <c r="F13">
        <v>79898.499787247696</v>
      </c>
      <c r="G13">
        <v>79681.443479395995</v>
      </c>
      <c r="H13">
        <v>2.7166506058261602E-3</v>
      </c>
      <c r="I13">
        <v>3600.1542019844101</v>
      </c>
      <c r="J13">
        <v>81173.837618463498</v>
      </c>
      <c r="K13">
        <v>81173.837618463396</v>
      </c>
      <c r="L13">
        <v>0</v>
      </c>
      <c r="M13">
        <v>0.56210589408874501</v>
      </c>
      <c r="N13">
        <v>81302.077718932502</v>
      </c>
      <c r="O13">
        <v>79769.588477055106</v>
      </c>
      <c r="P13">
        <v>1.88493244560781E-2</v>
      </c>
      <c r="Q13">
        <v>3600.03527736664</v>
      </c>
    </row>
    <row r="14" spans="1:17" x14ac:dyDescent="0.25">
      <c r="A14" s="5" t="s">
        <v>55</v>
      </c>
      <c r="B14">
        <v>26569</v>
      </c>
      <c r="C14">
        <v>26569</v>
      </c>
      <c r="D14">
        <v>0</v>
      </c>
      <c r="E14">
        <v>15.451955080032301</v>
      </c>
      <c r="F14">
        <v>24924</v>
      </c>
      <c r="G14">
        <v>24924</v>
      </c>
      <c r="H14">
        <v>0</v>
      </c>
      <c r="I14">
        <v>83.338111877441406</v>
      </c>
      <c r="J14">
        <v>25165.198867160201</v>
      </c>
      <c r="K14">
        <v>25165.198867160201</v>
      </c>
      <c r="L14">
        <v>0</v>
      </c>
      <c r="M14">
        <v>0.14877581596374501</v>
      </c>
      <c r="N14">
        <v>25160.310285837098</v>
      </c>
      <c r="O14">
        <v>25160.310285837098</v>
      </c>
      <c r="P14">
        <v>0</v>
      </c>
      <c r="Q14">
        <v>159.57117414474499</v>
      </c>
    </row>
    <row r="15" spans="1:17" x14ac:dyDescent="0.25">
      <c r="A15" s="5" t="s">
        <v>53</v>
      </c>
      <c r="B15">
        <v>57677</v>
      </c>
      <c r="C15">
        <v>57671.304179105799</v>
      </c>
      <c r="D15">
        <v>9.8753764832643705E-5</v>
      </c>
      <c r="E15">
        <v>189.830693244934</v>
      </c>
      <c r="F15">
        <v>55278.999990389297</v>
      </c>
      <c r="G15">
        <v>55182.0376204192</v>
      </c>
      <c r="H15">
        <v>1.7540543422810599E-3</v>
      </c>
      <c r="I15">
        <v>3600.05472517014</v>
      </c>
      <c r="J15">
        <v>55786.484722264096</v>
      </c>
      <c r="K15">
        <v>55786.484722264096</v>
      </c>
      <c r="L15">
        <v>0</v>
      </c>
      <c r="M15">
        <v>0.63126611709594704</v>
      </c>
      <c r="N15">
        <v>55725.301065368498</v>
      </c>
      <c r="O15">
        <v>55488.430761960903</v>
      </c>
      <c r="P15">
        <v>4.25067785869266E-3</v>
      </c>
      <c r="Q15">
        <v>3600.0831887722002</v>
      </c>
    </row>
    <row r="16" spans="1:17" x14ac:dyDescent="0.25">
      <c r="A16" s="5" t="s">
        <v>61</v>
      </c>
      <c r="B16">
        <v>101897.9996581</v>
      </c>
      <c r="C16">
        <v>101701.50339873599</v>
      </c>
      <c r="D16">
        <v>1.9283622840831501E-3</v>
      </c>
      <c r="E16">
        <v>3603.4120757579799</v>
      </c>
      <c r="F16">
        <v>97573.499990081604</v>
      </c>
      <c r="G16">
        <v>97183.542108072099</v>
      </c>
      <c r="H16">
        <v>3.99655523322596E-3</v>
      </c>
      <c r="I16">
        <v>3600.09210920334</v>
      </c>
      <c r="J16">
        <v>99854.509339261407</v>
      </c>
      <c r="K16">
        <v>99849.069530817404</v>
      </c>
      <c r="L16">
        <v>5.4477343887610703E-5</v>
      </c>
      <c r="M16">
        <v>0.93325495719909701</v>
      </c>
      <c r="N16">
        <v>100009.872030873</v>
      </c>
      <c r="O16">
        <v>97572.951477217299</v>
      </c>
      <c r="P16">
        <v>2.43668000385317E-2</v>
      </c>
      <c r="Q16">
        <v>3600.1429238319402</v>
      </c>
    </row>
    <row r="17" spans="1:17" x14ac:dyDescent="0.25">
      <c r="A17" s="5" t="s">
        <v>72</v>
      </c>
      <c r="B17">
        <v>29172</v>
      </c>
      <c r="C17">
        <v>29172</v>
      </c>
      <c r="D17">
        <v>0</v>
      </c>
      <c r="E17">
        <v>15.691298961639401</v>
      </c>
      <c r="F17">
        <v>27692.9996937326</v>
      </c>
      <c r="G17">
        <v>27620.413750298601</v>
      </c>
      <c r="H17">
        <v>2.62109357010183E-3</v>
      </c>
      <c r="I17">
        <v>3600.0521810054802</v>
      </c>
      <c r="J17">
        <v>27975.740465439099</v>
      </c>
      <c r="K17">
        <v>27974.317305026201</v>
      </c>
      <c r="L17">
        <v>5.0871233049088201E-5</v>
      </c>
      <c r="M17">
        <v>0.328365087509155</v>
      </c>
      <c r="N17">
        <v>27907.462420580101</v>
      </c>
      <c r="O17">
        <v>27751.627459327701</v>
      </c>
      <c r="P17">
        <v>5.5839889311269202E-3</v>
      </c>
      <c r="Q17">
        <v>3600.1702923774701</v>
      </c>
    </row>
    <row r="18" spans="1:17" x14ac:dyDescent="0.25">
      <c r="A18" s="5" t="s">
        <v>60</v>
      </c>
      <c r="B18">
        <v>61786.999969999997</v>
      </c>
      <c r="C18">
        <v>61782.695040581501</v>
      </c>
      <c r="D18">
        <v>6.96737083947566E-5</v>
      </c>
      <c r="E18">
        <v>1727.2135601043699</v>
      </c>
      <c r="F18">
        <v>59081.5</v>
      </c>
      <c r="G18">
        <v>58997.2614388281</v>
      </c>
      <c r="H18">
        <v>1.42580268225938E-3</v>
      </c>
      <c r="I18">
        <v>3600.04789113998</v>
      </c>
      <c r="J18">
        <v>59517.4860415476</v>
      </c>
      <c r="K18">
        <v>59512.7415498232</v>
      </c>
      <c r="L18">
        <v>7.9715929552229601E-5</v>
      </c>
      <c r="M18">
        <v>1.0299308300018299</v>
      </c>
      <c r="N18">
        <v>59786.768739537103</v>
      </c>
      <c r="O18">
        <v>59210.413966135398</v>
      </c>
      <c r="P18">
        <v>9.6401726594840999E-3</v>
      </c>
      <c r="Q18">
        <v>3600.0621676444998</v>
      </c>
    </row>
    <row r="19" spans="1:17" x14ac:dyDescent="0.25">
      <c r="A19" s="5" t="s">
        <v>70</v>
      </c>
      <c r="B19">
        <v>111231</v>
      </c>
      <c r="C19">
        <v>110668.141916063</v>
      </c>
      <c r="D19">
        <v>5.06026273194677E-3</v>
      </c>
      <c r="E19">
        <v>3601.7885897159599</v>
      </c>
      <c r="F19">
        <v>106059.5</v>
      </c>
      <c r="G19">
        <v>105374.008452761</v>
      </c>
      <c r="H19">
        <v>6.4632734195350103E-3</v>
      </c>
      <c r="I19">
        <v>3600.3483009338402</v>
      </c>
      <c r="J19">
        <v>107529.301682925</v>
      </c>
      <c r="K19">
        <v>107528.728340099</v>
      </c>
      <c r="L19">
        <v>5.3319682864334499E-6</v>
      </c>
      <c r="M19">
        <v>1.7604229450225799</v>
      </c>
      <c r="N19">
        <v>117337.53102633401</v>
      </c>
      <c r="O19">
        <v>105492.498984729</v>
      </c>
      <c r="P19">
        <v>0.100948366119506</v>
      </c>
      <c r="Q19">
        <v>3600.8728432655298</v>
      </c>
    </row>
    <row r="20" spans="1:17" x14ac:dyDescent="0.25">
      <c r="A20" s="5" t="s">
        <v>57</v>
      </c>
      <c r="B20">
        <v>35803</v>
      </c>
      <c r="C20">
        <v>35803</v>
      </c>
      <c r="D20">
        <v>0</v>
      </c>
      <c r="E20">
        <v>26.064972877502399</v>
      </c>
      <c r="F20">
        <v>34131.4999023825</v>
      </c>
      <c r="G20">
        <v>33951.488507069902</v>
      </c>
      <c r="H20">
        <v>5.2740546365498799E-3</v>
      </c>
      <c r="I20">
        <v>3600.21579194069</v>
      </c>
      <c r="J20">
        <v>34416.2067617551</v>
      </c>
      <c r="K20">
        <v>34415.584928466298</v>
      </c>
      <c r="L20">
        <v>1.80680367583086E-5</v>
      </c>
      <c r="M20">
        <v>0.63661909103393599</v>
      </c>
      <c r="N20">
        <v>34466.262315235297</v>
      </c>
      <c r="O20">
        <v>34117.230129068899</v>
      </c>
      <c r="P20">
        <v>1.01267779770884E-2</v>
      </c>
      <c r="Q20">
        <v>3600.0682177543599</v>
      </c>
    </row>
    <row r="21" spans="1:17" x14ac:dyDescent="0.25">
      <c r="A21" s="5" t="s">
        <v>54</v>
      </c>
      <c r="B21">
        <v>75538.9998224054</v>
      </c>
      <c r="C21">
        <v>75433.2378964089</v>
      </c>
      <c r="D21">
        <v>1.40009698625977E-3</v>
      </c>
      <c r="E21">
        <v>3601.5368080139201</v>
      </c>
      <c r="F21">
        <v>72384.999967396303</v>
      </c>
      <c r="G21">
        <v>72002.368161820996</v>
      </c>
      <c r="H21">
        <v>5.2860648718336904E-3</v>
      </c>
      <c r="I21">
        <v>3600.1030459404001</v>
      </c>
      <c r="J21">
        <v>72969.8460902964</v>
      </c>
      <c r="K21">
        <v>72969.151541604195</v>
      </c>
      <c r="L21">
        <v>9.5182973428135496E-6</v>
      </c>
      <c r="M21">
        <v>1.2403638362884499</v>
      </c>
      <c r="N21">
        <v>74655.621031930597</v>
      </c>
      <c r="O21">
        <v>72147.231062062201</v>
      </c>
      <c r="P21">
        <v>3.35994789835787E-2</v>
      </c>
      <c r="Q21">
        <v>3600.4885809421498</v>
      </c>
    </row>
    <row r="22" spans="1:17" x14ac:dyDescent="0.25">
      <c r="A22" s="5" t="s">
        <v>37</v>
      </c>
      <c r="B22">
        <v>44822</v>
      </c>
      <c r="C22">
        <v>44822</v>
      </c>
      <c r="D22">
        <v>0</v>
      </c>
      <c r="E22">
        <v>107.950572729111</v>
      </c>
      <c r="F22">
        <v>42223.499796775701</v>
      </c>
      <c r="G22">
        <v>42040.333896737699</v>
      </c>
      <c r="H22">
        <v>4.3380084767872702E-3</v>
      </c>
      <c r="I22">
        <v>3600.10026597977</v>
      </c>
      <c r="J22">
        <v>42573.582196626798</v>
      </c>
      <c r="K22">
        <v>42573.582196132098</v>
      </c>
      <c r="L22">
        <v>1.16203860820052E-11</v>
      </c>
      <c r="M22">
        <v>0.52277612686157204</v>
      </c>
      <c r="N22">
        <v>42745.741727257198</v>
      </c>
      <c r="O22">
        <v>42222.871714756599</v>
      </c>
      <c r="P22">
        <v>1.22320959088001E-2</v>
      </c>
      <c r="Q22">
        <v>3600.1835372447999</v>
      </c>
    </row>
    <row r="23" spans="1:17" x14ac:dyDescent="0.25">
      <c r="A23" s="5" t="s">
        <v>43</v>
      </c>
      <c r="B23">
        <v>96993</v>
      </c>
      <c r="C23">
        <v>96752.303220362606</v>
      </c>
      <c r="D23">
        <v>2.4815891831102099E-3</v>
      </c>
      <c r="E23">
        <v>3601.67462682724</v>
      </c>
      <c r="F23">
        <v>93436</v>
      </c>
      <c r="G23">
        <v>92812.185047562205</v>
      </c>
      <c r="H23">
        <v>6.6763876068941901E-3</v>
      </c>
      <c r="I23">
        <v>3600.07370400429</v>
      </c>
      <c r="J23">
        <v>94289.659078283396</v>
      </c>
      <c r="K23">
        <v>94287.6995011689</v>
      </c>
      <c r="L23">
        <v>2.0782524124149499E-5</v>
      </c>
      <c r="M23">
        <v>1.64149498939514</v>
      </c>
      <c r="N23">
        <v>99987.190311141501</v>
      </c>
      <c r="O23">
        <v>92745.055819965404</v>
      </c>
      <c r="P23">
        <v>7.2430623049211607E-2</v>
      </c>
      <c r="Q23">
        <v>3600.2684252262102</v>
      </c>
    </row>
    <row r="24" spans="1:17" x14ac:dyDescent="0.25">
      <c r="A24" s="5" t="s">
        <v>52</v>
      </c>
      <c r="B24">
        <v>50846</v>
      </c>
      <c r="C24">
        <v>50846</v>
      </c>
      <c r="D24">
        <v>0</v>
      </c>
      <c r="E24">
        <v>68.337500810623197</v>
      </c>
      <c r="F24">
        <v>48258.999980307497</v>
      </c>
      <c r="G24">
        <v>48092.253679702801</v>
      </c>
      <c r="H24">
        <v>3.4552373789921501E-3</v>
      </c>
      <c r="I24">
        <v>3600.0970969200098</v>
      </c>
      <c r="J24">
        <v>48829.581233312201</v>
      </c>
      <c r="K24">
        <v>48829.581232696502</v>
      </c>
      <c r="L24">
        <v>1.26089865561282E-11</v>
      </c>
      <c r="M24">
        <v>0.78091788291931197</v>
      </c>
      <c r="N24">
        <v>49012.054775515098</v>
      </c>
      <c r="O24">
        <v>48318.6472474275</v>
      </c>
      <c r="P24">
        <v>1.4147693486093099E-2</v>
      </c>
      <c r="Q24">
        <v>3600.16135978699</v>
      </c>
    </row>
    <row r="25" spans="1:17" x14ac:dyDescent="0.25">
      <c r="A25" s="5" t="s">
        <v>59</v>
      </c>
      <c r="B25">
        <v>47126</v>
      </c>
      <c r="C25">
        <v>47126</v>
      </c>
      <c r="D25">
        <v>0</v>
      </c>
      <c r="E25">
        <v>169.300560951233</v>
      </c>
      <c r="F25">
        <v>44632.9997904212</v>
      </c>
      <c r="G25">
        <v>44344.516036604</v>
      </c>
      <c r="H25">
        <v>6.46346324853256E-3</v>
      </c>
      <c r="I25">
        <v>3600.1724021434802</v>
      </c>
      <c r="J25">
        <v>45274.429161204403</v>
      </c>
      <c r="K25">
        <v>45274.429161204403</v>
      </c>
      <c r="L25">
        <v>0</v>
      </c>
      <c r="M25">
        <v>0.90576791763305697</v>
      </c>
      <c r="N25">
        <v>45747.905895398297</v>
      </c>
      <c r="O25">
        <v>44651.431294652903</v>
      </c>
      <c r="P25">
        <v>2.3967755010524699E-2</v>
      </c>
      <c r="Q25">
        <v>3600.1454582214401</v>
      </c>
    </row>
    <row r="26" spans="1:17" x14ac:dyDescent="0.25">
      <c r="A26" s="4" t="s">
        <v>131</v>
      </c>
      <c r="B26">
        <v>74259.523729984314</v>
      </c>
      <c r="C26">
        <v>73348.804870462656</v>
      </c>
      <c r="D26">
        <v>6.9203522835305587E-3</v>
      </c>
      <c r="E26">
        <v>1919.9522780690877</v>
      </c>
      <c r="F26">
        <v>66594.38022171527</v>
      </c>
      <c r="G26">
        <v>65645.948946159449</v>
      </c>
      <c r="H26">
        <v>1.1323703904221249E-2</v>
      </c>
      <c r="I26">
        <v>2774.7844349656793</v>
      </c>
      <c r="J26">
        <v>69581.892675807539</v>
      </c>
      <c r="K26">
        <v>69581.048616384127</v>
      </c>
      <c r="L26">
        <v>1.1304968530841335E-5</v>
      </c>
      <c r="M26">
        <v>0.68274559293474457</v>
      </c>
      <c r="N26">
        <v>71123.34295596974</v>
      </c>
      <c r="O26">
        <v>65025.412154796519</v>
      </c>
      <c r="P26">
        <v>6.1493076312939619E-2</v>
      </c>
      <c r="Q26">
        <v>2813.4639071282886</v>
      </c>
    </row>
    <row r="27" spans="1:17" x14ac:dyDescent="0.25">
      <c r="A27" s="5" t="s">
        <v>44</v>
      </c>
      <c r="B27">
        <v>20750</v>
      </c>
      <c r="C27">
        <v>20750</v>
      </c>
      <c r="D27">
        <v>0</v>
      </c>
      <c r="E27">
        <v>1.7461397647857699</v>
      </c>
      <c r="F27">
        <v>17835</v>
      </c>
      <c r="G27">
        <v>17835</v>
      </c>
      <c r="H27">
        <v>0</v>
      </c>
      <c r="I27">
        <v>1.38335108757019</v>
      </c>
      <c r="J27">
        <v>18058.295875612901</v>
      </c>
      <c r="K27">
        <v>18058.295875612901</v>
      </c>
      <c r="L27">
        <v>0</v>
      </c>
      <c r="M27">
        <v>3.5550117492675802E-2</v>
      </c>
      <c r="N27">
        <v>18058.295875612901</v>
      </c>
      <c r="O27">
        <v>18058.295875612901</v>
      </c>
      <c r="P27">
        <v>0</v>
      </c>
      <c r="Q27">
        <v>2.6474487781524698</v>
      </c>
    </row>
    <row r="28" spans="1:17" x14ac:dyDescent="0.25">
      <c r="A28" s="5" t="s">
        <v>58</v>
      </c>
      <c r="B28">
        <v>42067.999985979397</v>
      </c>
      <c r="C28">
        <v>42067.999985979397</v>
      </c>
      <c r="D28">
        <v>0</v>
      </c>
      <c r="E28">
        <v>11.096104145050001</v>
      </c>
      <c r="F28">
        <v>37316.5</v>
      </c>
      <c r="G28">
        <v>37316.498822320304</v>
      </c>
      <c r="H28">
        <v>3.1559221890780703E-8</v>
      </c>
      <c r="I28">
        <v>162.77340507507299</v>
      </c>
      <c r="J28">
        <v>38038.172765691197</v>
      </c>
      <c r="K28">
        <v>38038.172765691197</v>
      </c>
      <c r="L28">
        <v>0</v>
      </c>
      <c r="M28">
        <v>9.3133926391601604E-2</v>
      </c>
      <c r="N28">
        <v>37774.950416902298</v>
      </c>
      <c r="O28">
        <v>37774.950416902298</v>
      </c>
      <c r="P28">
        <v>0</v>
      </c>
      <c r="Q28">
        <v>46.119750261306798</v>
      </c>
    </row>
    <row r="29" spans="1:17" x14ac:dyDescent="0.25">
      <c r="A29" s="5" t="s">
        <v>73</v>
      </c>
      <c r="B29">
        <v>72847.999958617205</v>
      </c>
      <c r="C29">
        <v>72847.999958617205</v>
      </c>
      <c r="D29">
        <v>0</v>
      </c>
      <c r="E29">
        <v>22.308111429214499</v>
      </c>
      <c r="F29">
        <v>66834.994197344393</v>
      </c>
      <c r="G29">
        <v>66574.279362295594</v>
      </c>
      <c r="H29">
        <v>3.9008731605327698E-3</v>
      </c>
      <c r="I29">
        <v>3600.0266900062602</v>
      </c>
      <c r="J29">
        <v>69154.905995275505</v>
      </c>
      <c r="K29">
        <v>69154.905995275505</v>
      </c>
      <c r="L29">
        <v>0</v>
      </c>
      <c r="M29">
        <v>0.124292135238647</v>
      </c>
      <c r="N29">
        <v>68563.336796616495</v>
      </c>
      <c r="O29">
        <v>66581.519238390596</v>
      </c>
      <c r="P29">
        <v>2.89049169836159E-2</v>
      </c>
      <c r="Q29">
        <v>3600.0440046787298</v>
      </c>
    </row>
    <row r="30" spans="1:17" x14ac:dyDescent="0.25">
      <c r="A30" s="5" t="s">
        <v>29</v>
      </c>
      <c r="B30">
        <v>30676</v>
      </c>
      <c r="C30">
        <v>30676</v>
      </c>
      <c r="D30">
        <v>0</v>
      </c>
      <c r="E30">
        <v>23.045698881149299</v>
      </c>
      <c r="F30">
        <v>26240.5</v>
      </c>
      <c r="G30">
        <v>26240.4999320594</v>
      </c>
      <c r="H30">
        <v>2.5891516174008001E-9</v>
      </c>
      <c r="I30">
        <v>238.19414281845101</v>
      </c>
      <c r="J30">
        <v>26860.681430160799</v>
      </c>
      <c r="K30">
        <v>26860.681430160799</v>
      </c>
      <c r="L30">
        <v>0</v>
      </c>
      <c r="M30">
        <v>5.9319972991943401E-2</v>
      </c>
      <c r="N30">
        <v>26776.943479216901</v>
      </c>
      <c r="O30">
        <v>26776.943479216901</v>
      </c>
      <c r="P30">
        <v>0</v>
      </c>
      <c r="Q30">
        <v>96.257256984710693</v>
      </c>
    </row>
    <row r="31" spans="1:17" x14ac:dyDescent="0.25">
      <c r="A31" s="5" t="s">
        <v>49</v>
      </c>
      <c r="B31">
        <v>60686.999585325299</v>
      </c>
      <c r="C31">
        <v>60686.999585325299</v>
      </c>
      <c r="D31">
        <v>0</v>
      </c>
      <c r="E31">
        <v>867.94262433052097</v>
      </c>
      <c r="F31">
        <v>54121</v>
      </c>
      <c r="G31">
        <v>54064.641131386197</v>
      </c>
      <c r="H31">
        <v>1.04134935817579E-3</v>
      </c>
      <c r="I31">
        <v>3600.0338850021399</v>
      </c>
      <c r="J31">
        <v>57150.9185117249</v>
      </c>
      <c r="K31">
        <v>57150.9185117249</v>
      </c>
      <c r="L31">
        <v>0</v>
      </c>
      <c r="M31">
        <v>0.167562961578369</v>
      </c>
      <c r="N31">
        <v>55753.511068026899</v>
      </c>
      <c r="O31">
        <v>54594.489940477302</v>
      </c>
      <c r="P31">
        <v>2.0788307415032899E-2</v>
      </c>
      <c r="Q31">
        <v>3600.0532271861998</v>
      </c>
    </row>
    <row r="32" spans="1:17" x14ac:dyDescent="0.25">
      <c r="A32" s="5" t="s">
        <v>69</v>
      </c>
      <c r="B32">
        <v>109246</v>
      </c>
      <c r="C32">
        <v>108534.871643727</v>
      </c>
      <c r="D32">
        <v>6.5094223703681797E-3</v>
      </c>
      <c r="E32">
        <v>3600.0643427372001</v>
      </c>
      <c r="F32">
        <v>99897.499815615898</v>
      </c>
      <c r="G32">
        <v>98544.457483100996</v>
      </c>
      <c r="H32">
        <v>1.3544306264042599E-2</v>
      </c>
      <c r="I32">
        <v>3600.0566389560699</v>
      </c>
      <c r="J32">
        <v>106666.043249344</v>
      </c>
      <c r="K32">
        <v>106666.043249344</v>
      </c>
      <c r="L32">
        <v>1.0914000208557499E-15</v>
      </c>
      <c r="M32">
        <v>0.82485485076904297</v>
      </c>
      <c r="N32">
        <v>104190.162255156</v>
      </c>
      <c r="O32">
        <v>94372.153593138995</v>
      </c>
      <c r="P32">
        <v>9.4231628490734895E-2</v>
      </c>
      <c r="Q32">
        <v>3600.11109733582</v>
      </c>
    </row>
    <row r="33" spans="1:17" x14ac:dyDescent="0.25">
      <c r="A33" s="5" t="s">
        <v>46</v>
      </c>
      <c r="B33">
        <v>33151</v>
      </c>
      <c r="C33">
        <v>33151</v>
      </c>
      <c r="D33">
        <v>0</v>
      </c>
      <c r="E33">
        <v>16.105900287628199</v>
      </c>
      <c r="F33">
        <v>28517</v>
      </c>
      <c r="G33">
        <v>28517</v>
      </c>
      <c r="H33">
        <v>0</v>
      </c>
      <c r="I33">
        <v>38.965275049209602</v>
      </c>
      <c r="J33">
        <v>29250.8296868258</v>
      </c>
      <c r="K33">
        <v>29250.8296868258</v>
      </c>
      <c r="L33">
        <v>0</v>
      </c>
      <c r="M33">
        <v>8.7544918060302707E-2</v>
      </c>
      <c r="N33">
        <v>29250.8296868258</v>
      </c>
      <c r="O33">
        <v>29250.8296868258</v>
      </c>
      <c r="P33">
        <v>0</v>
      </c>
      <c r="Q33">
        <v>132.74919962883001</v>
      </c>
    </row>
    <row r="34" spans="1:17" x14ac:dyDescent="0.25">
      <c r="A34" s="5" t="s">
        <v>65</v>
      </c>
      <c r="B34">
        <v>66288.999920291695</v>
      </c>
      <c r="C34">
        <v>66288.999920291695</v>
      </c>
      <c r="D34">
        <v>0</v>
      </c>
      <c r="E34">
        <v>2472.0361132621802</v>
      </c>
      <c r="F34">
        <v>59032.496323716499</v>
      </c>
      <c r="G34">
        <v>58537.4155821116</v>
      </c>
      <c r="H34">
        <v>8.3865798066542208E-3</v>
      </c>
      <c r="I34">
        <v>3600.0313742160802</v>
      </c>
      <c r="J34">
        <v>61479.340245791704</v>
      </c>
      <c r="K34">
        <v>61479.340245791704</v>
      </c>
      <c r="L34">
        <v>0</v>
      </c>
      <c r="M34">
        <v>0.24436712265014601</v>
      </c>
      <c r="N34">
        <v>60849.287344152202</v>
      </c>
      <c r="O34">
        <v>59052.642768488797</v>
      </c>
      <c r="P34">
        <v>2.9526139977646599E-2</v>
      </c>
      <c r="Q34">
        <v>3600.0613012313802</v>
      </c>
    </row>
    <row r="35" spans="1:17" x14ac:dyDescent="0.25">
      <c r="A35" s="5" t="s">
        <v>66</v>
      </c>
      <c r="B35">
        <v>116181.999595663</v>
      </c>
      <c r="C35">
        <v>115809.362405917</v>
      </c>
      <c r="D35">
        <v>3.2073573448852099E-3</v>
      </c>
      <c r="E35">
        <v>3600.1263711452498</v>
      </c>
      <c r="F35">
        <v>106168.999353237</v>
      </c>
      <c r="G35">
        <v>103926.153194074</v>
      </c>
      <c r="H35">
        <v>2.1125245343043501E-2</v>
      </c>
      <c r="I35">
        <v>3600.1596698761</v>
      </c>
      <c r="J35">
        <v>112995.774405897</v>
      </c>
      <c r="K35">
        <v>112995.774405897</v>
      </c>
      <c r="L35">
        <v>0</v>
      </c>
      <c r="M35">
        <v>0.89100193977356001</v>
      </c>
      <c r="N35">
        <v>110207.29372188701</v>
      </c>
      <c r="O35">
        <v>101863.38213030199</v>
      </c>
      <c r="P35">
        <v>7.5711065119167295E-2</v>
      </c>
      <c r="Q35">
        <v>3600.06781983376</v>
      </c>
    </row>
    <row r="36" spans="1:17" x14ac:dyDescent="0.25">
      <c r="A36" s="5" t="s">
        <v>62</v>
      </c>
      <c r="B36">
        <v>38054</v>
      </c>
      <c r="C36">
        <v>38054</v>
      </c>
      <c r="D36">
        <v>0</v>
      </c>
      <c r="E36">
        <v>28.681736707687399</v>
      </c>
      <c r="F36">
        <v>33049</v>
      </c>
      <c r="G36">
        <v>33049</v>
      </c>
      <c r="H36">
        <v>0</v>
      </c>
      <c r="I36">
        <v>227.94780611991899</v>
      </c>
      <c r="J36">
        <v>34032.056398000197</v>
      </c>
      <c r="K36">
        <v>34032.056398000197</v>
      </c>
      <c r="L36">
        <v>0</v>
      </c>
      <c r="M36">
        <v>0.1264488697052</v>
      </c>
      <c r="N36">
        <v>34032.056398000197</v>
      </c>
      <c r="O36">
        <v>34028.930519911701</v>
      </c>
      <c r="P36">
        <v>9.1850990487900096E-5</v>
      </c>
      <c r="Q36">
        <v>1203.1169180870099</v>
      </c>
    </row>
    <row r="37" spans="1:17" x14ac:dyDescent="0.25">
      <c r="A37" s="5" t="s">
        <v>48</v>
      </c>
      <c r="B37">
        <v>76711.999283793804</v>
      </c>
      <c r="C37">
        <v>76416.527816995702</v>
      </c>
      <c r="D37">
        <v>3.8516981639992801E-3</v>
      </c>
      <c r="E37">
        <v>3600.0264861583701</v>
      </c>
      <c r="F37">
        <v>69545.498197501394</v>
      </c>
      <c r="G37">
        <v>68940.450279132099</v>
      </c>
      <c r="H37">
        <v>8.7000299667282701E-3</v>
      </c>
      <c r="I37">
        <v>3600.0907940864599</v>
      </c>
      <c r="J37">
        <v>73077.805343702406</v>
      </c>
      <c r="K37">
        <v>73077.805343702305</v>
      </c>
      <c r="L37">
        <v>1.3939034720525601E-15</v>
      </c>
      <c r="M37">
        <v>0.43216204643249501</v>
      </c>
      <c r="N37">
        <v>72882.669112570497</v>
      </c>
      <c r="O37">
        <v>69010.127646422407</v>
      </c>
      <c r="P37">
        <v>5.31339139098592E-2</v>
      </c>
      <c r="Q37">
        <v>3600.0397450923901</v>
      </c>
    </row>
    <row r="38" spans="1:17" x14ac:dyDescent="0.25">
      <c r="A38" s="5" t="s">
        <v>74</v>
      </c>
      <c r="B38">
        <v>140566</v>
      </c>
      <c r="C38">
        <v>137113.438898578</v>
      </c>
      <c r="D38">
        <v>2.4561850671019299E-2</v>
      </c>
      <c r="E38">
        <v>3600.6079318523398</v>
      </c>
      <c r="F38">
        <v>126859</v>
      </c>
      <c r="G38">
        <v>124734.5805699</v>
      </c>
      <c r="H38">
        <v>1.6746304401739302E-2</v>
      </c>
      <c r="I38">
        <v>3600.06720685959</v>
      </c>
      <c r="J38">
        <v>135894.00648996999</v>
      </c>
      <c r="K38">
        <v>135894.00648996999</v>
      </c>
      <c r="L38">
        <v>0</v>
      </c>
      <c r="M38">
        <v>1.22195196151733</v>
      </c>
      <c r="N38">
        <v>140106.60353757499</v>
      </c>
      <c r="O38">
        <v>123257.22692849999</v>
      </c>
      <c r="P38">
        <v>0.12026111677567</v>
      </c>
      <c r="Q38">
        <v>3600.2022669315302</v>
      </c>
    </row>
    <row r="39" spans="1:17" x14ac:dyDescent="0.25">
      <c r="A39" s="5" t="s">
        <v>45</v>
      </c>
      <c r="B39">
        <v>41464</v>
      </c>
      <c r="C39">
        <v>41464</v>
      </c>
      <c r="D39">
        <v>0</v>
      </c>
      <c r="E39">
        <v>12.4477450847626</v>
      </c>
      <c r="F39">
        <v>36026</v>
      </c>
      <c r="G39">
        <v>35744.762171535003</v>
      </c>
      <c r="H39">
        <v>7.8065238567977804E-3</v>
      </c>
      <c r="I39">
        <v>3600.05626797676</v>
      </c>
      <c r="J39">
        <v>36802.081355002701</v>
      </c>
      <c r="K39">
        <v>36802.081355002701</v>
      </c>
      <c r="L39">
        <v>0</v>
      </c>
      <c r="M39">
        <v>0.18238306045532199</v>
      </c>
      <c r="N39">
        <v>36515.833673796398</v>
      </c>
      <c r="O39">
        <v>35987.131236411798</v>
      </c>
      <c r="P39">
        <v>1.44787174272826E-2</v>
      </c>
      <c r="Q39">
        <v>3600.0739946365402</v>
      </c>
    </row>
    <row r="40" spans="1:17" x14ac:dyDescent="0.25">
      <c r="A40" s="5" t="s">
        <v>51</v>
      </c>
      <c r="B40">
        <v>82749</v>
      </c>
      <c r="C40">
        <v>82465.450241958504</v>
      </c>
      <c r="D40">
        <v>3.4266245881103001E-3</v>
      </c>
      <c r="E40">
        <v>3600.7795357704199</v>
      </c>
      <c r="F40">
        <v>74518.499908963393</v>
      </c>
      <c r="G40">
        <v>73724.5142886432</v>
      </c>
      <c r="H40">
        <v>1.06548792754849E-2</v>
      </c>
      <c r="I40">
        <v>3600.07070803642</v>
      </c>
      <c r="J40">
        <v>77354.526374788198</v>
      </c>
      <c r="K40">
        <v>77352.388431525804</v>
      </c>
      <c r="L40">
        <v>2.76382438443287E-5</v>
      </c>
      <c r="M40">
        <v>0.71352505683898904</v>
      </c>
      <c r="N40">
        <v>81327.520434716396</v>
      </c>
      <c r="O40">
        <v>73549.844015917406</v>
      </c>
      <c r="P40">
        <v>9.5634004052077004E-2</v>
      </c>
      <c r="Q40">
        <v>3600.1991057395899</v>
      </c>
    </row>
    <row r="41" spans="1:17" x14ac:dyDescent="0.25">
      <c r="A41" s="5" t="s">
        <v>34</v>
      </c>
      <c r="B41">
        <v>154135</v>
      </c>
      <c r="C41">
        <v>146428.66490523101</v>
      </c>
      <c r="D41">
        <v>4.9997308169909799E-2</v>
      </c>
      <c r="E41">
        <v>3600.0424265861502</v>
      </c>
      <c r="F41">
        <v>136171.999986562</v>
      </c>
      <c r="G41">
        <v>133302.284555272</v>
      </c>
      <c r="H41">
        <v>2.10741961017923E-2</v>
      </c>
      <c r="I41">
        <v>3600.0624740123799</v>
      </c>
      <c r="J41">
        <v>144519.29233386801</v>
      </c>
      <c r="K41">
        <v>144517.677953078</v>
      </c>
      <c r="L41">
        <v>1.1170693993125501E-5</v>
      </c>
      <c r="M41">
        <v>2.3734269142150901</v>
      </c>
      <c r="N41">
        <v>157657.821480538</v>
      </c>
      <c r="O41">
        <v>130614.944393093</v>
      </c>
      <c r="P41">
        <v>0.171528927860917</v>
      </c>
      <c r="Q41">
        <v>3600.2395980358101</v>
      </c>
    </row>
    <row r="42" spans="1:17" x14ac:dyDescent="0.25">
      <c r="A42" s="5" t="s">
        <v>42</v>
      </c>
      <c r="B42">
        <v>49960</v>
      </c>
      <c r="C42">
        <v>49958.861801242201</v>
      </c>
      <c r="D42">
        <v>2.2782200915835899E-5</v>
      </c>
      <c r="E42">
        <v>111.026981592178</v>
      </c>
      <c r="F42">
        <v>44185.999043605101</v>
      </c>
      <c r="G42">
        <v>43510.528620756799</v>
      </c>
      <c r="H42">
        <v>1.52869786237405E-2</v>
      </c>
      <c r="I42">
        <v>3600.06271195412</v>
      </c>
      <c r="J42">
        <v>45016.600720531897</v>
      </c>
      <c r="K42">
        <v>45016.600720531897</v>
      </c>
      <c r="L42">
        <v>0</v>
      </c>
      <c r="M42">
        <v>0.25788283348083502</v>
      </c>
      <c r="N42">
        <v>46757.813169665103</v>
      </c>
      <c r="O42">
        <v>43252.147205412097</v>
      </c>
      <c r="P42">
        <v>7.4974976941977897E-2</v>
      </c>
      <c r="Q42">
        <v>3600.18128275871</v>
      </c>
    </row>
    <row r="43" spans="1:17" x14ac:dyDescent="0.25">
      <c r="A43" s="5" t="s">
        <v>47</v>
      </c>
      <c r="B43">
        <v>99886</v>
      </c>
      <c r="C43">
        <v>98851.925147300106</v>
      </c>
      <c r="D43">
        <v>1.03525504344943E-2</v>
      </c>
      <c r="E43">
        <v>3601.8449048995999</v>
      </c>
      <c r="F43">
        <v>90834</v>
      </c>
      <c r="G43">
        <v>89349.516171641706</v>
      </c>
      <c r="H43">
        <v>1.63428212823209E-2</v>
      </c>
      <c r="I43">
        <v>3600.0530130863199</v>
      </c>
      <c r="J43">
        <v>95763.458077276504</v>
      </c>
      <c r="K43">
        <v>95761.543621923396</v>
      </c>
      <c r="L43">
        <v>1.9991501888549501E-5</v>
      </c>
      <c r="M43">
        <v>0.98432803153991699</v>
      </c>
      <c r="N43">
        <v>99325.829583081199</v>
      </c>
      <c r="O43">
        <v>87617.019638080907</v>
      </c>
      <c r="P43">
        <v>0.11788283062067401</v>
      </c>
      <c r="Q43">
        <v>3600.0582647323599</v>
      </c>
    </row>
    <row r="44" spans="1:17" x14ac:dyDescent="0.25">
      <c r="A44" s="5" t="s">
        <v>36</v>
      </c>
      <c r="B44">
        <v>61830</v>
      </c>
      <c r="C44">
        <v>61827.609761093801</v>
      </c>
      <c r="D44">
        <v>3.8658238819792197E-5</v>
      </c>
      <c r="E44">
        <v>2714.9084372520401</v>
      </c>
      <c r="F44">
        <v>54377.998651985297</v>
      </c>
      <c r="G44">
        <v>53634.238078731098</v>
      </c>
      <c r="H44">
        <v>1.3677601083008801E-2</v>
      </c>
      <c r="I44">
        <v>3600.04021906853</v>
      </c>
      <c r="J44">
        <v>55163.152852195402</v>
      </c>
      <c r="K44">
        <v>55158.754570694698</v>
      </c>
      <c r="L44">
        <v>7.9732235618444502E-5</v>
      </c>
      <c r="M44">
        <v>0.62129092216491699</v>
      </c>
      <c r="N44">
        <v>55442.306989568999</v>
      </c>
      <c r="O44">
        <v>52779.501307745799</v>
      </c>
      <c r="P44">
        <v>4.8028406940646001E-2</v>
      </c>
      <c r="Q44">
        <v>3600.1434149742099</v>
      </c>
    </row>
    <row r="45" spans="1:17" x14ac:dyDescent="0.25">
      <c r="A45" s="5" t="s">
        <v>67</v>
      </c>
      <c r="B45">
        <v>126608</v>
      </c>
      <c r="C45">
        <v>121582.536354082</v>
      </c>
      <c r="D45">
        <v>3.9693097165408898E-2</v>
      </c>
      <c r="E45">
        <v>3605.21713376045</v>
      </c>
      <c r="F45">
        <v>114580.499510803</v>
      </c>
      <c r="G45">
        <v>112321.893269849</v>
      </c>
      <c r="H45">
        <v>1.9711960155501002E-2</v>
      </c>
      <c r="I45">
        <v>3600.0457360744499</v>
      </c>
      <c r="J45">
        <v>118796.383601792</v>
      </c>
      <c r="K45">
        <v>118792.955030364</v>
      </c>
      <c r="L45">
        <v>2.8860907416903599E-5</v>
      </c>
      <c r="M45">
        <v>2.8724479675293</v>
      </c>
      <c r="N45">
        <v>126853.990983268</v>
      </c>
      <c r="O45">
        <v>109864.894297905</v>
      </c>
      <c r="P45">
        <v>0.13392638697196799</v>
      </c>
      <c r="Q45">
        <v>3600.1987092495001</v>
      </c>
    </row>
    <row r="46" spans="1:17" x14ac:dyDescent="0.25">
      <c r="A46" s="5" t="s">
        <v>40</v>
      </c>
      <c r="B46">
        <v>70029</v>
      </c>
      <c r="C46">
        <v>70029</v>
      </c>
      <c r="D46">
        <v>0</v>
      </c>
      <c r="E46">
        <v>1626.2620828151701</v>
      </c>
      <c r="F46">
        <v>63308.499966032497</v>
      </c>
      <c r="G46">
        <v>61213.621557050799</v>
      </c>
      <c r="H46">
        <v>3.3090002292041801E-2</v>
      </c>
      <c r="I46">
        <v>3600.1742379665402</v>
      </c>
      <c r="J46">
        <v>64703.057426742598</v>
      </c>
      <c r="K46">
        <v>64703.057426707899</v>
      </c>
      <c r="L46">
        <v>5.3695604179233501E-13</v>
      </c>
      <c r="M46">
        <v>1.1803050041198699</v>
      </c>
      <c r="N46">
        <v>68503.6573462745</v>
      </c>
      <c r="O46">
        <v>60207.194066633303</v>
      </c>
      <c r="P46">
        <v>0.121109785973966</v>
      </c>
      <c r="Q46">
        <v>3600.0934727191898</v>
      </c>
    </row>
    <row r="47" spans="1:17" x14ac:dyDescent="0.25">
      <c r="A47" s="5" t="s">
        <v>50</v>
      </c>
      <c r="B47">
        <v>65560</v>
      </c>
      <c r="C47">
        <v>65319.653853376803</v>
      </c>
      <c r="D47">
        <v>3.6660486062108301E-3</v>
      </c>
      <c r="E47">
        <v>3602.6810309886901</v>
      </c>
      <c r="F47">
        <v>59060.999700654</v>
      </c>
      <c r="G47">
        <v>57483.592799488601</v>
      </c>
      <c r="H47">
        <v>2.6708096868668301E-2</v>
      </c>
      <c r="I47">
        <v>3600.1775269508398</v>
      </c>
      <c r="J47">
        <v>60442.363051764703</v>
      </c>
      <c r="K47">
        <v>60438.1314362423</v>
      </c>
      <c r="L47">
        <v>7.0010755846874905E-5</v>
      </c>
      <c r="M47">
        <v>0.84387683868408203</v>
      </c>
      <c r="N47">
        <v>62759.488721913804</v>
      </c>
      <c r="O47">
        <v>57039.4868653382</v>
      </c>
      <c r="P47">
        <v>9.1141626120008604E-2</v>
      </c>
      <c r="Q47">
        <v>3600.0841708183302</v>
      </c>
    </row>
    <row r="48" spans="1:17" x14ac:dyDescent="0.25">
      <c r="A48" s="4" t="s">
        <v>128</v>
      </c>
      <c r="B48">
        <v>64033.190401564221</v>
      </c>
      <c r="C48">
        <v>63533.483981561491</v>
      </c>
      <c r="D48">
        <v>3.9583105672881241E-3</v>
      </c>
      <c r="E48">
        <v>1496.8823753027691</v>
      </c>
      <c r="F48">
        <v>58935.261502357222</v>
      </c>
      <c r="G48">
        <v>58362.164315592745</v>
      </c>
      <c r="H48">
        <v>7.1786612994721539E-3</v>
      </c>
      <c r="I48">
        <v>2697.7316566876011</v>
      </c>
      <c r="J48">
        <v>60737.868617987784</v>
      </c>
      <c r="K48">
        <v>60737.078570094804</v>
      </c>
      <c r="L48">
        <v>1.1337373723277961E-5</v>
      </c>
      <c r="M48">
        <v>0.64090712865193666</v>
      </c>
      <c r="N48">
        <v>61941.854098595875</v>
      </c>
      <c r="O48">
        <v>58142.947465785859</v>
      </c>
      <c r="P48">
        <v>3.9420741642234414E-2</v>
      </c>
      <c r="Q48">
        <v>2695.1592345010667</v>
      </c>
    </row>
  </sheetData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18E73-A727-48E0-9737-D38A2967B9ED}">
  <dimension ref="A1:AE47"/>
  <sheetViews>
    <sheetView topLeftCell="I1" workbookViewId="0">
      <selection activeCell="AD4" sqref="AD4"/>
    </sheetView>
  </sheetViews>
  <sheetFormatPr baseColWidth="10" defaultRowHeight="13.2" x14ac:dyDescent="0.25"/>
  <cols>
    <col min="26" max="27" width="12.44140625" bestFit="1" customWidth="1"/>
    <col min="30" max="31" width="12.44140625" bestFit="1" customWidth="1"/>
  </cols>
  <sheetData>
    <row r="1" spans="1:31" x14ac:dyDescent="0.25">
      <c r="G1" t="s">
        <v>120</v>
      </c>
      <c r="K1" s="6" t="s">
        <v>119</v>
      </c>
      <c r="O1" t="s">
        <v>30</v>
      </c>
      <c r="S1" s="6" t="s">
        <v>75</v>
      </c>
    </row>
    <row r="2" spans="1:31" x14ac:dyDescent="0.25">
      <c r="A2" t="s">
        <v>127</v>
      </c>
      <c r="B2" t="s">
        <v>146</v>
      </c>
      <c r="C2" t="s">
        <v>122</v>
      </c>
      <c r="D2" t="s">
        <v>123</v>
      </c>
      <c r="E2" t="s">
        <v>124</v>
      </c>
      <c r="F2" t="s">
        <v>147</v>
      </c>
      <c r="G2" t="s">
        <v>136</v>
      </c>
      <c r="H2" t="s">
        <v>137</v>
      </c>
      <c r="I2" t="s">
        <v>5</v>
      </c>
      <c r="J2" t="s">
        <v>138</v>
      </c>
      <c r="K2" t="s">
        <v>136</v>
      </c>
      <c r="L2" t="s">
        <v>137</v>
      </c>
      <c r="M2" t="s">
        <v>5</v>
      </c>
      <c r="N2" t="s">
        <v>138</v>
      </c>
      <c r="O2" t="s">
        <v>136</v>
      </c>
      <c r="P2" t="s">
        <v>137</v>
      </c>
      <c r="Q2" t="s">
        <v>5</v>
      </c>
      <c r="R2" t="s">
        <v>138</v>
      </c>
      <c r="S2" t="s">
        <v>136</v>
      </c>
      <c r="T2" t="s">
        <v>137</v>
      </c>
      <c r="U2" t="s">
        <v>5</v>
      </c>
      <c r="V2" t="s">
        <v>138</v>
      </c>
      <c r="X2" t="s">
        <v>139</v>
      </c>
      <c r="Y2" t="s">
        <v>140</v>
      </c>
      <c r="Z2" t="s">
        <v>143</v>
      </c>
      <c r="AA2" t="s">
        <v>144</v>
      </c>
      <c r="AC2" t="s">
        <v>142</v>
      </c>
      <c r="AD2" t="s">
        <v>141</v>
      </c>
      <c r="AE2" t="s">
        <v>145</v>
      </c>
    </row>
    <row r="3" spans="1:31" x14ac:dyDescent="0.25">
      <c r="A3" t="s">
        <v>130</v>
      </c>
      <c r="G3">
        <v>53806.857073144143</v>
      </c>
      <c r="H3">
        <v>53718.163092660339</v>
      </c>
      <c r="I3">
        <v>9.9626885104568924E-4</v>
      </c>
      <c r="J3">
        <v>1073.8124725364503</v>
      </c>
      <c r="K3">
        <v>51276.142782999224</v>
      </c>
      <c r="L3">
        <v>51078.379685026062</v>
      </c>
      <c r="M3">
        <v>3.0336186947230552E-3</v>
      </c>
      <c r="N3">
        <v>2620.6788784095224</v>
      </c>
      <c r="O3">
        <v>51893.844560168007</v>
      </c>
      <c r="P3">
        <v>51893.10852380548</v>
      </c>
      <c r="Q3">
        <v>1.1369778915714582E-5</v>
      </c>
      <c r="R3">
        <v>0.59906866436912865</v>
      </c>
      <c r="S3">
        <v>52760.365241222004</v>
      </c>
      <c r="T3">
        <v>51260.482776775149</v>
      </c>
      <c r="U3">
        <v>1.7348406971529211E-2</v>
      </c>
      <c r="V3">
        <v>2576.8545618738444</v>
      </c>
      <c r="X3" s="7">
        <f>AVERAGE(X4:X24)</f>
        <v>1479.859514659058</v>
      </c>
      <c r="Y3" s="9">
        <f>AVERAGE(Y4:Y24)</f>
        <v>3.6781713045829627</v>
      </c>
      <c r="Z3" s="9">
        <f>AVERAGE(Z4:Z24)</f>
        <v>3.6127207660331675</v>
      </c>
      <c r="AA3" s="9">
        <f>AVERAGE(AA4:AA24)</f>
        <v>5.0225921173173695</v>
      </c>
      <c r="AC3" s="7">
        <f>AVERAGE(AC4:AC24)</f>
        <v>20.269146016419612</v>
      </c>
      <c r="AD3" s="9">
        <f>AVERAGE(AD4:AD24)</f>
        <v>4.2312820275742846E-2</v>
      </c>
      <c r="AE3" s="9">
        <f>AVERAGE(AE4:AE24)</f>
        <v>0.87076980974799534</v>
      </c>
    </row>
    <row r="4" spans="1:31" x14ac:dyDescent="0.25">
      <c r="A4" t="s">
        <v>39</v>
      </c>
      <c r="B4" t="str" cm="1">
        <f t="array" ref="B4:F4">_xlfn.TEXTSPLIT(A4,"_")</f>
        <v>MVPRP</v>
      </c>
      <c r="C4" t="str">
        <v>C10</v>
      </c>
      <c r="D4" t="str">
        <v>P3</v>
      </c>
      <c r="E4" t="str">
        <v>V3</v>
      </c>
      <c r="F4" t="str">
        <v>I1</v>
      </c>
      <c r="G4">
        <v>14236</v>
      </c>
      <c r="H4">
        <v>14236</v>
      </c>
      <c r="I4">
        <v>0</v>
      </c>
      <c r="J4">
        <v>2.5246286392211901</v>
      </c>
      <c r="K4">
        <v>13261</v>
      </c>
      <c r="L4">
        <v>13261</v>
      </c>
      <c r="M4">
        <v>0</v>
      </c>
      <c r="N4">
        <v>2.5826830863952601</v>
      </c>
      <c r="O4">
        <v>13310.3697351344</v>
      </c>
      <c r="P4">
        <v>13310.3697351344</v>
      </c>
      <c r="Q4">
        <v>0</v>
      </c>
      <c r="R4">
        <v>3.50089073181152E-2</v>
      </c>
      <c r="S4">
        <v>13310.3697351343</v>
      </c>
      <c r="T4">
        <v>13310.3697351343</v>
      </c>
      <c r="U4">
        <v>0</v>
      </c>
      <c r="V4">
        <v>1.6492121219635001</v>
      </c>
      <c r="X4" s="8">
        <f>MAX(G4-S4,0)</f>
        <v>925.63026486570016</v>
      </c>
      <c r="Y4" s="10">
        <f>X4/S4*100</f>
        <v>6.9542040024807825</v>
      </c>
      <c r="Z4" s="10">
        <f>MAX((H4-S4),0)/S4*100</f>
        <v>6.9542040024807825</v>
      </c>
      <c r="AA4" s="10">
        <f>(G4-T4)/S4*100</f>
        <v>6.9542040024807825</v>
      </c>
      <c r="AC4" s="8">
        <f t="shared" ref="AC4:AC24" si="0">MAX(O4-S4,0)</f>
        <v>1.0004441719502211E-10</v>
      </c>
      <c r="AD4" s="10">
        <f>AC4/S4*100</f>
        <v>7.5162763458736241E-13</v>
      </c>
      <c r="AE4" s="10">
        <f>(O4-T4)/S4*100</f>
        <v>7.5162763458736241E-13</v>
      </c>
    </row>
    <row r="5" spans="1:31" x14ac:dyDescent="0.25">
      <c r="A5" t="s">
        <v>56</v>
      </c>
      <c r="B5" t="str" cm="1">
        <f t="array" ref="B5:F5">_xlfn.TEXTSPLIT(A5,"_")</f>
        <v>MVPRP</v>
      </c>
      <c r="C5" t="str">
        <v>C10</v>
      </c>
      <c r="D5" t="str">
        <v>P6</v>
      </c>
      <c r="E5" t="str">
        <v>V3</v>
      </c>
      <c r="F5" t="str">
        <v>I1</v>
      </c>
      <c r="G5">
        <v>30297</v>
      </c>
      <c r="H5">
        <v>30297</v>
      </c>
      <c r="I5">
        <v>0</v>
      </c>
      <c r="J5">
        <v>6.7486011981964102</v>
      </c>
      <c r="K5">
        <v>28808.5</v>
      </c>
      <c r="L5">
        <v>28808.5</v>
      </c>
      <c r="M5">
        <v>0</v>
      </c>
      <c r="N5">
        <v>109.88926386833199</v>
      </c>
      <c r="O5">
        <v>28912.325360672399</v>
      </c>
      <c r="P5">
        <v>28912.325360672399</v>
      </c>
      <c r="Q5">
        <v>0</v>
      </c>
      <c r="R5">
        <v>0.128209829330444</v>
      </c>
      <c r="S5">
        <v>28912.325360672399</v>
      </c>
      <c r="T5">
        <v>28912.325360672399</v>
      </c>
      <c r="U5">
        <v>0</v>
      </c>
      <c r="V5">
        <v>9.4827632904052699</v>
      </c>
      <c r="X5" s="8">
        <f t="shared" ref="X5:X24" si="1">MAX(G5-S5,0)</f>
        <v>1384.6746393276007</v>
      </c>
      <c r="Y5" s="10">
        <f t="shared" ref="Y5:Y24" si="2">X5/S5*100</f>
        <v>4.7892192068752992</v>
      </c>
      <c r="Z5" s="10">
        <f t="shared" ref="Z5:Z46" si="3">MAX((H5-S5),0)/S5*100</f>
        <v>4.7892192068752992</v>
      </c>
      <c r="AA5" s="10">
        <f t="shared" ref="AA5:AA24" si="4">(G5-T5)/S5*100</f>
        <v>4.7892192068752992</v>
      </c>
      <c r="AC5" s="8">
        <f t="shared" si="0"/>
        <v>0</v>
      </c>
      <c r="AD5" s="10">
        <f t="shared" ref="AD5:AD24" si="5">AC5/S5*100</f>
        <v>0</v>
      </c>
      <c r="AE5" s="10">
        <f t="shared" ref="AE5:AE46" si="6">(O5-T5)/S5*100</f>
        <v>0</v>
      </c>
    </row>
    <row r="6" spans="1:31" x14ac:dyDescent="0.25">
      <c r="A6" t="s">
        <v>71</v>
      </c>
      <c r="B6" t="str" cm="1">
        <f t="array" ref="B6:F6">_xlfn.TEXTSPLIT(A6,"_")</f>
        <v>MVPRP</v>
      </c>
      <c r="C6" t="str">
        <v>C10</v>
      </c>
      <c r="D6" t="str">
        <v>P9</v>
      </c>
      <c r="E6" t="str">
        <v>V3</v>
      </c>
      <c r="F6" t="str">
        <v>I1</v>
      </c>
      <c r="G6">
        <v>52638.999136016602</v>
      </c>
      <c r="H6">
        <v>52635.5040288241</v>
      </c>
      <c r="I6">
        <v>6.6397675675101896E-5</v>
      </c>
      <c r="J6">
        <v>249.137942075729</v>
      </c>
      <c r="K6">
        <v>49829.5</v>
      </c>
      <c r="L6">
        <v>49829.031330077101</v>
      </c>
      <c r="M6">
        <v>9.4054711137442401E-6</v>
      </c>
      <c r="N6">
        <v>707.30213308334396</v>
      </c>
      <c r="O6">
        <v>50231.331443295901</v>
      </c>
      <c r="P6">
        <v>50231.331443295901</v>
      </c>
      <c r="Q6">
        <v>0</v>
      </c>
      <c r="R6">
        <v>0.14565014839172399</v>
      </c>
      <c r="S6">
        <v>50231.331083236597</v>
      </c>
      <c r="T6">
        <v>50231.331083236597</v>
      </c>
      <c r="U6">
        <v>0</v>
      </c>
      <c r="V6">
        <v>1446.8093454837799</v>
      </c>
      <c r="X6" s="8">
        <f t="shared" si="1"/>
        <v>2407.6680527800054</v>
      </c>
      <c r="Y6" s="10">
        <f t="shared" si="2"/>
        <v>4.7931599678104133</v>
      </c>
      <c r="Z6" s="10">
        <f t="shared" si="3"/>
        <v>4.7862019455618867</v>
      </c>
      <c r="AA6" s="10">
        <f t="shared" si="4"/>
        <v>4.7931599678104133</v>
      </c>
      <c r="AC6" s="8">
        <f t="shared" si="0"/>
        <v>3.6005930451210588E-4</v>
      </c>
      <c r="AD6" s="10">
        <f t="shared" si="5"/>
        <v>7.1680223626856336E-7</v>
      </c>
      <c r="AE6" s="10">
        <f t="shared" si="6"/>
        <v>7.1680223626856336E-7</v>
      </c>
    </row>
    <row r="7" spans="1:31" x14ac:dyDescent="0.25">
      <c r="A7" t="s">
        <v>64</v>
      </c>
      <c r="B7" t="str" cm="1">
        <f t="array" ref="B7:F7">_xlfn.TEXTSPLIT(A7,"_")</f>
        <v>MVPRP</v>
      </c>
      <c r="C7" t="str">
        <v>C15</v>
      </c>
      <c r="D7" t="str">
        <v>P3</v>
      </c>
      <c r="E7" t="str">
        <v>V3</v>
      </c>
      <c r="F7" t="str">
        <v>I1</v>
      </c>
      <c r="G7">
        <v>19989</v>
      </c>
      <c r="H7">
        <v>19989</v>
      </c>
      <c r="I7">
        <v>0</v>
      </c>
      <c r="J7">
        <v>7.2398519515991202</v>
      </c>
      <c r="K7">
        <v>18787</v>
      </c>
      <c r="L7">
        <v>18787</v>
      </c>
      <c r="M7">
        <v>0</v>
      </c>
      <c r="N7">
        <v>65.541598081588802</v>
      </c>
      <c r="O7">
        <v>18984.126365642202</v>
      </c>
      <c r="P7">
        <v>18984.126365642202</v>
      </c>
      <c r="Q7">
        <v>0</v>
      </c>
      <c r="R7">
        <v>6.6889047622680706E-2</v>
      </c>
      <c r="S7">
        <v>18956.9855368877</v>
      </c>
      <c r="T7">
        <v>18956.9855368877</v>
      </c>
      <c r="U7">
        <v>0</v>
      </c>
      <c r="V7">
        <v>72.067611455917401</v>
      </c>
      <c r="X7" s="8">
        <f t="shared" si="1"/>
        <v>1032.0144631123003</v>
      </c>
      <c r="Y7" s="10">
        <f t="shared" si="2"/>
        <v>5.4439797989197247</v>
      </c>
      <c r="Z7" s="10">
        <f t="shared" si="3"/>
        <v>5.4439797989197247</v>
      </c>
      <c r="AA7" s="10">
        <f t="shared" si="4"/>
        <v>5.4439797989197247</v>
      </c>
      <c r="AC7" s="8">
        <f t="shared" si="0"/>
        <v>27.140828754501854</v>
      </c>
      <c r="AD7" s="10">
        <f t="shared" si="5"/>
        <v>0.14317059377235644</v>
      </c>
      <c r="AE7" s="10">
        <f t="shared" si="6"/>
        <v>0.14317059377235644</v>
      </c>
    </row>
    <row r="8" spans="1:31" x14ac:dyDescent="0.25">
      <c r="A8" t="s">
        <v>63</v>
      </c>
      <c r="B8" t="str" cm="1">
        <f t="array" ref="B8:F8">_xlfn.TEXTSPLIT(A8,"_")</f>
        <v>MVPRP</v>
      </c>
      <c r="C8" t="str">
        <v>C15</v>
      </c>
      <c r="D8" t="str">
        <v>P6</v>
      </c>
      <c r="E8" t="str">
        <v>V3</v>
      </c>
      <c r="F8" t="str">
        <v>I1</v>
      </c>
      <c r="G8">
        <v>42791</v>
      </c>
      <c r="H8">
        <v>42786.818181818198</v>
      </c>
      <c r="I8">
        <v>9.7726582268017797E-5</v>
      </c>
      <c r="J8">
        <v>581.02645182609604</v>
      </c>
      <c r="K8">
        <v>40840.999735390396</v>
      </c>
      <c r="L8">
        <v>40657.559437697601</v>
      </c>
      <c r="M8">
        <v>4.4915721672193001E-3</v>
      </c>
      <c r="N8">
        <v>3600.0269849300398</v>
      </c>
      <c r="O8">
        <v>41270.954555705597</v>
      </c>
      <c r="P8">
        <v>41270.954555705597</v>
      </c>
      <c r="Q8">
        <v>0</v>
      </c>
      <c r="R8">
        <v>0.24188184738159199</v>
      </c>
      <c r="S8">
        <v>41262.2486082865</v>
      </c>
      <c r="T8">
        <v>40988.612591177</v>
      </c>
      <c r="U8">
        <v>6.6316312449948202E-3</v>
      </c>
      <c r="V8">
        <v>3600.0509643554701</v>
      </c>
      <c r="X8" s="8">
        <f t="shared" si="1"/>
        <v>1528.7513917135002</v>
      </c>
      <c r="Y8" s="10">
        <f t="shared" si="2"/>
        <v>3.7049638429217562</v>
      </c>
      <c r="Z8" s="10">
        <f t="shared" si="3"/>
        <v>3.694829111241229</v>
      </c>
      <c r="AA8" s="10">
        <f t="shared" si="4"/>
        <v>4.3681269674213432</v>
      </c>
      <c r="AC8" s="8">
        <f t="shared" si="0"/>
        <v>8.705947419097356</v>
      </c>
      <c r="AD8" s="10">
        <f t="shared" si="5"/>
        <v>2.1099062006400163E-2</v>
      </c>
      <c r="AE8" s="10">
        <f t="shared" si="6"/>
        <v>0.68426218650598758</v>
      </c>
    </row>
    <row r="9" spans="1:31" x14ac:dyDescent="0.25">
      <c r="A9" t="s">
        <v>35</v>
      </c>
      <c r="B9" t="str" cm="1">
        <f t="array" ref="B9:F9">_xlfn.TEXTSPLIT(A9,"_")</f>
        <v>MVPRP</v>
      </c>
      <c r="C9" t="str">
        <v>C15</v>
      </c>
      <c r="D9" t="str">
        <v>P9</v>
      </c>
      <c r="E9" t="str">
        <v>V3</v>
      </c>
      <c r="F9" t="str">
        <v>I1</v>
      </c>
      <c r="G9">
        <v>75988</v>
      </c>
      <c r="H9">
        <v>75255.136008802001</v>
      </c>
      <c r="I9">
        <v>9.64447006366774E-3</v>
      </c>
      <c r="J9">
        <v>3601.1645689010602</v>
      </c>
      <c r="K9">
        <v>72398.999814665207</v>
      </c>
      <c r="L9">
        <v>71861.067706896894</v>
      </c>
      <c r="M9">
        <v>7.4301041332798202E-3</v>
      </c>
      <c r="N9">
        <v>3600.0329861640898</v>
      </c>
      <c r="O9">
        <v>73967.920901733101</v>
      </c>
      <c r="P9">
        <v>73967.920901733101</v>
      </c>
      <c r="Q9">
        <v>0</v>
      </c>
      <c r="R9">
        <v>0.42788386344909701</v>
      </c>
      <c r="S9">
        <v>73717.314924689694</v>
      </c>
      <c r="T9">
        <v>71692.915113215393</v>
      </c>
      <c r="U9">
        <v>2.7461659632374302E-2</v>
      </c>
      <c r="V9">
        <v>3600.0716583728799</v>
      </c>
      <c r="X9" s="8">
        <f t="shared" si="1"/>
        <v>2270.6850753103063</v>
      </c>
      <c r="Y9" s="10">
        <f t="shared" si="2"/>
        <v>3.080260150047597</v>
      </c>
      <c r="Z9" s="10">
        <f t="shared" si="3"/>
        <v>2.0861056668753601</v>
      </c>
      <c r="AA9" s="10">
        <f t="shared" si="4"/>
        <v>5.8264261132849269</v>
      </c>
      <c r="AC9" s="8">
        <f t="shared" si="0"/>
        <v>250.60597704340762</v>
      </c>
      <c r="AD9" s="10">
        <f t="shared" si="5"/>
        <v>0.33995537859650621</v>
      </c>
      <c r="AE9" s="10">
        <f t="shared" si="6"/>
        <v>3.0861213418338362</v>
      </c>
    </row>
    <row r="10" spans="1:31" x14ac:dyDescent="0.25">
      <c r="A10" t="s">
        <v>41</v>
      </c>
      <c r="B10" t="str" cm="1">
        <f t="array" ref="B10:F10">_xlfn.TEXTSPLIT(A10,"_")</f>
        <v>MVPRP</v>
      </c>
      <c r="C10" t="str">
        <v>C20</v>
      </c>
      <c r="D10" t="str">
        <v>P3</v>
      </c>
      <c r="E10" t="str">
        <v>V3</v>
      </c>
      <c r="F10" t="str">
        <v>I1</v>
      </c>
      <c r="G10">
        <v>22675</v>
      </c>
      <c r="H10">
        <v>22675</v>
      </c>
      <c r="I10">
        <v>0</v>
      </c>
      <c r="J10">
        <v>7.94667267799377</v>
      </c>
      <c r="K10">
        <v>21264.5</v>
      </c>
      <c r="L10">
        <v>21264.5</v>
      </c>
      <c r="M10">
        <v>0</v>
      </c>
      <c r="N10">
        <v>63.981189012527501</v>
      </c>
      <c r="O10">
        <v>21378.120408857201</v>
      </c>
      <c r="P10">
        <v>21378.120408857201</v>
      </c>
      <c r="Q10">
        <v>0</v>
      </c>
      <c r="R10">
        <v>0.123895883560181</v>
      </c>
      <c r="S10">
        <v>21378.120408857201</v>
      </c>
      <c r="T10">
        <v>21378.120408857201</v>
      </c>
      <c r="U10">
        <v>0</v>
      </c>
      <c r="V10">
        <v>54.9741306304932</v>
      </c>
      <c r="X10" s="8">
        <f t="shared" si="1"/>
        <v>1296.8795911427987</v>
      </c>
      <c r="Y10" s="10">
        <f t="shared" si="2"/>
        <v>6.0663873452854471</v>
      </c>
      <c r="Z10" s="10">
        <f t="shared" si="3"/>
        <v>6.0663873452854471</v>
      </c>
      <c r="AA10" s="10">
        <f t="shared" si="4"/>
        <v>6.0663873452854471</v>
      </c>
      <c r="AC10" s="8">
        <f t="shared" si="0"/>
        <v>0</v>
      </c>
      <c r="AD10" s="10">
        <f t="shared" si="5"/>
        <v>0</v>
      </c>
      <c r="AE10" s="10">
        <f t="shared" si="6"/>
        <v>0</v>
      </c>
    </row>
    <row r="11" spans="1:31" x14ac:dyDescent="0.25">
      <c r="A11" t="s">
        <v>38</v>
      </c>
      <c r="B11" t="str" cm="1">
        <f t="array" ref="B11:F11">_xlfn.TEXTSPLIT(A11,"_")</f>
        <v>MVPRP</v>
      </c>
      <c r="C11" t="str">
        <v>C20</v>
      </c>
      <c r="D11" t="str">
        <v>P6</v>
      </c>
      <c r="E11" t="str">
        <v>V3</v>
      </c>
      <c r="F11" t="str">
        <v>I1</v>
      </c>
      <c r="G11">
        <v>48181</v>
      </c>
      <c r="H11">
        <v>48181</v>
      </c>
      <c r="I11">
        <v>0</v>
      </c>
      <c r="J11">
        <v>27.982041597366301</v>
      </c>
      <c r="K11">
        <v>46031.499994193699</v>
      </c>
      <c r="L11">
        <v>45971.462731603198</v>
      </c>
      <c r="M11">
        <v>1.30426474475215E-3</v>
      </c>
      <c r="N11">
        <v>3600.04978013039</v>
      </c>
      <c r="O11">
        <v>46359.723733948202</v>
      </c>
      <c r="P11">
        <v>46359.723733948202</v>
      </c>
      <c r="Q11">
        <v>0</v>
      </c>
      <c r="R11">
        <v>0.28896093368530301</v>
      </c>
      <c r="S11">
        <v>46354.875063957501</v>
      </c>
      <c r="T11">
        <v>46351.189802901397</v>
      </c>
      <c r="U11">
        <v>7.9501046028155405E-5</v>
      </c>
      <c r="V11">
        <v>1966.58666706085</v>
      </c>
      <c r="X11" s="8">
        <f t="shared" si="1"/>
        <v>1826.124936042499</v>
      </c>
      <c r="Y11" s="10">
        <f t="shared" si="2"/>
        <v>3.9394452763014209</v>
      </c>
      <c r="Z11" s="10">
        <f t="shared" si="3"/>
        <v>3.9394452763014209</v>
      </c>
      <c r="AA11" s="10">
        <f t="shared" si="4"/>
        <v>3.9473953809042679</v>
      </c>
      <c r="AC11" s="8">
        <f t="shared" si="0"/>
        <v>4.8486699907007278</v>
      </c>
      <c r="AD11" s="10">
        <f t="shared" si="5"/>
        <v>1.0459892263782055E-2</v>
      </c>
      <c r="AE11" s="10">
        <f t="shared" si="6"/>
        <v>1.8409996866628982E-2</v>
      </c>
    </row>
    <row r="12" spans="1:31" x14ac:dyDescent="0.25">
      <c r="A12" t="s">
        <v>68</v>
      </c>
      <c r="B12" t="str" cm="1">
        <f t="array" ref="B12:F12">_xlfn.TEXTSPLIT(A12,"_")</f>
        <v>MVPRP</v>
      </c>
      <c r="C12" t="str">
        <v>C20</v>
      </c>
      <c r="D12" t="str">
        <v>P9</v>
      </c>
      <c r="E12" t="str">
        <v>V3</v>
      </c>
      <c r="F12" t="str">
        <v>I1</v>
      </c>
      <c r="G12">
        <v>83684.999949504898</v>
      </c>
      <c r="H12">
        <v>83678.781075164996</v>
      </c>
      <c r="I12">
        <v>7.4312891721312597E-5</v>
      </c>
      <c r="J12">
        <v>1338.0379493236501</v>
      </c>
      <c r="K12">
        <v>79898.499787247696</v>
      </c>
      <c r="L12">
        <v>79681.443479395995</v>
      </c>
      <c r="M12">
        <v>2.7166506058261602E-3</v>
      </c>
      <c r="N12">
        <v>3600.1542019844101</v>
      </c>
      <c r="O12">
        <v>81173.837618463498</v>
      </c>
      <c r="P12">
        <v>81173.837618463396</v>
      </c>
      <c r="Q12">
        <v>0</v>
      </c>
      <c r="R12">
        <v>0.56210589408874501</v>
      </c>
      <c r="S12">
        <v>81302.077718932502</v>
      </c>
      <c r="T12">
        <v>79769.588477055106</v>
      </c>
      <c r="U12">
        <v>1.88493244560781E-2</v>
      </c>
      <c r="V12">
        <v>3600.03527736664</v>
      </c>
      <c r="X12" s="8">
        <f t="shared" si="1"/>
        <v>2382.9222305723961</v>
      </c>
      <c r="Y12" s="10">
        <f t="shared" si="2"/>
        <v>2.9309487499327389</v>
      </c>
      <c r="Z12" s="10">
        <f t="shared" si="3"/>
        <v>2.9232996534835669</v>
      </c>
      <c r="AA12" s="10">
        <f t="shared" si="4"/>
        <v>4.8158811955404985</v>
      </c>
      <c r="AC12" s="8">
        <f t="shared" si="0"/>
        <v>0</v>
      </c>
      <c r="AD12" s="10">
        <f t="shared" si="5"/>
        <v>0</v>
      </c>
      <c r="AE12" s="10">
        <f t="shared" si="6"/>
        <v>1.7271995757143981</v>
      </c>
    </row>
    <row r="13" spans="1:31" x14ac:dyDescent="0.25">
      <c r="A13" t="s">
        <v>55</v>
      </c>
      <c r="B13" t="str" cm="1">
        <f t="array" ref="B13:F13">_xlfn.TEXTSPLIT(A13,"_")</f>
        <v>MVPRP</v>
      </c>
      <c r="C13" t="str">
        <v>C25</v>
      </c>
      <c r="D13" t="str">
        <v>P3</v>
      </c>
      <c r="E13" t="str">
        <v>V3</v>
      </c>
      <c r="F13" t="str">
        <v>I1</v>
      </c>
      <c r="G13">
        <v>26569</v>
      </c>
      <c r="H13">
        <v>26569</v>
      </c>
      <c r="I13">
        <v>0</v>
      </c>
      <c r="J13">
        <v>15.451955080032301</v>
      </c>
      <c r="K13">
        <v>24924</v>
      </c>
      <c r="L13">
        <v>24924</v>
      </c>
      <c r="M13">
        <v>0</v>
      </c>
      <c r="N13">
        <v>83.338111877441406</v>
      </c>
      <c r="O13">
        <v>25165.198867160201</v>
      </c>
      <c r="P13">
        <v>25165.198867160201</v>
      </c>
      <c r="Q13">
        <v>0</v>
      </c>
      <c r="R13">
        <v>0.14877581596374501</v>
      </c>
      <c r="S13">
        <v>25160.310285837098</v>
      </c>
      <c r="T13">
        <v>25160.310285837098</v>
      </c>
      <c r="U13">
        <v>0</v>
      </c>
      <c r="V13">
        <v>159.57117414474499</v>
      </c>
      <c r="X13" s="8">
        <f t="shared" si="1"/>
        <v>1408.6897141629015</v>
      </c>
      <c r="Y13" s="10">
        <f t="shared" si="2"/>
        <v>5.5988566840364529</v>
      </c>
      <c r="Z13" s="10">
        <f t="shared" si="3"/>
        <v>5.5988566840364529</v>
      </c>
      <c r="AA13" s="10">
        <f t="shared" si="4"/>
        <v>5.5988566840364529</v>
      </c>
      <c r="AC13" s="8">
        <f t="shared" si="0"/>
        <v>4.8885813231026987</v>
      </c>
      <c r="AD13" s="10">
        <f t="shared" si="5"/>
        <v>1.9429733844953861E-2</v>
      </c>
      <c r="AE13" s="10">
        <f t="shared" si="6"/>
        <v>1.9429733844953861E-2</v>
      </c>
    </row>
    <row r="14" spans="1:31" x14ac:dyDescent="0.25">
      <c r="A14" t="s">
        <v>53</v>
      </c>
      <c r="B14" t="str" cm="1">
        <f t="array" ref="B14:F14">_xlfn.TEXTSPLIT(A14,"_")</f>
        <v>MVPRP</v>
      </c>
      <c r="C14" t="str">
        <v>C25</v>
      </c>
      <c r="D14" t="str">
        <v>P6</v>
      </c>
      <c r="E14" t="str">
        <v>V3</v>
      </c>
      <c r="F14" t="str">
        <v>I1</v>
      </c>
      <c r="G14">
        <v>57677</v>
      </c>
      <c r="H14">
        <v>57671.304179105799</v>
      </c>
      <c r="I14">
        <v>9.8753764832643705E-5</v>
      </c>
      <c r="J14">
        <v>189.830693244934</v>
      </c>
      <c r="K14">
        <v>55278.999990389297</v>
      </c>
      <c r="L14">
        <v>55182.0376204192</v>
      </c>
      <c r="M14">
        <v>1.7540543422810599E-3</v>
      </c>
      <c r="N14">
        <v>3600.05472517014</v>
      </c>
      <c r="O14">
        <v>55786.484722264096</v>
      </c>
      <c r="P14">
        <v>55786.484722264096</v>
      </c>
      <c r="Q14">
        <v>0</v>
      </c>
      <c r="R14">
        <v>0.63126611709594704</v>
      </c>
      <c r="S14">
        <v>55725.301065368498</v>
      </c>
      <c r="T14">
        <v>55488.430761960903</v>
      </c>
      <c r="U14">
        <v>4.25067785869266E-3</v>
      </c>
      <c r="V14">
        <v>3600.0831887722002</v>
      </c>
      <c r="X14" s="8">
        <f t="shared" si="1"/>
        <v>1951.6989346315022</v>
      </c>
      <c r="Y14" s="10">
        <f t="shared" si="2"/>
        <v>3.5023569138586867</v>
      </c>
      <c r="Z14" s="10">
        <f t="shared" si="3"/>
        <v>3.4921356664444825</v>
      </c>
      <c r="AA14" s="10">
        <f t="shared" si="4"/>
        <v>3.9274246997280446</v>
      </c>
      <c r="AC14" s="8">
        <f t="shared" si="0"/>
        <v>61.183656895598688</v>
      </c>
      <c r="AD14" s="10">
        <f t="shared" si="5"/>
        <v>0.10979511232039334</v>
      </c>
      <c r="AE14" s="10">
        <f t="shared" si="6"/>
        <v>0.53486289818975052</v>
      </c>
    </row>
    <row r="15" spans="1:31" x14ac:dyDescent="0.25">
      <c r="A15" t="s">
        <v>61</v>
      </c>
      <c r="B15" t="str" cm="1">
        <f t="array" ref="B15:F15">_xlfn.TEXTSPLIT(A15,"_")</f>
        <v>MVPRP</v>
      </c>
      <c r="C15" t="str">
        <v>C25</v>
      </c>
      <c r="D15" t="str">
        <v>P9</v>
      </c>
      <c r="E15" t="str">
        <v>V3</v>
      </c>
      <c r="F15" t="str">
        <v>I1</v>
      </c>
      <c r="G15">
        <v>101897.9996581</v>
      </c>
      <c r="H15">
        <v>101701.50339873599</v>
      </c>
      <c r="I15">
        <v>1.9283622840831501E-3</v>
      </c>
      <c r="J15">
        <v>3603.4120757579799</v>
      </c>
      <c r="K15">
        <v>97573.499990081604</v>
      </c>
      <c r="L15">
        <v>97183.542108072099</v>
      </c>
      <c r="M15">
        <v>3.99655523322596E-3</v>
      </c>
      <c r="N15">
        <v>3600.09210920334</v>
      </c>
      <c r="O15">
        <v>99854.509339261407</v>
      </c>
      <c r="P15">
        <v>99849.069530817404</v>
      </c>
      <c r="Q15">
        <v>5.4477343887610703E-5</v>
      </c>
      <c r="R15">
        <v>0.93325495719909701</v>
      </c>
      <c r="S15">
        <v>100009.872030873</v>
      </c>
      <c r="T15">
        <v>97572.951477217299</v>
      </c>
      <c r="U15">
        <v>2.43668000385317E-2</v>
      </c>
      <c r="V15">
        <v>3600.1429238319402</v>
      </c>
      <c r="X15" s="8">
        <f t="shared" si="1"/>
        <v>1888.1276272270043</v>
      </c>
      <c r="Y15" s="10">
        <f t="shared" si="2"/>
        <v>1.8879412490840308</v>
      </c>
      <c r="Z15" s="10">
        <f t="shared" si="3"/>
        <v>1.6914643859766063</v>
      </c>
      <c r="AA15" s="10">
        <f t="shared" si="4"/>
        <v>4.3246212529374723</v>
      </c>
      <c r="AC15" s="8">
        <f t="shared" si="0"/>
        <v>0</v>
      </c>
      <c r="AD15" s="10">
        <f t="shared" si="5"/>
        <v>0</v>
      </c>
      <c r="AE15" s="10">
        <f t="shared" si="6"/>
        <v>2.2813326481807641</v>
      </c>
    </row>
    <row r="16" spans="1:31" x14ac:dyDescent="0.25">
      <c r="A16" t="s">
        <v>72</v>
      </c>
      <c r="B16" t="str" cm="1">
        <f t="array" ref="B16:F16">_xlfn.TEXTSPLIT(A16,"_")</f>
        <v>MVPRP</v>
      </c>
      <c r="C16" t="str">
        <v>C30</v>
      </c>
      <c r="D16" t="str">
        <v>P3</v>
      </c>
      <c r="E16" t="str">
        <v>V3</v>
      </c>
      <c r="F16" t="str">
        <v>I1</v>
      </c>
      <c r="G16">
        <v>29172</v>
      </c>
      <c r="H16">
        <v>29172</v>
      </c>
      <c r="I16">
        <v>0</v>
      </c>
      <c r="J16">
        <v>15.691298961639401</v>
      </c>
      <c r="K16">
        <v>27692.9996937326</v>
      </c>
      <c r="L16">
        <v>27620.413750298601</v>
      </c>
      <c r="M16">
        <v>2.62109357010183E-3</v>
      </c>
      <c r="N16">
        <v>3600.0521810054802</v>
      </c>
      <c r="O16">
        <v>27975.740465439099</v>
      </c>
      <c r="P16">
        <v>27974.317305026201</v>
      </c>
      <c r="Q16">
        <v>5.0871233049088201E-5</v>
      </c>
      <c r="R16">
        <v>0.328365087509155</v>
      </c>
      <c r="S16">
        <v>27907.462420580101</v>
      </c>
      <c r="T16">
        <v>27751.627459327701</v>
      </c>
      <c r="U16">
        <v>5.5839889311269202E-3</v>
      </c>
      <c r="V16">
        <v>3600.1702923774701</v>
      </c>
      <c r="X16" s="8">
        <f t="shared" si="1"/>
        <v>1264.537579419899</v>
      </c>
      <c r="Y16" s="10">
        <f t="shared" si="2"/>
        <v>4.5311808016173387</v>
      </c>
      <c r="Z16" s="10">
        <f t="shared" si="3"/>
        <v>4.5311808016173387</v>
      </c>
      <c r="AA16" s="10">
        <f t="shared" si="4"/>
        <v>5.0895796947301744</v>
      </c>
      <c r="AC16" s="8">
        <f t="shared" si="0"/>
        <v>68.278044858998328</v>
      </c>
      <c r="AD16" s="10">
        <f t="shared" si="5"/>
        <v>0.24465873618321998</v>
      </c>
      <c r="AE16" s="10">
        <f t="shared" si="6"/>
        <v>0.8030576292960554</v>
      </c>
    </row>
    <row r="17" spans="1:31" x14ac:dyDescent="0.25">
      <c r="A17" t="s">
        <v>60</v>
      </c>
      <c r="B17" t="str" cm="1">
        <f t="array" ref="B17:F17">_xlfn.TEXTSPLIT(A17,"_")</f>
        <v>MVPRP</v>
      </c>
      <c r="C17" t="str">
        <v>C30</v>
      </c>
      <c r="D17" t="str">
        <v>P6</v>
      </c>
      <c r="E17" t="str">
        <v>V3</v>
      </c>
      <c r="F17" t="str">
        <v>I1</v>
      </c>
      <c r="G17">
        <v>61786.999969999997</v>
      </c>
      <c r="H17">
        <v>61782.695040581501</v>
      </c>
      <c r="I17">
        <v>6.96737083947566E-5</v>
      </c>
      <c r="J17">
        <v>1727.2135601043699</v>
      </c>
      <c r="K17">
        <v>59081.5</v>
      </c>
      <c r="L17">
        <v>58997.2614388281</v>
      </c>
      <c r="M17">
        <v>1.42580268225938E-3</v>
      </c>
      <c r="N17">
        <v>3600.04789113998</v>
      </c>
      <c r="O17">
        <v>59517.4860415476</v>
      </c>
      <c r="P17">
        <v>59512.7415498232</v>
      </c>
      <c r="Q17">
        <v>7.9715929552229601E-5</v>
      </c>
      <c r="R17">
        <v>1.0299308300018299</v>
      </c>
      <c r="S17">
        <v>59786.768739537103</v>
      </c>
      <c r="T17">
        <v>59210.413966135398</v>
      </c>
      <c r="U17">
        <v>9.6401726594840999E-3</v>
      </c>
      <c r="V17">
        <v>3600.0621676444998</v>
      </c>
      <c r="X17" s="8">
        <f t="shared" si="1"/>
        <v>2000.231230462894</v>
      </c>
      <c r="Y17" s="10">
        <f t="shared" si="2"/>
        <v>3.3456085228103949</v>
      </c>
      <c r="Z17" s="10">
        <f t="shared" si="3"/>
        <v>3.3384080510182974</v>
      </c>
      <c r="AA17" s="10">
        <f t="shared" si="4"/>
        <v>4.3096257887586722</v>
      </c>
      <c r="AC17" s="8">
        <f t="shared" si="0"/>
        <v>0</v>
      </c>
      <c r="AD17" s="10">
        <f t="shared" si="5"/>
        <v>0</v>
      </c>
      <c r="AE17" s="10">
        <f t="shared" si="6"/>
        <v>0.51361209492683946</v>
      </c>
    </row>
    <row r="18" spans="1:31" x14ac:dyDescent="0.25">
      <c r="A18" t="s">
        <v>70</v>
      </c>
      <c r="B18" t="str" cm="1">
        <f t="array" ref="B18:F18">_xlfn.TEXTSPLIT(A18,"_")</f>
        <v>MVPRP</v>
      </c>
      <c r="C18" t="str">
        <v>C30</v>
      </c>
      <c r="D18" t="str">
        <v>P9</v>
      </c>
      <c r="E18" t="str">
        <v>V3</v>
      </c>
      <c r="F18" t="str">
        <v>I1</v>
      </c>
      <c r="G18">
        <v>111231</v>
      </c>
      <c r="H18">
        <v>110668.141916063</v>
      </c>
      <c r="I18">
        <v>5.06026273194677E-3</v>
      </c>
      <c r="J18">
        <v>3601.7885897159599</v>
      </c>
      <c r="K18">
        <v>106059.5</v>
      </c>
      <c r="L18">
        <v>105374.008452761</v>
      </c>
      <c r="M18">
        <v>6.4632734195350103E-3</v>
      </c>
      <c r="N18">
        <v>3600.3483009338402</v>
      </c>
      <c r="O18">
        <v>107529.301682925</v>
      </c>
      <c r="P18">
        <v>107528.728340099</v>
      </c>
      <c r="Q18">
        <v>5.3319682864334499E-6</v>
      </c>
      <c r="R18">
        <v>1.7604229450225799</v>
      </c>
      <c r="S18">
        <v>117337.53102633401</v>
      </c>
      <c r="T18">
        <v>105492.498984729</v>
      </c>
      <c r="U18">
        <v>0.100948366119506</v>
      </c>
      <c r="V18">
        <v>3600.8728432655298</v>
      </c>
      <c r="X18" s="8">
        <f t="shared" si="1"/>
        <v>0</v>
      </c>
      <c r="Y18" s="10">
        <f t="shared" si="2"/>
        <v>0</v>
      </c>
      <c r="Z18" s="10">
        <f t="shared" si="3"/>
        <v>0</v>
      </c>
      <c r="AA18" s="10">
        <f t="shared" si="4"/>
        <v>4.8905929459033128</v>
      </c>
      <c r="AC18" s="8">
        <f t="shared" si="0"/>
        <v>0</v>
      </c>
      <c r="AD18" s="10">
        <f t="shared" si="5"/>
        <v>0</v>
      </c>
      <c r="AE18" s="10">
        <f t="shared" si="6"/>
        <v>1.7358492891237678</v>
      </c>
    </row>
    <row r="19" spans="1:31" x14ac:dyDescent="0.25">
      <c r="A19" t="s">
        <v>57</v>
      </c>
      <c r="B19" t="str" cm="1">
        <f t="array" ref="B19:F19">_xlfn.TEXTSPLIT(A19,"_")</f>
        <v>MVPRP</v>
      </c>
      <c r="C19" t="str">
        <v>C35</v>
      </c>
      <c r="D19" t="str">
        <v>P3</v>
      </c>
      <c r="E19" t="str">
        <v>V3</v>
      </c>
      <c r="F19" t="str">
        <v>I1</v>
      </c>
      <c r="G19">
        <v>35803</v>
      </c>
      <c r="H19">
        <v>35803</v>
      </c>
      <c r="I19">
        <v>0</v>
      </c>
      <c r="J19">
        <v>26.064972877502399</v>
      </c>
      <c r="K19">
        <v>34131.4999023825</v>
      </c>
      <c r="L19">
        <v>33951.488507069902</v>
      </c>
      <c r="M19">
        <v>5.2740546365498799E-3</v>
      </c>
      <c r="N19">
        <v>3600.21579194069</v>
      </c>
      <c r="O19">
        <v>34416.2067617551</v>
      </c>
      <c r="P19">
        <v>34415.584928466298</v>
      </c>
      <c r="Q19">
        <v>1.80680367583086E-5</v>
      </c>
      <c r="R19">
        <v>0.63661909103393599</v>
      </c>
      <c r="S19">
        <v>34466.262315235297</v>
      </c>
      <c r="T19">
        <v>34117.230129068899</v>
      </c>
      <c r="U19">
        <v>1.01267779770884E-2</v>
      </c>
      <c r="V19">
        <v>3600.0682177543599</v>
      </c>
      <c r="X19" s="8">
        <f t="shared" si="1"/>
        <v>1336.7376847647029</v>
      </c>
      <c r="Y19" s="10">
        <f t="shared" si="2"/>
        <v>3.8783946821347608</v>
      </c>
      <c r="Z19" s="10">
        <f t="shared" si="3"/>
        <v>3.8783946821347608</v>
      </c>
      <c r="AA19" s="10">
        <f t="shared" si="4"/>
        <v>4.8910724798433725</v>
      </c>
      <c r="AC19" s="8">
        <f t="shared" si="0"/>
        <v>0</v>
      </c>
      <c r="AD19" s="10">
        <f t="shared" si="5"/>
        <v>0</v>
      </c>
      <c r="AE19" s="10">
        <f t="shared" si="6"/>
        <v>0.86744721534264757</v>
      </c>
    </row>
    <row r="20" spans="1:31" x14ac:dyDescent="0.25">
      <c r="A20" t="s">
        <v>54</v>
      </c>
      <c r="B20" t="str" cm="1">
        <f t="array" ref="B20:F20">_xlfn.TEXTSPLIT(A20,"_")</f>
        <v>MVPRP</v>
      </c>
      <c r="C20" t="str">
        <v>C35</v>
      </c>
      <c r="D20" t="str">
        <v>P6</v>
      </c>
      <c r="E20" t="str">
        <v>V3</v>
      </c>
      <c r="F20" t="str">
        <v>I1</v>
      </c>
      <c r="G20">
        <v>75538.9998224054</v>
      </c>
      <c r="H20">
        <v>75433.2378964089</v>
      </c>
      <c r="I20">
        <v>1.40009698625977E-3</v>
      </c>
      <c r="J20">
        <v>3601.5368080139201</v>
      </c>
      <c r="K20">
        <v>72384.999967396303</v>
      </c>
      <c r="L20">
        <v>72002.368161820996</v>
      </c>
      <c r="M20">
        <v>5.2860648718336904E-3</v>
      </c>
      <c r="N20">
        <v>3600.1030459404001</v>
      </c>
      <c r="O20">
        <v>72969.8460902964</v>
      </c>
      <c r="P20">
        <v>72969.151541604195</v>
      </c>
      <c r="Q20">
        <v>9.5182973428135496E-6</v>
      </c>
      <c r="R20">
        <v>1.2403638362884499</v>
      </c>
      <c r="S20">
        <v>74655.621031930597</v>
      </c>
      <c r="T20">
        <v>72147.231062062201</v>
      </c>
      <c r="U20">
        <v>3.35994789835787E-2</v>
      </c>
      <c r="V20">
        <v>3600.4885809421498</v>
      </c>
      <c r="X20" s="8">
        <f t="shared" si="1"/>
        <v>883.37879047480237</v>
      </c>
      <c r="Y20" s="10">
        <f t="shared" si="2"/>
        <v>1.1832716388454885</v>
      </c>
      <c r="Z20" s="10">
        <f t="shared" si="3"/>
        <v>1.0416052451639404</v>
      </c>
      <c r="AA20" s="10">
        <f t="shared" si="4"/>
        <v>4.5432195372033961</v>
      </c>
      <c r="AC20" s="8">
        <f t="shared" si="0"/>
        <v>0</v>
      </c>
      <c r="AD20" s="10">
        <f t="shared" si="5"/>
        <v>0</v>
      </c>
      <c r="AE20" s="10">
        <f t="shared" si="6"/>
        <v>1.1018795595878332</v>
      </c>
    </row>
    <row r="21" spans="1:31" x14ac:dyDescent="0.25">
      <c r="A21" t="s">
        <v>37</v>
      </c>
      <c r="B21" t="str" cm="1">
        <f t="array" ref="B21:F21">_xlfn.TEXTSPLIT(A21,"_")</f>
        <v>MVPRP</v>
      </c>
      <c r="C21" t="str">
        <v>C40</v>
      </c>
      <c r="D21" t="str">
        <v>P3</v>
      </c>
      <c r="E21" t="str">
        <v>V3</v>
      </c>
      <c r="F21" t="str">
        <v>I1</v>
      </c>
      <c r="G21">
        <v>44822</v>
      </c>
      <c r="H21">
        <v>44822</v>
      </c>
      <c r="I21">
        <v>0</v>
      </c>
      <c r="J21">
        <v>107.950572729111</v>
      </c>
      <c r="K21">
        <v>42223.499796775701</v>
      </c>
      <c r="L21">
        <v>42040.333896737699</v>
      </c>
      <c r="M21">
        <v>4.3380084767872702E-3</v>
      </c>
      <c r="N21">
        <v>3600.10026597977</v>
      </c>
      <c r="O21">
        <v>42573.582196626798</v>
      </c>
      <c r="P21">
        <v>42573.582196132098</v>
      </c>
      <c r="Q21">
        <v>1.16203860820052E-11</v>
      </c>
      <c r="R21">
        <v>0.52277612686157204</v>
      </c>
      <c r="S21">
        <v>42745.741727257198</v>
      </c>
      <c r="T21">
        <v>42222.871714756599</v>
      </c>
      <c r="U21">
        <v>1.22320959088001E-2</v>
      </c>
      <c r="V21">
        <v>3600.1835372447999</v>
      </c>
      <c r="X21" s="8">
        <f t="shared" si="1"/>
        <v>2076.2582727428016</v>
      </c>
      <c r="Y21" s="10">
        <f t="shared" si="2"/>
        <v>4.8572283199354507</v>
      </c>
      <c r="Z21" s="10">
        <f t="shared" si="3"/>
        <v>4.8572283199354507</v>
      </c>
      <c r="AA21" s="10">
        <f t="shared" si="4"/>
        <v>6.0804379108154398</v>
      </c>
      <c r="AC21" s="8">
        <f t="shared" si="0"/>
        <v>0</v>
      </c>
      <c r="AD21" s="10">
        <f t="shared" si="5"/>
        <v>0</v>
      </c>
      <c r="AE21" s="10">
        <f t="shared" si="6"/>
        <v>0.82045712087051126</v>
      </c>
    </row>
    <row r="22" spans="1:31" x14ac:dyDescent="0.25">
      <c r="A22" t="s">
        <v>43</v>
      </c>
      <c r="B22" t="str" cm="1">
        <f t="array" ref="B22:F22">_xlfn.TEXTSPLIT(A22,"_")</f>
        <v>MVPRP</v>
      </c>
      <c r="C22" t="str">
        <v>C40</v>
      </c>
      <c r="D22" t="str">
        <v>P6</v>
      </c>
      <c r="E22" t="str">
        <v>V3</v>
      </c>
      <c r="F22" t="str">
        <v>I1</v>
      </c>
      <c r="G22">
        <v>96993</v>
      </c>
      <c r="H22">
        <v>96752.303220362606</v>
      </c>
      <c r="I22">
        <v>2.4815891831102099E-3</v>
      </c>
      <c r="J22">
        <v>3601.67462682724</v>
      </c>
      <c r="K22">
        <v>93436</v>
      </c>
      <c r="L22">
        <v>92812.185047562205</v>
      </c>
      <c r="M22">
        <v>6.6763876068941901E-3</v>
      </c>
      <c r="N22">
        <v>3600.07370400429</v>
      </c>
      <c r="O22">
        <v>94289.659078283396</v>
      </c>
      <c r="P22">
        <v>94287.6995011689</v>
      </c>
      <c r="Q22">
        <v>2.0782524124149499E-5</v>
      </c>
      <c r="R22">
        <v>1.64149498939514</v>
      </c>
      <c r="S22">
        <v>99987.190311141501</v>
      </c>
      <c r="T22">
        <v>92745.055819965404</v>
      </c>
      <c r="U22">
        <v>7.2430623049211607E-2</v>
      </c>
      <c r="V22">
        <v>3600.2684252262102</v>
      </c>
      <c r="X22" s="8">
        <f t="shared" si="1"/>
        <v>0</v>
      </c>
      <c r="Y22" s="10">
        <f t="shared" si="2"/>
        <v>0</v>
      </c>
      <c r="Z22" s="10">
        <f t="shared" si="3"/>
        <v>0</v>
      </c>
      <c r="AA22" s="10">
        <f t="shared" si="4"/>
        <v>4.2484883981795925</v>
      </c>
      <c r="AC22" s="8">
        <f t="shared" si="0"/>
        <v>0</v>
      </c>
      <c r="AD22" s="10">
        <f t="shared" si="5"/>
        <v>0</v>
      </c>
      <c r="AE22" s="10">
        <f t="shared" si="6"/>
        <v>1.544801142537833</v>
      </c>
    </row>
    <row r="23" spans="1:31" x14ac:dyDescent="0.25">
      <c r="A23" t="s">
        <v>52</v>
      </c>
      <c r="B23" t="str" cm="1">
        <f t="array" ref="B23:F23">_xlfn.TEXTSPLIT(A23,"_")</f>
        <v>MVPRP</v>
      </c>
      <c r="C23" t="str">
        <v>C45</v>
      </c>
      <c r="D23" t="str">
        <v>P3</v>
      </c>
      <c r="E23" t="str">
        <v>V3</v>
      </c>
      <c r="F23" t="str">
        <v>I1</v>
      </c>
      <c r="G23">
        <v>50846</v>
      </c>
      <c r="H23">
        <v>50846</v>
      </c>
      <c r="I23">
        <v>0</v>
      </c>
      <c r="J23">
        <v>68.337500810623197</v>
      </c>
      <c r="K23">
        <v>48258.999980307497</v>
      </c>
      <c r="L23">
        <v>48092.253679702801</v>
      </c>
      <c r="M23">
        <v>3.4552373789921501E-3</v>
      </c>
      <c r="N23">
        <v>3600.0970969200098</v>
      </c>
      <c r="O23">
        <v>48829.581233312201</v>
      </c>
      <c r="P23">
        <v>48829.581232696502</v>
      </c>
      <c r="Q23">
        <v>1.26089865561282E-11</v>
      </c>
      <c r="R23">
        <v>0.78091788291931197</v>
      </c>
      <c r="S23">
        <v>49012.054775515098</v>
      </c>
      <c r="T23">
        <v>48318.6472474275</v>
      </c>
      <c r="U23">
        <v>1.4147693486093099E-2</v>
      </c>
      <c r="V23">
        <v>3600.16135978699</v>
      </c>
      <c r="X23" s="8">
        <f t="shared" si="1"/>
        <v>1833.9452244849017</v>
      </c>
      <c r="Y23" s="10">
        <f t="shared" si="2"/>
        <v>3.7418248079676184</v>
      </c>
      <c r="Z23" s="10">
        <f t="shared" si="3"/>
        <v>3.7418248079676184</v>
      </c>
      <c r="AA23" s="10">
        <f t="shared" si="4"/>
        <v>5.1565941565769391</v>
      </c>
      <c r="AC23" s="8">
        <f t="shared" si="0"/>
        <v>0</v>
      </c>
      <c r="AD23" s="10">
        <f t="shared" si="5"/>
        <v>0</v>
      </c>
      <c r="AE23" s="10">
        <f t="shared" si="6"/>
        <v>1.0424659570484858</v>
      </c>
    </row>
    <row r="24" spans="1:31" x14ac:dyDescent="0.25">
      <c r="A24" t="s">
        <v>59</v>
      </c>
      <c r="B24" t="str" cm="1">
        <f t="array" ref="B24:F24">_xlfn.TEXTSPLIT(A24,"_")</f>
        <v>MVPRP</v>
      </c>
      <c r="C24" t="str">
        <v>C50</v>
      </c>
      <c r="D24" t="str">
        <v>P3</v>
      </c>
      <c r="E24" t="str">
        <v>V3</v>
      </c>
      <c r="F24" t="str">
        <v>I1</v>
      </c>
      <c r="G24">
        <v>47126</v>
      </c>
      <c r="H24">
        <v>47126</v>
      </c>
      <c r="I24">
        <v>0</v>
      </c>
      <c r="J24">
        <v>169.300560951233</v>
      </c>
      <c r="K24">
        <v>44632.9997904212</v>
      </c>
      <c r="L24">
        <v>44344.516036604</v>
      </c>
      <c r="M24">
        <v>6.46346324853256E-3</v>
      </c>
      <c r="N24">
        <v>3600.1724021434802</v>
      </c>
      <c r="O24">
        <v>45274.429161204403</v>
      </c>
      <c r="P24">
        <v>45274.429161204403</v>
      </c>
      <c r="Q24">
        <v>0</v>
      </c>
      <c r="R24">
        <v>0.90576791763305697</v>
      </c>
      <c r="S24">
        <v>45747.905895398297</v>
      </c>
      <c r="T24">
        <v>44651.431294652903</v>
      </c>
      <c r="U24">
        <v>2.3967755010524699E-2</v>
      </c>
      <c r="V24">
        <v>3600.1454582214401</v>
      </c>
      <c r="X24" s="8">
        <f t="shared" si="1"/>
        <v>1378.0941046017033</v>
      </c>
      <c r="Y24" s="10">
        <f t="shared" si="2"/>
        <v>3.012365435376843</v>
      </c>
      <c r="Z24" s="10">
        <f t="shared" si="3"/>
        <v>3.012365435376843</v>
      </c>
      <c r="AA24" s="10">
        <f t="shared" si="4"/>
        <v>5.4091409364292016</v>
      </c>
      <c r="AC24" s="8">
        <f t="shared" si="0"/>
        <v>0</v>
      </c>
      <c r="AD24" s="10">
        <f t="shared" si="5"/>
        <v>0</v>
      </c>
      <c r="AE24" s="10">
        <f t="shared" si="6"/>
        <v>1.3618063042622617</v>
      </c>
    </row>
    <row r="25" spans="1:31" x14ac:dyDescent="0.25">
      <c r="A25" t="s">
        <v>131</v>
      </c>
      <c r="B25" t="str" cm="1">
        <f t="array" ref="B25">_xlfn.TEXTSPLIT(A25,"_")</f>
        <v>I3</v>
      </c>
      <c r="G25">
        <v>74259.523729984314</v>
      </c>
      <c r="H25">
        <v>73348.804870462656</v>
      </c>
      <c r="I25">
        <v>6.9203522835305587E-3</v>
      </c>
      <c r="J25">
        <v>1919.9522780690877</v>
      </c>
      <c r="K25">
        <v>66594.38022171527</v>
      </c>
      <c r="L25">
        <v>65645.948946159449</v>
      </c>
      <c r="M25">
        <v>1.1323703904221249E-2</v>
      </c>
      <c r="N25">
        <v>2774.7844349656793</v>
      </c>
      <c r="O25">
        <v>69581.892675807539</v>
      </c>
      <c r="P25">
        <v>69581.048616384127</v>
      </c>
      <c r="Q25">
        <v>1.1304968530841335E-5</v>
      </c>
      <c r="R25">
        <v>0.68274559293474457</v>
      </c>
      <c r="S25">
        <v>71123.34295596974</v>
      </c>
      <c r="T25">
        <v>65025.412154796519</v>
      </c>
      <c r="U25">
        <v>6.1493076312939619E-2</v>
      </c>
      <c r="V25">
        <v>2813.4639071282886</v>
      </c>
      <c r="X25" s="7">
        <f>AVERAGE(X26:X46)</f>
        <v>3315.6480341958008</v>
      </c>
      <c r="Y25" s="9">
        <f>AVERAGE(Y26:Y46)</f>
        <v>6.9903840834797037</v>
      </c>
      <c r="Z25" s="9">
        <f>AVERAGE(Z26:Z46)</f>
        <v>6.8448467322617592</v>
      </c>
      <c r="AA25" s="9">
        <f>AVERAGE(AA26:AA46)</f>
        <v>13.024054112564587</v>
      </c>
      <c r="AC25" s="7">
        <f>AVERAGE(AC26:AC46)</f>
        <v>414.84454448883412</v>
      </c>
      <c r="AD25" s="9">
        <f>AVERAGE(AD26:AD46)</f>
        <v>0.54154033587231654</v>
      </c>
      <c r="AE25" s="9">
        <f>AVERAGE(AE26:AE46)</f>
        <v>4.8036392771709178</v>
      </c>
    </row>
    <row r="26" spans="1:31" x14ac:dyDescent="0.25">
      <c r="A26" t="s">
        <v>44</v>
      </c>
      <c r="B26" t="str" cm="1">
        <f t="array" ref="B26:F26">_xlfn.TEXTSPLIT(A26,"_")</f>
        <v>MVPRP</v>
      </c>
      <c r="C26" t="str">
        <v>C10</v>
      </c>
      <c r="D26" t="str">
        <v>P3</v>
      </c>
      <c r="E26" t="str">
        <v>V3</v>
      </c>
      <c r="F26" t="str">
        <v>I3</v>
      </c>
      <c r="G26">
        <v>20750</v>
      </c>
      <c r="H26">
        <v>20750</v>
      </c>
      <c r="I26">
        <v>0</v>
      </c>
      <c r="J26">
        <v>1.7461397647857699</v>
      </c>
      <c r="K26">
        <v>17835</v>
      </c>
      <c r="L26">
        <v>17835</v>
      </c>
      <c r="M26">
        <v>0</v>
      </c>
      <c r="N26">
        <v>1.38335108757019</v>
      </c>
      <c r="O26">
        <v>18058.295875612901</v>
      </c>
      <c r="P26">
        <v>18058.295875612901</v>
      </c>
      <c r="Q26">
        <v>0</v>
      </c>
      <c r="R26">
        <v>3.5550117492675802E-2</v>
      </c>
      <c r="S26">
        <v>18058.295875612901</v>
      </c>
      <c r="T26">
        <v>18058.295875612901</v>
      </c>
      <c r="U26">
        <v>0</v>
      </c>
      <c r="V26">
        <v>2.6474487781524698</v>
      </c>
      <c r="X26" s="8">
        <f>MAX(G26-S26,0)</f>
        <v>2691.704124387099</v>
      </c>
      <c r="Y26" s="10">
        <f>X26/S26*100</f>
        <v>14.905637513793046</v>
      </c>
      <c r="Z26" s="10">
        <f t="shared" si="3"/>
        <v>14.905637513793046</v>
      </c>
      <c r="AA26" s="10">
        <f>(G26-T26)/S26*100</f>
        <v>14.905637513793046</v>
      </c>
      <c r="AC26" s="8">
        <f t="shared" ref="AC26:AC46" si="7">MAX(O26-S26,0)</f>
        <v>0</v>
      </c>
      <c r="AD26" s="10">
        <f>AC26/S26*100</f>
        <v>0</v>
      </c>
      <c r="AE26" s="10">
        <f t="shared" si="6"/>
        <v>0</v>
      </c>
    </row>
    <row r="27" spans="1:31" x14ac:dyDescent="0.25">
      <c r="A27" t="s">
        <v>58</v>
      </c>
      <c r="B27" t="str" cm="1">
        <f t="array" ref="B27:F27">_xlfn.TEXTSPLIT(A27,"_")</f>
        <v>MVPRP</v>
      </c>
      <c r="C27" t="str">
        <v>C10</v>
      </c>
      <c r="D27" t="str">
        <v>P6</v>
      </c>
      <c r="E27" t="str">
        <v>V3</v>
      </c>
      <c r="F27" t="str">
        <v>I3</v>
      </c>
      <c r="G27">
        <v>42067.999985979397</v>
      </c>
      <c r="H27">
        <v>42067.999985979397</v>
      </c>
      <c r="I27">
        <v>0</v>
      </c>
      <c r="J27">
        <v>11.096104145050001</v>
      </c>
      <c r="K27">
        <v>37316.5</v>
      </c>
      <c r="L27">
        <v>37316.498822320304</v>
      </c>
      <c r="M27">
        <v>3.1559221890780703E-8</v>
      </c>
      <c r="N27">
        <v>162.77340507507299</v>
      </c>
      <c r="O27">
        <v>38038.172765691197</v>
      </c>
      <c r="P27">
        <v>38038.172765691197</v>
      </c>
      <c r="Q27">
        <v>0</v>
      </c>
      <c r="R27">
        <v>9.3133926391601604E-2</v>
      </c>
      <c r="S27">
        <v>37774.950416902298</v>
      </c>
      <c r="T27">
        <v>37774.950416902298</v>
      </c>
      <c r="U27">
        <v>0</v>
      </c>
      <c r="V27">
        <v>46.119750261306798</v>
      </c>
      <c r="X27" s="8">
        <f t="shared" ref="X27:X46" si="8">MAX(G27-S27,0)</f>
        <v>4293.0495690770986</v>
      </c>
      <c r="Y27" s="10">
        <f t="shared" ref="Y27:Y46" si="9">X27/S27*100</f>
        <v>11.364805305359674</v>
      </c>
      <c r="Z27" s="10">
        <f t="shared" si="3"/>
        <v>11.364805305359674</v>
      </c>
      <c r="AA27" s="10">
        <f t="shared" ref="AA27:AA46" si="10">(G27-T27)/S27*100</f>
        <v>11.364805305359674</v>
      </c>
      <c r="AC27" s="8">
        <f t="shared" si="7"/>
        <v>263.22234878889867</v>
      </c>
      <c r="AD27" s="10">
        <f t="shared" ref="AD27:AD46" si="11">AC27/S27*100</f>
        <v>0.69681719203824699</v>
      </c>
      <c r="AE27" s="10">
        <f t="shared" si="6"/>
        <v>0.69681719203824699</v>
      </c>
    </row>
    <row r="28" spans="1:31" x14ac:dyDescent="0.25">
      <c r="A28" t="s">
        <v>73</v>
      </c>
      <c r="B28" t="str" cm="1">
        <f t="array" ref="B28:F28">_xlfn.TEXTSPLIT(A28,"_")</f>
        <v>MVPRP</v>
      </c>
      <c r="C28" t="str">
        <v>C10</v>
      </c>
      <c r="D28" t="str">
        <v>P9</v>
      </c>
      <c r="E28" t="str">
        <v>V3</v>
      </c>
      <c r="F28" t="str">
        <v>I3</v>
      </c>
      <c r="G28">
        <v>72847.999958617205</v>
      </c>
      <c r="H28">
        <v>72847.999958617205</v>
      </c>
      <c r="I28">
        <v>0</v>
      </c>
      <c r="J28">
        <v>22.308111429214499</v>
      </c>
      <c r="K28">
        <v>66834.994197344393</v>
      </c>
      <c r="L28">
        <v>66574.279362295594</v>
      </c>
      <c r="M28">
        <v>3.9008731605327698E-3</v>
      </c>
      <c r="N28">
        <v>3600.0266900062602</v>
      </c>
      <c r="O28">
        <v>69154.905995275505</v>
      </c>
      <c r="P28">
        <v>69154.905995275505</v>
      </c>
      <c r="Q28">
        <v>0</v>
      </c>
      <c r="R28">
        <v>0.124292135238647</v>
      </c>
      <c r="S28">
        <v>68563.336796616495</v>
      </c>
      <c r="T28">
        <v>66581.519238390596</v>
      </c>
      <c r="U28">
        <v>2.89049169836159E-2</v>
      </c>
      <c r="V28">
        <v>3600.0440046787298</v>
      </c>
      <c r="X28" s="8">
        <f t="shared" si="8"/>
        <v>4284.6631620007101</v>
      </c>
      <c r="Y28" s="10">
        <f t="shared" si="9"/>
        <v>6.2492045489421866</v>
      </c>
      <c r="Z28" s="10">
        <f t="shared" si="3"/>
        <v>6.2492045489421866</v>
      </c>
      <c r="AA28" s="10">
        <f t="shared" si="10"/>
        <v>9.1396962473037799</v>
      </c>
      <c r="AC28" s="8">
        <f t="shared" si="7"/>
        <v>591.56919865901</v>
      </c>
      <c r="AD28" s="10">
        <f t="shared" si="11"/>
        <v>0.86280689694817059</v>
      </c>
      <c r="AE28" s="10">
        <f t="shared" si="6"/>
        <v>3.7532985953097633</v>
      </c>
    </row>
    <row r="29" spans="1:31" x14ac:dyDescent="0.25">
      <c r="A29" t="s">
        <v>29</v>
      </c>
      <c r="B29" t="str" cm="1">
        <f t="array" ref="B29:F29">_xlfn.TEXTSPLIT(A29,"_")</f>
        <v>MVPRP</v>
      </c>
      <c r="C29" t="str">
        <v>C15</v>
      </c>
      <c r="D29" t="str">
        <v>P3</v>
      </c>
      <c r="E29" t="str">
        <v>V3</v>
      </c>
      <c r="F29" t="str">
        <v>I3</v>
      </c>
      <c r="G29">
        <v>30676</v>
      </c>
      <c r="H29">
        <v>30676</v>
      </c>
      <c r="I29">
        <v>0</v>
      </c>
      <c r="J29">
        <v>23.045698881149299</v>
      </c>
      <c r="K29">
        <v>26240.5</v>
      </c>
      <c r="L29">
        <v>26240.4999320594</v>
      </c>
      <c r="M29">
        <v>2.5891516174008001E-9</v>
      </c>
      <c r="N29">
        <v>238.19414281845101</v>
      </c>
      <c r="O29">
        <v>26860.681430160799</v>
      </c>
      <c r="P29">
        <v>26860.681430160799</v>
      </c>
      <c r="Q29">
        <v>0</v>
      </c>
      <c r="R29">
        <v>5.9319972991943401E-2</v>
      </c>
      <c r="S29">
        <v>26776.943479216901</v>
      </c>
      <c r="T29">
        <v>26776.943479216901</v>
      </c>
      <c r="U29">
        <v>0</v>
      </c>
      <c r="V29">
        <v>96.257256984710693</v>
      </c>
      <c r="X29" s="8">
        <f t="shared" si="8"/>
        <v>3899.0565207830987</v>
      </c>
      <c r="Y29" s="10">
        <f t="shared" si="9"/>
        <v>14.561245661997892</v>
      </c>
      <c r="Z29" s="10">
        <f t="shared" si="3"/>
        <v>14.561245661997892</v>
      </c>
      <c r="AA29" s="10">
        <f t="shared" si="10"/>
        <v>14.561245661997892</v>
      </c>
      <c r="AC29" s="8">
        <f t="shared" si="7"/>
        <v>83.737950943897886</v>
      </c>
      <c r="AD29" s="10">
        <f t="shared" si="11"/>
        <v>0.31272408297418874</v>
      </c>
      <c r="AE29" s="10">
        <f t="shared" si="6"/>
        <v>0.31272408297418874</v>
      </c>
    </row>
    <row r="30" spans="1:31" x14ac:dyDescent="0.25">
      <c r="A30" t="s">
        <v>49</v>
      </c>
      <c r="B30" t="str" cm="1">
        <f t="array" ref="B30:F30">_xlfn.TEXTSPLIT(A30,"_")</f>
        <v>MVPRP</v>
      </c>
      <c r="C30" t="str">
        <v>C15</v>
      </c>
      <c r="D30" t="str">
        <v>P6</v>
      </c>
      <c r="E30" t="str">
        <v>V3</v>
      </c>
      <c r="F30" t="str">
        <v>I3</v>
      </c>
      <c r="G30">
        <v>60686.999585325299</v>
      </c>
      <c r="H30">
        <v>60686.999585325299</v>
      </c>
      <c r="I30">
        <v>0</v>
      </c>
      <c r="J30">
        <v>867.94262433052097</v>
      </c>
      <c r="K30">
        <v>54121</v>
      </c>
      <c r="L30">
        <v>54064.641131386197</v>
      </c>
      <c r="M30">
        <v>1.04134935817579E-3</v>
      </c>
      <c r="N30">
        <v>3600.0338850021399</v>
      </c>
      <c r="O30">
        <v>57150.9185117249</v>
      </c>
      <c r="P30">
        <v>57150.9185117249</v>
      </c>
      <c r="Q30">
        <v>0</v>
      </c>
      <c r="R30">
        <v>0.167562961578369</v>
      </c>
      <c r="S30">
        <v>55753.511068026899</v>
      </c>
      <c r="T30">
        <v>54594.489940477302</v>
      </c>
      <c r="U30">
        <v>2.0788307415032899E-2</v>
      </c>
      <c r="V30">
        <v>3600.0532271861998</v>
      </c>
      <c r="X30" s="8">
        <f t="shared" si="8"/>
        <v>4933.4885172983995</v>
      </c>
      <c r="Y30" s="10">
        <f t="shared" si="9"/>
        <v>8.8487494738741557</v>
      </c>
      <c r="Z30" s="10">
        <f t="shared" si="3"/>
        <v>8.8487494738741557</v>
      </c>
      <c r="AA30" s="10">
        <f t="shared" si="10"/>
        <v>10.927580215377471</v>
      </c>
      <c r="AC30" s="8">
        <f t="shared" si="7"/>
        <v>1397.4074436980009</v>
      </c>
      <c r="AD30" s="10">
        <f t="shared" si="11"/>
        <v>2.5064025869025053</v>
      </c>
      <c r="AE30" s="10">
        <f t="shared" si="6"/>
        <v>4.5852333284058213</v>
      </c>
    </row>
    <row r="31" spans="1:31" x14ac:dyDescent="0.25">
      <c r="A31" t="s">
        <v>69</v>
      </c>
      <c r="B31" t="str" cm="1">
        <f t="array" ref="B31:F31">_xlfn.TEXTSPLIT(A31,"_")</f>
        <v>MVPRP</v>
      </c>
      <c r="C31" t="str">
        <v>C15</v>
      </c>
      <c r="D31" t="str">
        <v>P9</v>
      </c>
      <c r="E31" t="str">
        <v>V3</v>
      </c>
      <c r="F31" t="str">
        <v>I3</v>
      </c>
      <c r="G31">
        <v>109246</v>
      </c>
      <c r="H31">
        <v>108534.871643727</v>
      </c>
      <c r="I31">
        <v>6.5094223703681797E-3</v>
      </c>
      <c r="J31">
        <v>3600.0643427372001</v>
      </c>
      <c r="K31">
        <v>99897.499815615898</v>
      </c>
      <c r="L31">
        <v>98544.457483100996</v>
      </c>
      <c r="M31">
        <v>1.3544306264042599E-2</v>
      </c>
      <c r="N31">
        <v>3600.0566389560699</v>
      </c>
      <c r="O31">
        <v>106666.043249344</v>
      </c>
      <c r="P31">
        <v>106666.043249344</v>
      </c>
      <c r="Q31">
        <v>1.0914000208557499E-15</v>
      </c>
      <c r="R31">
        <v>0.82485485076904297</v>
      </c>
      <c r="S31">
        <v>104190.162255156</v>
      </c>
      <c r="T31">
        <v>94372.153593138995</v>
      </c>
      <c r="U31">
        <v>9.4231628490734895E-2</v>
      </c>
      <c r="V31">
        <v>3600.11109733582</v>
      </c>
      <c r="X31" s="8">
        <f t="shared" si="8"/>
        <v>5055.8377448440006</v>
      </c>
      <c r="Y31" s="10">
        <f t="shared" si="9"/>
        <v>4.8525097143649036</v>
      </c>
      <c r="Z31" s="10">
        <f t="shared" si="3"/>
        <v>4.169980442041207</v>
      </c>
      <c r="AA31" s="10">
        <f t="shared" si="10"/>
        <v>14.275672563438157</v>
      </c>
      <c r="AC31" s="8">
        <f t="shared" si="7"/>
        <v>2475.8809941880027</v>
      </c>
      <c r="AD31" s="10">
        <f t="shared" si="11"/>
        <v>2.3763097595766345</v>
      </c>
      <c r="AE31" s="10">
        <f t="shared" si="6"/>
        <v>11.799472608649889</v>
      </c>
    </row>
    <row r="32" spans="1:31" x14ac:dyDescent="0.25">
      <c r="A32" t="s">
        <v>46</v>
      </c>
      <c r="B32" t="str" cm="1">
        <f t="array" ref="B32:F32">_xlfn.TEXTSPLIT(A32,"_")</f>
        <v>MVPRP</v>
      </c>
      <c r="C32" t="str">
        <v>C20</v>
      </c>
      <c r="D32" t="str">
        <v>P3</v>
      </c>
      <c r="E32" t="str">
        <v>V3</v>
      </c>
      <c r="F32" t="str">
        <v>I3</v>
      </c>
      <c r="G32">
        <v>33151</v>
      </c>
      <c r="H32">
        <v>33151</v>
      </c>
      <c r="I32">
        <v>0</v>
      </c>
      <c r="J32">
        <v>16.105900287628199</v>
      </c>
      <c r="K32">
        <v>28517</v>
      </c>
      <c r="L32">
        <v>28517</v>
      </c>
      <c r="M32">
        <v>0</v>
      </c>
      <c r="N32">
        <v>38.965275049209602</v>
      </c>
      <c r="O32">
        <v>29250.8296868258</v>
      </c>
      <c r="P32">
        <v>29250.8296868258</v>
      </c>
      <c r="Q32">
        <v>0</v>
      </c>
      <c r="R32">
        <v>8.7544918060302707E-2</v>
      </c>
      <c r="S32">
        <v>29250.8296868258</v>
      </c>
      <c r="T32">
        <v>29250.8296868258</v>
      </c>
      <c r="U32">
        <v>0</v>
      </c>
      <c r="V32">
        <v>132.74919962883001</v>
      </c>
      <c r="X32" s="8">
        <f t="shared" si="8"/>
        <v>3900.1703131741997</v>
      </c>
      <c r="Y32" s="10">
        <f t="shared" si="9"/>
        <v>13.333537389986535</v>
      </c>
      <c r="Z32" s="10">
        <f t="shared" si="3"/>
        <v>13.333537389986535</v>
      </c>
      <c r="AA32" s="10">
        <f t="shared" si="10"/>
        <v>13.333537389986535</v>
      </c>
      <c r="AC32" s="8">
        <f t="shared" si="7"/>
        <v>0</v>
      </c>
      <c r="AD32" s="10">
        <f t="shared" si="11"/>
        <v>0</v>
      </c>
      <c r="AE32" s="10">
        <f t="shared" si="6"/>
        <v>0</v>
      </c>
    </row>
    <row r="33" spans="1:31" x14ac:dyDescent="0.25">
      <c r="A33" t="s">
        <v>65</v>
      </c>
      <c r="B33" t="str" cm="1">
        <f t="array" ref="B33:F33">_xlfn.TEXTSPLIT(A33,"_")</f>
        <v>MVPRP</v>
      </c>
      <c r="C33" t="str">
        <v>C20</v>
      </c>
      <c r="D33" t="str">
        <v>P6</v>
      </c>
      <c r="E33" t="str">
        <v>V3</v>
      </c>
      <c r="F33" t="str">
        <v>I3</v>
      </c>
      <c r="G33">
        <v>66288.999920291695</v>
      </c>
      <c r="H33">
        <v>66288.999920291695</v>
      </c>
      <c r="I33">
        <v>0</v>
      </c>
      <c r="J33">
        <v>2472.0361132621802</v>
      </c>
      <c r="K33">
        <v>59032.496323716499</v>
      </c>
      <c r="L33">
        <v>58537.4155821116</v>
      </c>
      <c r="M33">
        <v>8.3865798066542208E-3</v>
      </c>
      <c r="N33">
        <v>3600.0313742160802</v>
      </c>
      <c r="O33">
        <v>61479.340245791704</v>
      </c>
      <c r="P33">
        <v>61479.340245791704</v>
      </c>
      <c r="Q33">
        <v>0</v>
      </c>
      <c r="R33">
        <v>0.24436712265014601</v>
      </c>
      <c r="S33">
        <v>60849.287344152202</v>
      </c>
      <c r="T33">
        <v>59052.642768488797</v>
      </c>
      <c r="U33">
        <v>2.9526139977646599E-2</v>
      </c>
      <c r="V33">
        <v>3600.0613012313802</v>
      </c>
      <c r="X33" s="8">
        <f t="shared" si="8"/>
        <v>5439.7125761394927</v>
      </c>
      <c r="Y33" s="10">
        <f t="shared" si="9"/>
        <v>8.9396487840087495</v>
      </c>
      <c r="Z33" s="10">
        <f t="shared" si="3"/>
        <v>8.9396487840087495</v>
      </c>
      <c r="AA33" s="10">
        <f t="shared" si="10"/>
        <v>11.892262781773292</v>
      </c>
      <c r="AC33" s="8">
        <f t="shared" si="7"/>
        <v>630.05290163950121</v>
      </c>
      <c r="AD33" s="10">
        <f t="shared" si="11"/>
        <v>1.0354318499673458</v>
      </c>
      <c r="AE33" s="10">
        <f t="shared" si="6"/>
        <v>3.9880458477318879</v>
      </c>
    </row>
    <row r="34" spans="1:31" x14ac:dyDescent="0.25">
      <c r="A34" t="s">
        <v>66</v>
      </c>
      <c r="B34" t="str" cm="1">
        <f t="array" ref="B34:F34">_xlfn.TEXTSPLIT(A34,"_")</f>
        <v>MVPRP</v>
      </c>
      <c r="C34" t="str">
        <v>C20</v>
      </c>
      <c r="D34" t="str">
        <v>P9</v>
      </c>
      <c r="E34" t="str">
        <v>V3</v>
      </c>
      <c r="F34" t="str">
        <v>I3</v>
      </c>
      <c r="G34">
        <v>116181.999595663</v>
      </c>
      <c r="H34">
        <v>115809.362405917</v>
      </c>
      <c r="I34">
        <v>3.2073573448852099E-3</v>
      </c>
      <c r="J34">
        <v>3600.1263711452498</v>
      </c>
      <c r="K34">
        <v>106168.999353237</v>
      </c>
      <c r="L34">
        <v>103926.153194074</v>
      </c>
      <c r="M34">
        <v>2.1125245343043501E-2</v>
      </c>
      <c r="N34">
        <v>3600.1596698761</v>
      </c>
      <c r="O34">
        <v>112995.774405897</v>
      </c>
      <c r="P34">
        <v>112995.774405897</v>
      </c>
      <c r="Q34">
        <v>0</v>
      </c>
      <c r="R34">
        <v>0.89100193977356001</v>
      </c>
      <c r="S34">
        <v>110207.29372188701</v>
      </c>
      <c r="T34">
        <v>101863.38213030199</v>
      </c>
      <c r="U34">
        <v>7.5711065119167295E-2</v>
      </c>
      <c r="V34">
        <v>3600.06781983376</v>
      </c>
      <c r="X34" s="8">
        <f t="shared" si="8"/>
        <v>5974.7058737759944</v>
      </c>
      <c r="Y34" s="10">
        <f t="shared" si="9"/>
        <v>5.4213343527456814</v>
      </c>
      <c r="Z34" s="10">
        <f t="shared" si="3"/>
        <v>5.0832104617023433</v>
      </c>
      <c r="AA34" s="10">
        <f t="shared" si="10"/>
        <v>12.992440864662436</v>
      </c>
      <c r="AC34" s="8">
        <f t="shared" si="7"/>
        <v>2788.4806840099918</v>
      </c>
      <c r="AD34" s="10">
        <f t="shared" si="11"/>
        <v>2.5302142805963883</v>
      </c>
      <c r="AE34" s="10">
        <f t="shared" si="6"/>
        <v>10.101320792513144</v>
      </c>
    </row>
    <row r="35" spans="1:31" x14ac:dyDescent="0.25">
      <c r="A35" t="s">
        <v>62</v>
      </c>
      <c r="B35" t="str" cm="1">
        <f t="array" ref="B35:F35">_xlfn.TEXTSPLIT(A35,"_")</f>
        <v>MVPRP</v>
      </c>
      <c r="C35" t="str">
        <v>C25</v>
      </c>
      <c r="D35" t="str">
        <v>P3</v>
      </c>
      <c r="E35" t="str">
        <v>V3</v>
      </c>
      <c r="F35" t="str">
        <v>I3</v>
      </c>
      <c r="G35">
        <v>38054</v>
      </c>
      <c r="H35">
        <v>38054</v>
      </c>
      <c r="I35">
        <v>0</v>
      </c>
      <c r="J35">
        <v>28.681736707687399</v>
      </c>
      <c r="K35">
        <v>33049</v>
      </c>
      <c r="L35">
        <v>33049</v>
      </c>
      <c r="M35">
        <v>0</v>
      </c>
      <c r="N35">
        <v>227.94780611991899</v>
      </c>
      <c r="O35">
        <v>34032.056398000197</v>
      </c>
      <c r="P35">
        <v>34032.056398000197</v>
      </c>
      <c r="Q35">
        <v>0</v>
      </c>
      <c r="R35">
        <v>0.1264488697052</v>
      </c>
      <c r="S35">
        <v>34032.056398000197</v>
      </c>
      <c r="T35">
        <v>34028.930519911701</v>
      </c>
      <c r="U35">
        <v>9.1850990487900096E-5</v>
      </c>
      <c r="V35">
        <v>1203.1169180870099</v>
      </c>
      <c r="X35" s="8">
        <f t="shared" si="8"/>
        <v>4021.9436019998029</v>
      </c>
      <c r="Y35" s="10">
        <f t="shared" si="9"/>
        <v>11.818103363968749</v>
      </c>
      <c r="Z35" s="10">
        <f t="shared" si="3"/>
        <v>11.818103363968749</v>
      </c>
      <c r="AA35" s="10">
        <f t="shared" si="10"/>
        <v>11.827288463017538</v>
      </c>
      <c r="AC35" s="8">
        <f t="shared" si="7"/>
        <v>0</v>
      </c>
      <c r="AD35" s="10">
        <f t="shared" si="11"/>
        <v>0</v>
      </c>
      <c r="AE35" s="10">
        <f t="shared" si="6"/>
        <v>9.1850990487900002E-3</v>
      </c>
    </row>
    <row r="36" spans="1:31" x14ac:dyDescent="0.25">
      <c r="A36" t="s">
        <v>48</v>
      </c>
      <c r="B36" t="str" cm="1">
        <f t="array" ref="B36:F36">_xlfn.TEXTSPLIT(A36,"_")</f>
        <v>MVPRP</v>
      </c>
      <c r="C36" t="str">
        <v>C25</v>
      </c>
      <c r="D36" t="str">
        <v>P6</v>
      </c>
      <c r="E36" t="str">
        <v>V3</v>
      </c>
      <c r="F36" t="str">
        <v>I3</v>
      </c>
      <c r="G36">
        <v>76711.999283793804</v>
      </c>
      <c r="H36">
        <v>76416.527816995702</v>
      </c>
      <c r="I36">
        <v>3.8516981639992801E-3</v>
      </c>
      <c r="J36">
        <v>3600.0264861583701</v>
      </c>
      <c r="K36">
        <v>69545.498197501394</v>
      </c>
      <c r="L36">
        <v>68940.450279132099</v>
      </c>
      <c r="M36">
        <v>8.7000299667282701E-3</v>
      </c>
      <c r="N36">
        <v>3600.0907940864599</v>
      </c>
      <c r="O36">
        <v>73077.805343702406</v>
      </c>
      <c r="P36">
        <v>73077.805343702305</v>
      </c>
      <c r="Q36">
        <v>1.3939034720525601E-15</v>
      </c>
      <c r="R36">
        <v>0.43216204643249501</v>
      </c>
      <c r="S36">
        <v>72882.669112570497</v>
      </c>
      <c r="T36">
        <v>69010.127646422407</v>
      </c>
      <c r="U36">
        <v>5.31339139098592E-2</v>
      </c>
      <c r="V36">
        <v>3600.0397450923901</v>
      </c>
      <c r="X36" s="8">
        <f t="shared" si="8"/>
        <v>3829.3301712233078</v>
      </c>
      <c r="Y36" s="10">
        <f t="shared" si="9"/>
        <v>5.2541025429635937</v>
      </c>
      <c r="Z36" s="10">
        <f t="shared" si="3"/>
        <v>4.8486955094454682</v>
      </c>
      <c r="AA36" s="10">
        <f t="shared" si="10"/>
        <v>10.567493933949535</v>
      </c>
      <c r="AC36" s="8">
        <f t="shared" si="7"/>
        <v>195.13623113190988</v>
      </c>
      <c r="AD36" s="10">
        <f t="shared" si="11"/>
        <v>0.26774023716188738</v>
      </c>
      <c r="AE36" s="10">
        <f t="shared" si="6"/>
        <v>5.581131628147828</v>
      </c>
    </row>
    <row r="37" spans="1:31" x14ac:dyDescent="0.25">
      <c r="A37" t="s">
        <v>74</v>
      </c>
      <c r="B37" t="str" cm="1">
        <f t="array" ref="B37:F37">_xlfn.TEXTSPLIT(A37,"_")</f>
        <v>MVPRP</v>
      </c>
      <c r="C37" t="str">
        <v>C25</v>
      </c>
      <c r="D37" t="str">
        <v>P9</v>
      </c>
      <c r="E37" t="str">
        <v>V3</v>
      </c>
      <c r="F37" t="str">
        <v>I3</v>
      </c>
      <c r="G37">
        <v>140566</v>
      </c>
      <c r="H37">
        <v>137113.438898578</v>
      </c>
      <c r="I37">
        <v>2.4561850671019299E-2</v>
      </c>
      <c r="J37">
        <v>3600.6079318523398</v>
      </c>
      <c r="K37">
        <v>126859</v>
      </c>
      <c r="L37">
        <v>124734.5805699</v>
      </c>
      <c r="M37">
        <v>1.6746304401739302E-2</v>
      </c>
      <c r="N37">
        <v>3600.06720685959</v>
      </c>
      <c r="O37">
        <v>135894.00648996999</v>
      </c>
      <c r="P37">
        <v>135894.00648996999</v>
      </c>
      <c r="Q37">
        <v>0</v>
      </c>
      <c r="R37">
        <v>1.22195196151733</v>
      </c>
      <c r="S37">
        <v>140106.60353757499</v>
      </c>
      <c r="T37">
        <v>123257.22692849999</v>
      </c>
      <c r="U37">
        <v>0.12026111677567</v>
      </c>
      <c r="V37">
        <v>3600.2022669315302</v>
      </c>
      <c r="X37" s="8">
        <f t="shared" si="8"/>
        <v>459.39646242500748</v>
      </c>
      <c r="Y37" s="10">
        <f t="shared" si="9"/>
        <v>0.32789065670398798</v>
      </c>
      <c r="Z37" s="10">
        <f t="shared" si="3"/>
        <v>0</v>
      </c>
      <c r="AA37" s="10">
        <f t="shared" si="10"/>
        <v>12.354002334271126</v>
      </c>
      <c r="AC37" s="8">
        <f t="shared" si="7"/>
        <v>0</v>
      </c>
      <c r="AD37" s="10">
        <f t="shared" si="11"/>
        <v>0</v>
      </c>
      <c r="AE37" s="10">
        <f t="shared" si="6"/>
        <v>9.0194032560934652</v>
      </c>
    </row>
    <row r="38" spans="1:31" x14ac:dyDescent="0.25">
      <c r="A38" t="s">
        <v>45</v>
      </c>
      <c r="B38" t="str" cm="1">
        <f t="array" ref="B38:F38">_xlfn.TEXTSPLIT(A38,"_")</f>
        <v>MVPRP</v>
      </c>
      <c r="C38" t="str">
        <v>C30</v>
      </c>
      <c r="D38" t="str">
        <v>P3</v>
      </c>
      <c r="E38" t="str">
        <v>V3</v>
      </c>
      <c r="F38" t="str">
        <v>I3</v>
      </c>
      <c r="G38">
        <v>41464</v>
      </c>
      <c r="H38">
        <v>41464</v>
      </c>
      <c r="I38">
        <v>0</v>
      </c>
      <c r="J38">
        <v>12.4477450847626</v>
      </c>
      <c r="K38">
        <v>36026</v>
      </c>
      <c r="L38">
        <v>35744.762171535003</v>
      </c>
      <c r="M38">
        <v>7.8065238567977804E-3</v>
      </c>
      <c r="N38">
        <v>3600.05626797676</v>
      </c>
      <c r="O38">
        <v>36802.081355002701</v>
      </c>
      <c r="P38">
        <v>36802.081355002701</v>
      </c>
      <c r="Q38">
        <v>0</v>
      </c>
      <c r="R38">
        <v>0.18238306045532199</v>
      </c>
      <c r="S38">
        <v>36515.833673796398</v>
      </c>
      <c r="T38">
        <v>35987.131236411798</v>
      </c>
      <c r="U38">
        <v>1.44787174272826E-2</v>
      </c>
      <c r="V38">
        <v>3600.0739946365402</v>
      </c>
      <c r="X38" s="8">
        <f t="shared" si="8"/>
        <v>4948.1663262036018</v>
      </c>
      <c r="Y38" s="10">
        <f t="shared" si="9"/>
        <v>13.550741769739147</v>
      </c>
      <c r="Z38" s="10">
        <f t="shared" si="3"/>
        <v>13.550741769739147</v>
      </c>
      <c r="AA38" s="10">
        <f t="shared" si="10"/>
        <v>14.998613512467548</v>
      </c>
      <c r="AC38" s="8">
        <f t="shared" si="7"/>
        <v>286.24768120630324</v>
      </c>
      <c r="AD38" s="10">
        <f t="shared" si="11"/>
        <v>0.78390016715327882</v>
      </c>
      <c r="AE38" s="10">
        <f t="shared" si="6"/>
        <v>2.2317719098816786</v>
      </c>
    </row>
    <row r="39" spans="1:31" x14ac:dyDescent="0.25">
      <c r="A39" t="s">
        <v>51</v>
      </c>
      <c r="B39" t="str" cm="1">
        <f t="array" ref="B39:F39">_xlfn.TEXTSPLIT(A39,"_")</f>
        <v>MVPRP</v>
      </c>
      <c r="C39" t="str">
        <v>C30</v>
      </c>
      <c r="D39" t="str">
        <v>P6</v>
      </c>
      <c r="E39" t="str">
        <v>V3</v>
      </c>
      <c r="F39" t="str">
        <v>I3</v>
      </c>
      <c r="G39">
        <v>82749</v>
      </c>
      <c r="H39">
        <v>82465.450241958504</v>
      </c>
      <c r="I39">
        <v>3.4266245881103001E-3</v>
      </c>
      <c r="J39">
        <v>3600.7795357704199</v>
      </c>
      <c r="K39">
        <v>74518.499908963393</v>
      </c>
      <c r="L39">
        <v>73724.5142886432</v>
      </c>
      <c r="M39">
        <v>1.06548792754849E-2</v>
      </c>
      <c r="N39">
        <v>3600.07070803642</v>
      </c>
      <c r="O39">
        <v>77354.526374788198</v>
      </c>
      <c r="P39">
        <v>77352.388431525804</v>
      </c>
      <c r="Q39">
        <v>2.76382438443287E-5</v>
      </c>
      <c r="R39">
        <v>0.71352505683898904</v>
      </c>
      <c r="S39">
        <v>81327.520434716396</v>
      </c>
      <c r="T39">
        <v>73549.844015917406</v>
      </c>
      <c r="U39">
        <v>9.5634004052077004E-2</v>
      </c>
      <c r="V39">
        <v>3600.1991057395899</v>
      </c>
      <c r="X39" s="8">
        <f t="shared" si="8"/>
        <v>1421.4795652836037</v>
      </c>
      <c r="Y39" s="10">
        <f t="shared" si="9"/>
        <v>1.7478456956334483</v>
      </c>
      <c r="Z39" s="10">
        <f t="shared" si="3"/>
        <v>1.3991940257855915</v>
      </c>
      <c r="AA39" s="10">
        <f t="shared" si="10"/>
        <v>11.311246100841084</v>
      </c>
      <c r="AC39" s="8">
        <f t="shared" si="7"/>
        <v>0</v>
      </c>
      <c r="AD39" s="10">
        <f t="shared" si="11"/>
        <v>0</v>
      </c>
      <c r="AE39" s="10">
        <f t="shared" si="6"/>
        <v>4.6782224990185268</v>
      </c>
    </row>
    <row r="40" spans="1:31" x14ac:dyDescent="0.25">
      <c r="A40" t="s">
        <v>34</v>
      </c>
      <c r="B40" t="str" cm="1">
        <f t="array" ref="B40:F40">_xlfn.TEXTSPLIT(A40,"_")</f>
        <v>MVPRP</v>
      </c>
      <c r="C40" t="str">
        <v>C30</v>
      </c>
      <c r="D40" t="str">
        <v>P9</v>
      </c>
      <c r="E40" t="str">
        <v>V3</v>
      </c>
      <c r="F40" t="str">
        <v>I3</v>
      </c>
      <c r="G40">
        <v>154135</v>
      </c>
      <c r="H40">
        <v>146428.66490523101</v>
      </c>
      <c r="I40">
        <v>4.9997308169909799E-2</v>
      </c>
      <c r="J40">
        <v>3600.0424265861502</v>
      </c>
      <c r="K40">
        <v>136171.999986562</v>
      </c>
      <c r="L40">
        <v>133302.284555272</v>
      </c>
      <c r="M40">
        <v>2.10741961017923E-2</v>
      </c>
      <c r="N40">
        <v>3600.0624740123799</v>
      </c>
      <c r="O40">
        <v>144519.29233386801</v>
      </c>
      <c r="P40">
        <v>144517.677953078</v>
      </c>
      <c r="Q40">
        <v>1.1170693993125501E-5</v>
      </c>
      <c r="R40">
        <v>2.3734269142150901</v>
      </c>
      <c r="S40">
        <v>157657.821480538</v>
      </c>
      <c r="T40">
        <v>130614.944393093</v>
      </c>
      <c r="U40">
        <v>0.171528927860917</v>
      </c>
      <c r="V40">
        <v>3600.2395980358101</v>
      </c>
      <c r="X40" s="8">
        <f t="shared" si="8"/>
        <v>0</v>
      </c>
      <c r="Y40" s="10">
        <f t="shared" si="9"/>
        <v>0</v>
      </c>
      <c r="Z40" s="10">
        <f t="shared" si="3"/>
        <v>0</v>
      </c>
      <c r="AA40" s="10">
        <f t="shared" si="10"/>
        <v>14.918419768860261</v>
      </c>
      <c r="AC40" s="8">
        <f t="shared" si="7"/>
        <v>0</v>
      </c>
      <c r="AD40" s="10">
        <f t="shared" si="11"/>
        <v>0</v>
      </c>
      <c r="AE40" s="10">
        <f t="shared" si="6"/>
        <v>8.8193201010908489</v>
      </c>
    </row>
    <row r="41" spans="1:31" x14ac:dyDescent="0.25">
      <c r="A41" t="s">
        <v>42</v>
      </c>
      <c r="B41" t="str" cm="1">
        <f t="array" ref="B41:F41">_xlfn.TEXTSPLIT(A41,"_")</f>
        <v>MVPRP</v>
      </c>
      <c r="C41" t="str">
        <v>C35</v>
      </c>
      <c r="D41" t="str">
        <v>P3</v>
      </c>
      <c r="E41" t="str">
        <v>V3</v>
      </c>
      <c r="F41" t="str">
        <v>I3</v>
      </c>
      <c r="G41">
        <v>49960</v>
      </c>
      <c r="H41">
        <v>49958.861801242201</v>
      </c>
      <c r="I41">
        <v>2.2782200915835899E-5</v>
      </c>
      <c r="J41">
        <v>111.026981592178</v>
      </c>
      <c r="K41">
        <v>44185.999043605101</v>
      </c>
      <c r="L41">
        <v>43510.528620756799</v>
      </c>
      <c r="M41">
        <v>1.52869786237405E-2</v>
      </c>
      <c r="N41">
        <v>3600.06271195412</v>
      </c>
      <c r="O41">
        <v>45016.600720531897</v>
      </c>
      <c r="P41">
        <v>45016.600720531897</v>
      </c>
      <c r="Q41">
        <v>0</v>
      </c>
      <c r="R41">
        <v>0.25788283348083502</v>
      </c>
      <c r="S41">
        <v>46757.813169665103</v>
      </c>
      <c r="T41">
        <v>43252.147205412097</v>
      </c>
      <c r="U41">
        <v>7.4974976941977897E-2</v>
      </c>
      <c r="V41">
        <v>3600.18128275871</v>
      </c>
      <c r="X41" s="8">
        <f t="shared" si="8"/>
        <v>3202.1868303348965</v>
      </c>
      <c r="Y41" s="10">
        <f t="shared" si="9"/>
        <v>6.8484529392242148</v>
      </c>
      <c r="Z41" s="10">
        <f t="shared" si="3"/>
        <v>6.8460186963017131</v>
      </c>
      <c r="AA41" s="10">
        <f t="shared" si="10"/>
        <v>14.345950633422122</v>
      </c>
      <c r="AC41" s="8">
        <f t="shared" si="7"/>
        <v>0</v>
      </c>
      <c r="AD41" s="10">
        <f t="shared" si="11"/>
        <v>0</v>
      </c>
      <c r="AE41" s="10">
        <f t="shared" si="6"/>
        <v>3.7736014486334399</v>
      </c>
    </row>
    <row r="42" spans="1:31" x14ac:dyDescent="0.25">
      <c r="A42" t="s">
        <v>47</v>
      </c>
      <c r="B42" t="str" cm="1">
        <f t="array" ref="B42:F42">_xlfn.TEXTSPLIT(A42,"_")</f>
        <v>MVPRP</v>
      </c>
      <c r="C42" t="str">
        <v>C35</v>
      </c>
      <c r="D42" t="str">
        <v>P6</v>
      </c>
      <c r="E42" t="str">
        <v>V3</v>
      </c>
      <c r="F42" t="str">
        <v>I3</v>
      </c>
      <c r="G42">
        <v>99886</v>
      </c>
      <c r="H42">
        <v>98851.925147300106</v>
      </c>
      <c r="I42">
        <v>1.03525504344943E-2</v>
      </c>
      <c r="J42">
        <v>3601.8449048995999</v>
      </c>
      <c r="K42">
        <v>90834</v>
      </c>
      <c r="L42">
        <v>89349.516171641706</v>
      </c>
      <c r="M42">
        <v>1.63428212823209E-2</v>
      </c>
      <c r="N42">
        <v>3600.0530130863199</v>
      </c>
      <c r="O42">
        <v>95763.458077276504</v>
      </c>
      <c r="P42">
        <v>95761.543621923396</v>
      </c>
      <c r="Q42">
        <v>1.9991501888549501E-5</v>
      </c>
      <c r="R42">
        <v>0.98432803153991699</v>
      </c>
      <c r="S42">
        <v>99325.829583081199</v>
      </c>
      <c r="T42">
        <v>87617.019638080907</v>
      </c>
      <c r="U42">
        <v>0.11788283062067401</v>
      </c>
      <c r="V42">
        <v>3600.0582647323599</v>
      </c>
      <c r="X42" s="8">
        <f t="shared" si="8"/>
        <v>560.17041691880149</v>
      </c>
      <c r="Y42" s="10">
        <f t="shared" si="9"/>
        <v>0.56397255303087734</v>
      </c>
      <c r="Z42" s="10">
        <f t="shared" si="3"/>
        <v>0</v>
      </c>
      <c r="AA42" s="10">
        <f t="shared" si="10"/>
        <v>12.352255615098278</v>
      </c>
      <c r="AC42" s="8">
        <f t="shared" si="7"/>
        <v>0</v>
      </c>
      <c r="AD42" s="10">
        <f t="shared" si="11"/>
        <v>0</v>
      </c>
      <c r="AE42" s="10">
        <f t="shared" si="6"/>
        <v>8.2017320906255318</v>
      </c>
    </row>
    <row r="43" spans="1:31" x14ac:dyDescent="0.25">
      <c r="A43" t="s">
        <v>36</v>
      </c>
      <c r="B43" t="str" cm="1">
        <f t="array" ref="B43:F43">_xlfn.TEXTSPLIT(A43,"_")</f>
        <v>MVPRP</v>
      </c>
      <c r="C43" t="str">
        <v>C40</v>
      </c>
      <c r="D43" t="str">
        <v>P3</v>
      </c>
      <c r="E43" t="str">
        <v>V3</v>
      </c>
      <c r="F43" t="str">
        <v>I3</v>
      </c>
      <c r="G43">
        <v>61830</v>
      </c>
      <c r="H43">
        <v>61827.609761093801</v>
      </c>
      <c r="I43">
        <v>3.8658238819792197E-5</v>
      </c>
      <c r="J43">
        <v>2714.9084372520401</v>
      </c>
      <c r="K43">
        <v>54377.998651985297</v>
      </c>
      <c r="L43">
        <v>53634.238078731098</v>
      </c>
      <c r="M43">
        <v>1.3677601083008801E-2</v>
      </c>
      <c r="N43">
        <v>3600.04021906853</v>
      </c>
      <c r="O43">
        <v>55163.152852195402</v>
      </c>
      <c r="P43">
        <v>55158.754570694698</v>
      </c>
      <c r="Q43">
        <v>7.9732235618444502E-5</v>
      </c>
      <c r="R43">
        <v>0.62129092216491699</v>
      </c>
      <c r="S43">
        <v>55442.306989568999</v>
      </c>
      <c r="T43">
        <v>52779.501307745799</v>
      </c>
      <c r="U43">
        <v>4.8028406940646001E-2</v>
      </c>
      <c r="V43">
        <v>3600.1434149742099</v>
      </c>
      <c r="X43" s="8">
        <f t="shared" si="8"/>
        <v>6387.6930104310013</v>
      </c>
      <c r="Y43" s="10">
        <f t="shared" si="9"/>
        <v>11.521333359437572</v>
      </c>
      <c r="Z43" s="10">
        <f t="shared" si="3"/>
        <v>11.517022141099114</v>
      </c>
      <c r="AA43" s="10">
        <f t="shared" si="10"/>
        <v>16.324174053502094</v>
      </c>
      <c r="AC43" s="8">
        <f t="shared" si="7"/>
        <v>0</v>
      </c>
      <c r="AD43" s="10">
        <f t="shared" si="11"/>
        <v>0</v>
      </c>
      <c r="AE43" s="10">
        <f t="shared" si="6"/>
        <v>4.2993368672376269</v>
      </c>
    </row>
    <row r="44" spans="1:31" x14ac:dyDescent="0.25">
      <c r="A44" t="s">
        <v>67</v>
      </c>
      <c r="B44" t="str" cm="1">
        <f t="array" ref="B44:F44">_xlfn.TEXTSPLIT(A44,"_")</f>
        <v>MVPRP</v>
      </c>
      <c r="C44" t="str">
        <v>C40</v>
      </c>
      <c r="D44" t="str">
        <v>P6</v>
      </c>
      <c r="E44" t="str">
        <v>V3</v>
      </c>
      <c r="F44" t="str">
        <v>I3</v>
      </c>
      <c r="G44">
        <v>126608</v>
      </c>
      <c r="H44">
        <v>121582.536354082</v>
      </c>
      <c r="I44">
        <v>3.9693097165408898E-2</v>
      </c>
      <c r="J44">
        <v>3605.21713376045</v>
      </c>
      <c r="K44">
        <v>114580.499510803</v>
      </c>
      <c r="L44">
        <v>112321.893269849</v>
      </c>
      <c r="M44">
        <v>1.9711960155501002E-2</v>
      </c>
      <c r="N44">
        <v>3600.0457360744499</v>
      </c>
      <c r="O44">
        <v>118796.383601792</v>
      </c>
      <c r="P44">
        <v>118792.955030364</v>
      </c>
      <c r="Q44">
        <v>2.8860907416903599E-5</v>
      </c>
      <c r="R44">
        <v>2.8724479675293</v>
      </c>
      <c r="S44">
        <v>126853.990983268</v>
      </c>
      <c r="T44">
        <v>109864.894297905</v>
      </c>
      <c r="U44">
        <v>0.13392638697196799</v>
      </c>
      <c r="V44">
        <v>3600.1987092495001</v>
      </c>
      <c r="X44" s="8">
        <f t="shared" si="8"/>
        <v>0</v>
      </c>
      <c r="Y44" s="10">
        <f t="shared" si="9"/>
        <v>0</v>
      </c>
      <c r="Z44" s="10">
        <f t="shared" si="3"/>
        <v>0</v>
      </c>
      <c r="AA44" s="10">
        <f t="shared" si="10"/>
        <v>13.198722068037579</v>
      </c>
      <c r="AC44" s="8">
        <f t="shared" si="7"/>
        <v>0</v>
      </c>
      <c r="AD44" s="10">
        <f t="shared" si="11"/>
        <v>0</v>
      </c>
      <c r="AE44" s="10">
        <f t="shared" si="6"/>
        <v>7.0407633489947132</v>
      </c>
    </row>
    <row r="45" spans="1:31" x14ac:dyDescent="0.25">
      <c r="A45" t="s">
        <v>40</v>
      </c>
      <c r="B45" t="str" cm="1">
        <f t="array" ref="B45:F45">_xlfn.TEXTSPLIT(A45,"_")</f>
        <v>MVPRP</v>
      </c>
      <c r="C45" t="str">
        <v>C45</v>
      </c>
      <c r="D45" t="str">
        <v>P3</v>
      </c>
      <c r="E45" t="str">
        <v>V3</v>
      </c>
      <c r="F45" t="str">
        <v>I3</v>
      </c>
      <c r="G45">
        <v>70029</v>
      </c>
      <c r="H45">
        <v>70029</v>
      </c>
      <c r="I45">
        <v>0</v>
      </c>
      <c r="J45">
        <v>1626.2620828151701</v>
      </c>
      <c r="K45">
        <v>63308.499966032497</v>
      </c>
      <c r="L45">
        <v>61213.621557050799</v>
      </c>
      <c r="M45">
        <v>3.3090002292041801E-2</v>
      </c>
      <c r="N45">
        <v>3600.1742379665402</v>
      </c>
      <c r="O45">
        <v>64703.057426742598</v>
      </c>
      <c r="P45">
        <v>64703.057426707899</v>
      </c>
      <c r="Q45">
        <v>5.3695604179233501E-13</v>
      </c>
      <c r="R45">
        <v>1.1803050041198699</v>
      </c>
      <c r="S45">
        <v>68503.6573462745</v>
      </c>
      <c r="T45">
        <v>60207.194066633303</v>
      </c>
      <c r="U45">
        <v>0.121109785973966</v>
      </c>
      <c r="V45">
        <v>3600.0934727191898</v>
      </c>
      <c r="X45" s="8">
        <f t="shared" si="8"/>
        <v>1525.3426537255</v>
      </c>
      <c r="Y45" s="10">
        <f t="shared" si="9"/>
        <v>2.2266587111037719</v>
      </c>
      <c r="Z45" s="10">
        <f t="shared" si="3"/>
        <v>2.2266587111037719</v>
      </c>
      <c r="AA45" s="10">
        <f t="shared" si="10"/>
        <v>14.337637308500357</v>
      </c>
      <c r="AC45" s="8">
        <f t="shared" si="7"/>
        <v>0</v>
      </c>
      <c r="AD45" s="10">
        <f t="shared" si="11"/>
        <v>0</v>
      </c>
      <c r="AE45" s="10">
        <f t="shared" si="6"/>
        <v>6.5629537666630853</v>
      </c>
    </row>
    <row r="46" spans="1:31" x14ac:dyDescent="0.25">
      <c r="A46" t="s">
        <v>50</v>
      </c>
      <c r="B46" t="str" cm="1">
        <f t="array" ref="B46:F46">_xlfn.TEXTSPLIT(A46,"_")</f>
        <v>MVPRP</v>
      </c>
      <c r="C46" t="str">
        <v>C50</v>
      </c>
      <c r="D46" t="str">
        <v>P3</v>
      </c>
      <c r="E46" t="str">
        <v>V3</v>
      </c>
      <c r="F46" t="str">
        <v>I3</v>
      </c>
      <c r="G46">
        <v>65560</v>
      </c>
      <c r="H46">
        <v>65319.653853376803</v>
      </c>
      <c r="I46">
        <v>3.6660486062108301E-3</v>
      </c>
      <c r="J46">
        <v>3602.6810309886901</v>
      </c>
      <c r="K46">
        <v>59060.999700654</v>
      </c>
      <c r="L46">
        <v>57483.592799488601</v>
      </c>
      <c r="M46">
        <v>2.6708096868668301E-2</v>
      </c>
      <c r="N46">
        <v>3600.1775269508398</v>
      </c>
      <c r="O46">
        <v>60442.363051764703</v>
      </c>
      <c r="P46">
        <v>60438.1314362423</v>
      </c>
      <c r="Q46">
        <v>7.0010755846874905E-5</v>
      </c>
      <c r="R46">
        <v>0.84387683868408203</v>
      </c>
      <c r="S46">
        <v>62759.488721913804</v>
      </c>
      <c r="T46">
        <v>57039.4868653382</v>
      </c>
      <c r="U46">
        <v>9.1141626120008604E-2</v>
      </c>
      <c r="V46">
        <v>3600.0841708183302</v>
      </c>
      <c r="X46" s="8">
        <f t="shared" si="8"/>
        <v>2800.5112780861964</v>
      </c>
      <c r="Y46" s="10">
        <f t="shared" si="9"/>
        <v>4.462291416195586</v>
      </c>
      <c r="Z46" s="10">
        <f t="shared" si="3"/>
        <v>4.0793275783476295</v>
      </c>
      <c r="AA46" s="10">
        <f t="shared" si="10"/>
        <v>13.576454028196508</v>
      </c>
      <c r="AC46" s="8">
        <f t="shared" si="7"/>
        <v>0</v>
      </c>
      <c r="AD46" s="10">
        <f t="shared" si="11"/>
        <v>0</v>
      </c>
      <c r="AE46" s="10">
        <f t="shared" si="6"/>
        <v>5.4220903575307764</v>
      </c>
    </row>
    <row r="47" spans="1:31" x14ac:dyDescent="0.25">
      <c r="A47" t="s">
        <v>128</v>
      </c>
      <c r="G47">
        <v>64033.190401564221</v>
      </c>
      <c r="H47">
        <v>63533.483981561491</v>
      </c>
      <c r="I47">
        <v>3.9583105672881241E-3</v>
      </c>
      <c r="J47">
        <v>1496.8823753027691</v>
      </c>
      <c r="K47">
        <v>58935.261502357222</v>
      </c>
      <c r="L47">
        <v>58362.164315592745</v>
      </c>
      <c r="M47">
        <v>7.1786612994721539E-3</v>
      </c>
      <c r="N47">
        <v>2697.7316566876011</v>
      </c>
      <c r="O47">
        <v>60737.868617987784</v>
      </c>
      <c r="P47">
        <v>60737.078570094804</v>
      </c>
      <c r="Q47">
        <v>1.1337373723277961E-5</v>
      </c>
      <c r="R47">
        <v>0.64090712865193666</v>
      </c>
      <c r="S47">
        <v>61941.854098595875</v>
      </c>
      <c r="T47">
        <v>58142.947465785859</v>
      </c>
      <c r="U47">
        <v>3.9420741642234414E-2</v>
      </c>
      <c r="V47">
        <v>2695.1592345010667</v>
      </c>
      <c r="X47" s="7">
        <f>AVERAGE(X26:X46,X4:X24)</f>
        <v>2397.7537744274291</v>
      </c>
      <c r="Y47" s="9">
        <f>AVERAGE(Y26:Y46,Y4:Y24)</f>
        <v>5.3342776940313348</v>
      </c>
      <c r="Z47" s="9">
        <f>AVERAGE(Z26:Z46,Z4:Z24)</f>
        <v>5.2287837491474631</v>
      </c>
      <c r="AA47" s="9">
        <f>AVERAGE(AA26:AA46,AA4:AA24)</f>
        <v>9.0233231149409754</v>
      </c>
      <c r="AC47" s="7">
        <f>AVERAGE(AC26:AC46,AC4:AC24)</f>
        <v>217.55684525262686</v>
      </c>
      <c r="AD47" s="9">
        <f>AVERAGE(AD26:AD46,AD4:AD24)</f>
        <v>0.29192657807402972</v>
      </c>
      <c r="AE47" s="9">
        <f>AVERAGE(AE26:AE46,AE4:AE24)</f>
        <v>2.8372045434594559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8B7CF-042D-42E7-B940-B978A18B4FEE}">
  <dimension ref="A1:P10"/>
  <sheetViews>
    <sheetView topLeftCell="J1" workbookViewId="0">
      <selection activeCell="O2" sqref="O2"/>
    </sheetView>
  </sheetViews>
  <sheetFormatPr baseColWidth="10" defaultRowHeight="13.2" x14ac:dyDescent="0.25"/>
  <cols>
    <col min="1" max="1" width="22.44140625" bestFit="1" customWidth="1"/>
    <col min="2" max="2" width="57.5546875" bestFit="1" customWidth="1"/>
    <col min="3" max="3" width="57.44140625" bestFit="1" customWidth="1"/>
    <col min="4" max="4" width="58.6640625" bestFit="1" customWidth="1"/>
    <col min="5" max="5" width="47.33203125" bestFit="1" customWidth="1"/>
    <col min="6" max="6" width="53" bestFit="1" customWidth="1"/>
    <col min="7" max="7" width="60.5546875" bestFit="1" customWidth="1"/>
    <col min="8" max="8" width="60.44140625" bestFit="1" customWidth="1"/>
    <col min="9" max="9" width="61.6640625" bestFit="1" customWidth="1"/>
    <col min="10" max="10" width="18.44140625" bestFit="1" customWidth="1"/>
    <col min="11" max="11" width="21" bestFit="1" customWidth="1"/>
    <col min="12" max="12" width="23" bestFit="1" customWidth="1"/>
    <col min="13" max="13" width="23.5546875" bestFit="1" customWidth="1"/>
    <col min="14" max="14" width="18.44140625" bestFit="1" customWidth="1"/>
    <col min="15" max="15" width="21" bestFit="1" customWidth="1"/>
    <col min="16" max="16" width="25.109375" bestFit="1" customWidth="1"/>
  </cols>
  <sheetData>
    <row r="1" spans="1:16" x14ac:dyDescent="0.25">
      <c r="A1" s="3" t="s">
        <v>127</v>
      </c>
      <c r="B1" t="s">
        <v>167</v>
      </c>
      <c r="C1" t="s">
        <v>168</v>
      </c>
      <c r="D1" t="s">
        <v>169</v>
      </c>
      <c r="E1" t="s">
        <v>170</v>
      </c>
      <c r="F1" t="s">
        <v>171</v>
      </c>
      <c r="G1" t="s">
        <v>172</v>
      </c>
      <c r="H1" t="s">
        <v>173</v>
      </c>
      <c r="I1" t="s">
        <v>174</v>
      </c>
      <c r="J1" t="s">
        <v>178</v>
      </c>
      <c r="K1" t="s">
        <v>175</v>
      </c>
      <c r="L1" t="s">
        <v>176</v>
      </c>
      <c r="M1" t="s">
        <v>177</v>
      </c>
      <c r="N1" t="s">
        <v>179</v>
      </c>
      <c r="O1" t="s">
        <v>180</v>
      </c>
      <c r="P1" t="s">
        <v>181</v>
      </c>
    </row>
    <row r="2" spans="1:16" x14ac:dyDescent="0.25">
      <c r="A2" s="4" t="s">
        <v>130</v>
      </c>
      <c r="B2">
        <v>53806.857073144136</v>
      </c>
      <c r="C2">
        <v>53718.163092660332</v>
      </c>
      <c r="D2">
        <v>9.9626885104568924E-4</v>
      </c>
      <c r="E2">
        <v>51893.844560168007</v>
      </c>
      <c r="F2">
        <v>3.0336186947230548E-3</v>
      </c>
      <c r="G2">
        <v>52760.365241222018</v>
      </c>
      <c r="H2">
        <v>51260.482776775134</v>
      </c>
      <c r="I2">
        <v>1.7348406971529205E-2</v>
      </c>
      <c r="J2" s="8">
        <v>1479.859514659058</v>
      </c>
      <c r="K2" s="10">
        <v>3.678171304582964</v>
      </c>
      <c r="L2" s="10">
        <v>3.6127207660331662</v>
      </c>
      <c r="M2" s="10">
        <v>5.0225921173173695</v>
      </c>
      <c r="N2" s="8">
        <v>20.269146016419612</v>
      </c>
      <c r="O2" s="10">
        <v>4.2312820275742853E-2</v>
      </c>
      <c r="P2" s="10">
        <v>0.87076980974799512</v>
      </c>
    </row>
    <row r="3" spans="1:16" x14ac:dyDescent="0.25">
      <c r="A3" s="5" t="s">
        <v>164</v>
      </c>
      <c r="B3">
        <v>32359.777777777777</v>
      </c>
      <c r="C3">
        <v>32359.777777777777</v>
      </c>
      <c r="D3">
        <v>0</v>
      </c>
      <c r="E3">
        <v>30878.595021681293</v>
      </c>
      <c r="F3">
        <v>2.4613174789959655E-3</v>
      </c>
      <c r="G3">
        <v>30965.023677855814</v>
      </c>
      <c r="H3">
        <v>30651.954867994431</v>
      </c>
      <c r="I3">
        <v>7.3398123681814682E-3</v>
      </c>
      <c r="J3" s="8">
        <v>1394.7540999219677</v>
      </c>
      <c r="K3" s="10">
        <v>4.8982690975282681</v>
      </c>
      <c r="L3" s="10">
        <v>4.8982690975282681</v>
      </c>
      <c r="M3" s="10">
        <v>5.6322503343463923</v>
      </c>
      <c r="N3" s="8">
        <v>11.14527277074477</v>
      </c>
      <c r="O3" s="10">
        <v>4.525100708903132E-2</v>
      </c>
      <c r="P3" s="10">
        <v>0.56198161715978046</v>
      </c>
    </row>
    <row r="4" spans="1:16" x14ac:dyDescent="0.25">
      <c r="A4" s="5" t="s">
        <v>165</v>
      </c>
      <c r="B4">
        <v>59037.857113200771</v>
      </c>
      <c r="C4">
        <v>58986.336931182421</v>
      </c>
      <c r="D4">
        <v>5.9254860355219968E-4</v>
      </c>
      <c r="E4">
        <v>57015.211368959674</v>
      </c>
      <c r="F4">
        <v>2.9911637736056815E-3</v>
      </c>
      <c r="G4">
        <v>58097.761454413434</v>
      </c>
      <c r="H4">
        <v>56549.037052124957</v>
      </c>
      <c r="I4">
        <v>1.8090297834570005E-2</v>
      </c>
      <c r="J4" s="8">
        <v>1367.8371318075426</v>
      </c>
      <c r="K4" s="10">
        <v>2.9235522002304353</v>
      </c>
      <c r="L4" s="10">
        <v>2.8993775081492386</v>
      </c>
      <c r="M4" s="10">
        <v>4.3047857112958017</v>
      </c>
      <c r="N4" s="8">
        <v>10.676896329342396</v>
      </c>
      <c r="O4" s="10">
        <v>2.0193438084367937E-2</v>
      </c>
      <c r="P4" s="10">
        <v>0.62826112551641045</v>
      </c>
    </row>
    <row r="5" spans="1:16" x14ac:dyDescent="0.25">
      <c r="A5" s="5" t="s">
        <v>166</v>
      </c>
      <c r="B5">
        <v>85088.199748724306</v>
      </c>
      <c r="C5">
        <v>84787.813285518016</v>
      </c>
      <c r="D5">
        <v>3.354761129418815E-3</v>
      </c>
      <c r="E5">
        <v>82551.380197135775</v>
      </c>
      <c r="F5">
        <v>4.1231977725961393E-3</v>
      </c>
      <c r="G5">
        <v>84519.625356813165</v>
      </c>
      <c r="H5">
        <v>80951.857027090678</v>
      </c>
      <c r="I5">
        <v>3.4325230049298015E-2</v>
      </c>
      <c r="J5" s="8">
        <v>1789.8805971779425</v>
      </c>
      <c r="K5" s="10">
        <v>2.5384620233749562</v>
      </c>
      <c r="L5" s="10">
        <v>2.2974143303794845</v>
      </c>
      <c r="M5" s="10">
        <v>4.9301362950953251</v>
      </c>
      <c r="N5" s="8">
        <v>50.121267420542424</v>
      </c>
      <c r="O5" s="10">
        <v>6.7991219079748505E-2</v>
      </c>
      <c r="P5" s="10">
        <v>1.7661007143310006</v>
      </c>
    </row>
    <row r="6" spans="1:16" x14ac:dyDescent="0.25">
      <c r="A6" s="4" t="s">
        <v>131</v>
      </c>
      <c r="B6">
        <v>74259.523729984299</v>
      </c>
      <c r="C6">
        <v>73348.804870462642</v>
      </c>
      <c r="D6">
        <v>6.9203522835305587E-3</v>
      </c>
      <c r="E6">
        <v>69581.892675807539</v>
      </c>
      <c r="F6">
        <v>1.1323703904221251E-2</v>
      </c>
      <c r="G6">
        <v>71123.342955969754</v>
      </c>
      <c r="H6">
        <v>65025.412154796533</v>
      </c>
      <c r="I6">
        <v>6.1493076312939605E-2</v>
      </c>
      <c r="J6" s="8">
        <v>3315.6480341958008</v>
      </c>
      <c r="K6" s="10">
        <v>6.9903840834797029</v>
      </c>
      <c r="L6" s="10">
        <v>6.8448467322617592</v>
      </c>
      <c r="M6" s="10">
        <v>13.024054112564583</v>
      </c>
      <c r="N6" s="8">
        <v>414.84454448883412</v>
      </c>
      <c r="O6" s="10">
        <v>0.54154033587231654</v>
      </c>
      <c r="P6" s="10">
        <v>4.8036392771709178</v>
      </c>
    </row>
    <row r="7" spans="1:16" x14ac:dyDescent="0.25">
      <c r="A7" s="5" t="s">
        <v>164</v>
      </c>
      <c r="B7">
        <v>45719.333333333336</v>
      </c>
      <c r="C7">
        <v>45692.23615730142</v>
      </c>
      <c r="D7">
        <v>4.1416544954960645E-4</v>
      </c>
      <c r="E7">
        <v>41147.679866315222</v>
      </c>
      <c r="F7">
        <v>1.0729911701489868E-2</v>
      </c>
      <c r="G7">
        <v>42010.802815652722</v>
      </c>
      <c r="H7">
        <v>39708.940027012053</v>
      </c>
      <c r="I7">
        <v>3.8869484932707671E-2</v>
      </c>
      <c r="J7" s="8">
        <v>3708.5305176805996</v>
      </c>
      <c r="K7" s="10">
        <v>10.358666902827389</v>
      </c>
      <c r="L7" s="10">
        <v>10.315365869593066</v>
      </c>
      <c r="M7" s="10">
        <v>14.245615396098181</v>
      </c>
      <c r="N7" s="8">
        <v>41.109514683355684</v>
      </c>
      <c r="O7" s="10">
        <v>0.12184713890305193</v>
      </c>
      <c r="P7" s="10">
        <v>2.5124070591077317</v>
      </c>
    </row>
    <row r="8" spans="1:16" x14ac:dyDescent="0.25">
      <c r="A8" s="5" t="s">
        <v>165</v>
      </c>
      <c r="B8">
        <v>79285.571253627175</v>
      </c>
      <c r="C8">
        <v>78337.205578847526</v>
      </c>
      <c r="D8">
        <v>8.1891386217161112E-3</v>
      </c>
      <c r="E8">
        <v>74522.943560109547</v>
      </c>
      <c r="F8">
        <v>9.2625216291552809E-3</v>
      </c>
      <c r="G8">
        <v>76395.394134673916</v>
      </c>
      <c r="H8">
        <v>70209.138389170592</v>
      </c>
      <c r="I8">
        <v>6.441308327817967E-2</v>
      </c>
      <c r="J8" s="8">
        <v>2925.3186879915293</v>
      </c>
      <c r="K8" s="10">
        <v>5.24558919355293</v>
      </c>
      <c r="L8" s="10">
        <v>5.0572990140676621</v>
      </c>
      <c r="M8" s="10">
        <v>11.659195145776703</v>
      </c>
      <c r="N8" s="8">
        <v>355.11698932261578</v>
      </c>
      <c r="O8" s="10">
        <v>0.64377026658142644</v>
      </c>
      <c r="P8" s="10">
        <v>4.9674208478517938</v>
      </c>
    </row>
    <row r="9" spans="1:16" x14ac:dyDescent="0.25">
      <c r="A9" s="5" t="s">
        <v>166</v>
      </c>
      <c r="B9">
        <v>118595.39991085604</v>
      </c>
      <c r="C9">
        <v>116146.86756241406</v>
      </c>
      <c r="D9">
        <v>1.6855187711236497E-2</v>
      </c>
      <c r="E9">
        <v>113846.0044948709</v>
      </c>
      <c r="F9">
        <v>1.5278185054230096E-2</v>
      </c>
      <c r="G9">
        <v>116145.04355835449</v>
      </c>
      <c r="H9">
        <v>103337.8452566849</v>
      </c>
      <c r="I9">
        <v>9.812753104602101E-2</v>
      </c>
      <c r="J9" s="8">
        <v>3154.9206486091425</v>
      </c>
      <c r="K9" s="10">
        <v>3.3701878545513524</v>
      </c>
      <c r="L9" s="10">
        <v>3.1004790905371471</v>
      </c>
      <c r="M9" s="10">
        <v>12.736046355707151</v>
      </c>
      <c r="N9" s="8">
        <v>1171.1861753714009</v>
      </c>
      <c r="O9" s="10">
        <v>1.1538661874242386</v>
      </c>
      <c r="P9" s="10">
        <v>8.6985630707314208</v>
      </c>
    </row>
    <row r="10" spans="1:16" x14ac:dyDescent="0.25">
      <c r="A10" s="4" t="s">
        <v>128</v>
      </c>
      <c r="B10">
        <v>64033.190401564221</v>
      </c>
      <c r="C10">
        <v>63533.483981561491</v>
      </c>
      <c r="D10">
        <v>3.9583105672881241E-3</v>
      </c>
      <c r="E10">
        <v>60737.86861798777</v>
      </c>
      <c r="F10">
        <v>7.1786612994721522E-3</v>
      </c>
      <c r="G10">
        <v>61941.854098595875</v>
      </c>
      <c r="H10">
        <v>58142.947465785823</v>
      </c>
      <c r="I10">
        <v>3.9420741642234407E-2</v>
      </c>
      <c r="J10" s="8">
        <v>2397.7537744274291</v>
      </c>
      <c r="K10" s="10">
        <v>5.3342776940313339</v>
      </c>
      <c r="L10" s="10">
        <v>5.2287837491474631</v>
      </c>
      <c r="M10" s="10">
        <v>9.0233231149409772</v>
      </c>
      <c r="N10" s="8">
        <v>217.55684525262686</v>
      </c>
      <c r="O10" s="10">
        <v>0.29192657807402961</v>
      </c>
      <c r="P10" s="10">
        <v>2.8372045434594559</v>
      </c>
    </row>
  </sheetData>
  <pageMargins left="0.7" right="0.7" top="0.78740157499999996" bottom="0.78740157499999996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C168A-AB93-4F65-A60C-809714E0DDCF}">
  <dimension ref="A1:AC43"/>
  <sheetViews>
    <sheetView workbookViewId="0">
      <selection activeCell="AD27" sqref="A27:AD27"/>
    </sheetView>
  </sheetViews>
  <sheetFormatPr baseColWidth="10" defaultRowHeight="13.2" x14ac:dyDescent="0.25"/>
  <sheetData>
    <row r="1" spans="1:29" x14ac:dyDescent="0.25">
      <c r="A1" t="s">
        <v>127</v>
      </c>
      <c r="B1" t="s">
        <v>146</v>
      </c>
      <c r="C1" t="s">
        <v>122</v>
      </c>
      <c r="D1" t="s">
        <v>123</v>
      </c>
      <c r="E1" t="s">
        <v>124</v>
      </c>
      <c r="F1" t="s">
        <v>147</v>
      </c>
      <c r="G1" t="s">
        <v>148</v>
      </c>
      <c r="H1" t="s">
        <v>149</v>
      </c>
      <c r="I1" t="s">
        <v>150</v>
      </c>
      <c r="J1" t="s">
        <v>151</v>
      </c>
      <c r="K1" t="s">
        <v>156</v>
      </c>
      <c r="L1" t="s">
        <v>157</v>
      </c>
      <c r="M1" t="s">
        <v>158</v>
      </c>
      <c r="N1" t="s">
        <v>159</v>
      </c>
      <c r="O1" t="s">
        <v>160</v>
      </c>
      <c r="P1" t="s">
        <v>161</v>
      </c>
      <c r="Q1" t="s">
        <v>162</v>
      </c>
      <c r="R1" t="s">
        <v>163</v>
      </c>
      <c r="S1" t="s">
        <v>152</v>
      </c>
      <c r="T1" t="s">
        <v>153</v>
      </c>
      <c r="U1" t="s">
        <v>154</v>
      </c>
      <c r="V1" t="s">
        <v>155</v>
      </c>
      <c r="W1" t="s">
        <v>139</v>
      </c>
      <c r="X1" t="s">
        <v>140</v>
      </c>
      <c r="Y1" t="s">
        <v>143</v>
      </c>
      <c r="Z1" t="s">
        <v>144</v>
      </c>
      <c r="AA1" t="s">
        <v>142</v>
      </c>
      <c r="AB1" t="s">
        <v>141</v>
      </c>
      <c r="AC1" t="s">
        <v>145</v>
      </c>
    </row>
    <row r="2" spans="1:29" x14ac:dyDescent="0.25">
      <c r="A2" t="s">
        <v>39</v>
      </c>
      <c r="B2" t="str" cm="1">
        <f t="array" ref="B2:F2">_xlfn.TEXTSPLIT(A2,"_")</f>
        <v>MVPRP</v>
      </c>
      <c r="C2" t="str">
        <v>C10</v>
      </c>
      <c r="D2" t="str">
        <v>P3</v>
      </c>
      <c r="E2" t="str">
        <v>V3</v>
      </c>
      <c r="F2" t="str">
        <v>I1</v>
      </c>
      <c r="G2">
        <v>14236</v>
      </c>
      <c r="H2">
        <v>14236</v>
      </c>
      <c r="I2">
        <v>0</v>
      </c>
      <c r="J2">
        <v>2.5246286392211901</v>
      </c>
      <c r="K2">
        <v>13261</v>
      </c>
      <c r="L2">
        <v>13261</v>
      </c>
      <c r="M2">
        <v>0</v>
      </c>
      <c r="N2">
        <v>2.5826830863952601</v>
      </c>
      <c r="O2">
        <v>13310.3697351344</v>
      </c>
      <c r="P2">
        <v>13310.3697351344</v>
      </c>
      <c r="Q2">
        <v>0</v>
      </c>
      <c r="R2">
        <v>3.50089073181152E-2</v>
      </c>
      <c r="S2">
        <v>13310.3697351343</v>
      </c>
      <c r="T2">
        <v>13310.3697351343</v>
      </c>
      <c r="U2">
        <v>0</v>
      </c>
      <c r="V2">
        <v>1.6492121219635001</v>
      </c>
      <c r="W2" s="8">
        <f t="shared" ref="W2:W43" si="0">MAX(G2-S2,0)</f>
        <v>925.63026486570016</v>
      </c>
      <c r="X2" s="10">
        <f t="shared" ref="X2:X43" si="1">W2/S2*100</f>
        <v>6.9542040024807825</v>
      </c>
      <c r="Y2" s="10">
        <f t="shared" ref="Y2:Y43" si="2">MAX((H2-S2),0)/S2*100</f>
        <v>6.9542040024807825</v>
      </c>
      <c r="Z2" s="10">
        <f t="shared" ref="Z2:Z43" si="3">(G2-T2)/S2*100</f>
        <v>6.9542040024807825</v>
      </c>
      <c r="AA2" s="8">
        <f t="shared" ref="AA2:AA43" si="4">MAX(O2-S2,0)</f>
        <v>1.0004441719502211E-10</v>
      </c>
      <c r="AB2" s="10">
        <f t="shared" ref="AB2:AB43" si="5">AA2/S2*100</f>
        <v>7.5162763458736241E-13</v>
      </c>
      <c r="AC2" s="10">
        <f t="shared" ref="AC2:AC43" si="6">(O2-T2)/S2*100</f>
        <v>7.5162763458736241E-13</v>
      </c>
    </row>
    <row r="3" spans="1:29" x14ac:dyDescent="0.25">
      <c r="A3" t="s">
        <v>56</v>
      </c>
      <c r="B3" t="str" cm="1">
        <f t="array" ref="B3:F3">_xlfn.TEXTSPLIT(A3,"_")</f>
        <v>MVPRP</v>
      </c>
      <c r="C3" t="str">
        <v>C10</v>
      </c>
      <c r="D3" t="str">
        <v>P6</v>
      </c>
      <c r="E3" t="str">
        <v>V3</v>
      </c>
      <c r="F3" t="str">
        <v>I1</v>
      </c>
      <c r="G3">
        <v>30297</v>
      </c>
      <c r="H3">
        <v>30297</v>
      </c>
      <c r="I3">
        <v>0</v>
      </c>
      <c r="J3">
        <v>6.7486011981964102</v>
      </c>
      <c r="K3">
        <v>28808.5</v>
      </c>
      <c r="L3">
        <v>28808.5</v>
      </c>
      <c r="M3">
        <v>0</v>
      </c>
      <c r="N3">
        <v>109.88926386833199</v>
      </c>
      <c r="O3">
        <v>28912.325360672399</v>
      </c>
      <c r="P3">
        <v>28912.325360672399</v>
      </c>
      <c r="Q3">
        <v>0</v>
      </c>
      <c r="R3">
        <v>0.128209829330444</v>
      </c>
      <c r="S3">
        <v>28912.325360672399</v>
      </c>
      <c r="T3">
        <v>28912.325360672399</v>
      </c>
      <c r="U3">
        <v>0</v>
      </c>
      <c r="V3">
        <v>9.4827632904052699</v>
      </c>
      <c r="W3" s="8">
        <f t="shared" si="0"/>
        <v>1384.6746393276007</v>
      </c>
      <c r="X3" s="10">
        <f t="shared" si="1"/>
        <v>4.7892192068752992</v>
      </c>
      <c r="Y3" s="10">
        <f t="shared" si="2"/>
        <v>4.7892192068752992</v>
      </c>
      <c r="Z3" s="10">
        <f t="shared" si="3"/>
        <v>4.7892192068752992</v>
      </c>
      <c r="AA3" s="8">
        <f t="shared" si="4"/>
        <v>0</v>
      </c>
      <c r="AB3" s="10">
        <f t="shared" si="5"/>
        <v>0</v>
      </c>
      <c r="AC3" s="10">
        <f t="shared" si="6"/>
        <v>0</v>
      </c>
    </row>
    <row r="4" spans="1:29" x14ac:dyDescent="0.25">
      <c r="A4" t="s">
        <v>71</v>
      </c>
      <c r="B4" t="str" cm="1">
        <f t="array" ref="B4:F4">_xlfn.TEXTSPLIT(A4,"_")</f>
        <v>MVPRP</v>
      </c>
      <c r="C4" t="str">
        <v>C10</v>
      </c>
      <c r="D4" t="str">
        <v>P9</v>
      </c>
      <c r="E4" t="str">
        <v>V3</v>
      </c>
      <c r="F4" t="str">
        <v>I1</v>
      </c>
      <c r="G4">
        <v>52638.999136016602</v>
      </c>
      <c r="H4">
        <v>52635.5040288241</v>
      </c>
      <c r="I4">
        <v>6.6397675675101896E-5</v>
      </c>
      <c r="J4">
        <v>249.137942075729</v>
      </c>
      <c r="K4">
        <v>49829.5</v>
      </c>
      <c r="L4">
        <v>49829.031330077101</v>
      </c>
      <c r="M4">
        <v>9.4054711137442401E-6</v>
      </c>
      <c r="N4">
        <v>707.30213308334396</v>
      </c>
      <c r="O4">
        <v>50231.331443295901</v>
      </c>
      <c r="P4">
        <v>50231.331443295901</v>
      </c>
      <c r="Q4">
        <v>0</v>
      </c>
      <c r="R4">
        <v>0.14565014839172399</v>
      </c>
      <c r="S4">
        <v>50231.331083236597</v>
      </c>
      <c r="T4">
        <v>50231.331083236597</v>
      </c>
      <c r="U4">
        <v>0</v>
      </c>
      <c r="V4">
        <v>1446.8093454837799</v>
      </c>
      <c r="W4" s="8">
        <f t="shared" si="0"/>
        <v>2407.6680527800054</v>
      </c>
      <c r="X4" s="10">
        <f t="shared" si="1"/>
        <v>4.7931599678104133</v>
      </c>
      <c r="Y4" s="10">
        <f t="shared" si="2"/>
        <v>4.7862019455618867</v>
      </c>
      <c r="Z4" s="10">
        <f t="shared" si="3"/>
        <v>4.7931599678104133</v>
      </c>
      <c r="AA4" s="8">
        <f t="shared" si="4"/>
        <v>3.6005930451210588E-4</v>
      </c>
      <c r="AB4" s="10">
        <f t="shared" si="5"/>
        <v>7.1680223626856336E-7</v>
      </c>
      <c r="AC4" s="10">
        <f t="shared" si="6"/>
        <v>7.1680223626856336E-7</v>
      </c>
    </row>
    <row r="5" spans="1:29" x14ac:dyDescent="0.25">
      <c r="A5" t="s">
        <v>64</v>
      </c>
      <c r="B5" t="str" cm="1">
        <f t="array" ref="B5:F5">_xlfn.TEXTSPLIT(A5,"_")</f>
        <v>MVPRP</v>
      </c>
      <c r="C5" t="str">
        <v>C15</v>
      </c>
      <c r="D5" t="str">
        <v>P3</v>
      </c>
      <c r="E5" t="str">
        <v>V3</v>
      </c>
      <c r="F5" t="str">
        <v>I1</v>
      </c>
      <c r="G5">
        <v>19989</v>
      </c>
      <c r="H5">
        <v>19989</v>
      </c>
      <c r="I5">
        <v>0</v>
      </c>
      <c r="J5">
        <v>7.2398519515991202</v>
      </c>
      <c r="K5">
        <v>18787</v>
      </c>
      <c r="L5">
        <v>18787</v>
      </c>
      <c r="M5">
        <v>0</v>
      </c>
      <c r="N5">
        <v>65.541598081588802</v>
      </c>
      <c r="O5">
        <v>18984.126365642202</v>
      </c>
      <c r="P5">
        <v>18984.126365642202</v>
      </c>
      <c r="Q5">
        <v>0</v>
      </c>
      <c r="R5">
        <v>6.6889047622680706E-2</v>
      </c>
      <c r="S5">
        <v>18956.9855368877</v>
      </c>
      <c r="T5">
        <v>18956.9855368877</v>
      </c>
      <c r="U5">
        <v>0</v>
      </c>
      <c r="V5">
        <v>72.067611455917401</v>
      </c>
      <c r="W5" s="8">
        <f t="shared" si="0"/>
        <v>1032.0144631123003</v>
      </c>
      <c r="X5" s="10">
        <f t="shared" si="1"/>
        <v>5.4439797989197247</v>
      </c>
      <c r="Y5" s="10">
        <f t="shared" si="2"/>
        <v>5.4439797989197247</v>
      </c>
      <c r="Z5" s="10">
        <f t="shared" si="3"/>
        <v>5.4439797989197247</v>
      </c>
      <c r="AA5" s="8">
        <f t="shared" si="4"/>
        <v>27.140828754501854</v>
      </c>
      <c r="AB5" s="10">
        <f t="shared" si="5"/>
        <v>0.14317059377235644</v>
      </c>
      <c r="AC5" s="10">
        <f t="shared" si="6"/>
        <v>0.14317059377235644</v>
      </c>
    </row>
    <row r="6" spans="1:29" x14ac:dyDescent="0.25">
      <c r="A6" t="s">
        <v>63</v>
      </c>
      <c r="B6" t="str" cm="1">
        <f t="array" ref="B6:F6">_xlfn.TEXTSPLIT(A6,"_")</f>
        <v>MVPRP</v>
      </c>
      <c r="C6" t="str">
        <v>C15</v>
      </c>
      <c r="D6" t="str">
        <v>P6</v>
      </c>
      <c r="E6" t="str">
        <v>V3</v>
      </c>
      <c r="F6" t="str">
        <v>I1</v>
      </c>
      <c r="G6">
        <v>42791</v>
      </c>
      <c r="H6">
        <v>42786.818181818198</v>
      </c>
      <c r="I6">
        <v>9.7726582268017797E-5</v>
      </c>
      <c r="J6">
        <v>581.02645182609604</v>
      </c>
      <c r="K6">
        <v>40840.999735390396</v>
      </c>
      <c r="L6">
        <v>40657.559437697601</v>
      </c>
      <c r="M6">
        <v>4.4915721672193001E-3</v>
      </c>
      <c r="N6">
        <v>3600.0269849300398</v>
      </c>
      <c r="O6">
        <v>41270.954555705597</v>
      </c>
      <c r="P6">
        <v>41270.954555705597</v>
      </c>
      <c r="Q6">
        <v>0</v>
      </c>
      <c r="R6">
        <v>0.24188184738159199</v>
      </c>
      <c r="S6">
        <v>41262.2486082865</v>
      </c>
      <c r="T6">
        <v>40988.612591177</v>
      </c>
      <c r="U6">
        <v>6.6316312449948202E-3</v>
      </c>
      <c r="V6">
        <v>3600.0509643554701</v>
      </c>
      <c r="W6" s="8">
        <f t="shared" si="0"/>
        <v>1528.7513917135002</v>
      </c>
      <c r="X6" s="10">
        <f t="shared" si="1"/>
        <v>3.7049638429217562</v>
      </c>
      <c r="Y6" s="10">
        <f t="shared" si="2"/>
        <v>3.694829111241229</v>
      </c>
      <c r="Z6" s="10">
        <f t="shared" si="3"/>
        <v>4.3681269674213432</v>
      </c>
      <c r="AA6" s="8">
        <f t="shared" si="4"/>
        <v>8.705947419097356</v>
      </c>
      <c r="AB6" s="10">
        <f t="shared" si="5"/>
        <v>2.1099062006400163E-2</v>
      </c>
      <c r="AC6" s="10">
        <f t="shared" si="6"/>
        <v>0.68426218650598758</v>
      </c>
    </row>
    <row r="7" spans="1:29" x14ac:dyDescent="0.25">
      <c r="A7" t="s">
        <v>35</v>
      </c>
      <c r="B7" t="str" cm="1">
        <f t="array" ref="B7:F7">_xlfn.TEXTSPLIT(A7,"_")</f>
        <v>MVPRP</v>
      </c>
      <c r="C7" t="str">
        <v>C15</v>
      </c>
      <c r="D7" t="str">
        <v>P9</v>
      </c>
      <c r="E7" t="str">
        <v>V3</v>
      </c>
      <c r="F7" t="str">
        <v>I1</v>
      </c>
      <c r="G7">
        <v>75988</v>
      </c>
      <c r="H7">
        <v>75255.136008802001</v>
      </c>
      <c r="I7">
        <v>9.64447006366774E-3</v>
      </c>
      <c r="J7">
        <v>3601.1645689010602</v>
      </c>
      <c r="K7">
        <v>72398.999814665207</v>
      </c>
      <c r="L7">
        <v>71861.067706896894</v>
      </c>
      <c r="M7">
        <v>7.4301041332798202E-3</v>
      </c>
      <c r="N7">
        <v>3600.0329861640898</v>
      </c>
      <c r="O7">
        <v>73967.920901733101</v>
      </c>
      <c r="P7">
        <v>73967.920901733101</v>
      </c>
      <c r="Q7">
        <v>0</v>
      </c>
      <c r="R7">
        <v>0.42788386344909701</v>
      </c>
      <c r="S7">
        <v>73717.314924689694</v>
      </c>
      <c r="T7">
        <v>71692.915113215393</v>
      </c>
      <c r="U7">
        <v>2.7461659632374302E-2</v>
      </c>
      <c r="V7">
        <v>3600.0716583728799</v>
      </c>
      <c r="W7" s="8">
        <f t="shared" si="0"/>
        <v>2270.6850753103063</v>
      </c>
      <c r="X7" s="10">
        <f t="shared" si="1"/>
        <v>3.080260150047597</v>
      </c>
      <c r="Y7" s="10">
        <f t="shared" si="2"/>
        <v>2.0861056668753601</v>
      </c>
      <c r="Z7" s="10">
        <f t="shared" si="3"/>
        <v>5.8264261132849269</v>
      </c>
      <c r="AA7" s="8">
        <f t="shared" si="4"/>
        <v>250.60597704340762</v>
      </c>
      <c r="AB7" s="10">
        <f t="shared" si="5"/>
        <v>0.33995537859650621</v>
      </c>
      <c r="AC7" s="10">
        <f t="shared" si="6"/>
        <v>3.0861213418338362</v>
      </c>
    </row>
    <row r="8" spans="1:29" x14ac:dyDescent="0.25">
      <c r="A8" t="s">
        <v>41</v>
      </c>
      <c r="B8" t="str" cm="1">
        <f t="array" ref="B8:F8">_xlfn.TEXTSPLIT(A8,"_")</f>
        <v>MVPRP</v>
      </c>
      <c r="C8" t="str">
        <v>C20</v>
      </c>
      <c r="D8" t="str">
        <v>P3</v>
      </c>
      <c r="E8" t="str">
        <v>V3</v>
      </c>
      <c r="F8" t="str">
        <v>I1</v>
      </c>
      <c r="G8">
        <v>22675</v>
      </c>
      <c r="H8">
        <v>22675</v>
      </c>
      <c r="I8">
        <v>0</v>
      </c>
      <c r="J8">
        <v>7.94667267799377</v>
      </c>
      <c r="K8">
        <v>21264.5</v>
      </c>
      <c r="L8">
        <v>21264.5</v>
      </c>
      <c r="M8">
        <v>0</v>
      </c>
      <c r="N8">
        <v>63.981189012527501</v>
      </c>
      <c r="O8">
        <v>21378.120408857201</v>
      </c>
      <c r="P8">
        <v>21378.120408857201</v>
      </c>
      <c r="Q8">
        <v>0</v>
      </c>
      <c r="R8">
        <v>0.123895883560181</v>
      </c>
      <c r="S8">
        <v>21378.120408857201</v>
      </c>
      <c r="T8">
        <v>21378.120408857201</v>
      </c>
      <c r="U8">
        <v>0</v>
      </c>
      <c r="V8">
        <v>54.9741306304932</v>
      </c>
      <c r="W8" s="8">
        <f t="shared" si="0"/>
        <v>1296.8795911427987</v>
      </c>
      <c r="X8" s="10">
        <f t="shared" si="1"/>
        <v>6.0663873452854471</v>
      </c>
      <c r="Y8" s="10">
        <f t="shared" si="2"/>
        <v>6.0663873452854471</v>
      </c>
      <c r="Z8" s="10">
        <f t="shared" si="3"/>
        <v>6.0663873452854471</v>
      </c>
      <c r="AA8" s="8">
        <f t="shared" si="4"/>
        <v>0</v>
      </c>
      <c r="AB8" s="10">
        <f t="shared" si="5"/>
        <v>0</v>
      </c>
      <c r="AC8" s="10">
        <f t="shared" si="6"/>
        <v>0</v>
      </c>
    </row>
    <row r="9" spans="1:29" x14ac:dyDescent="0.25">
      <c r="A9" t="s">
        <v>38</v>
      </c>
      <c r="B9" t="str" cm="1">
        <f t="array" ref="B9:F9">_xlfn.TEXTSPLIT(A9,"_")</f>
        <v>MVPRP</v>
      </c>
      <c r="C9" t="str">
        <v>C20</v>
      </c>
      <c r="D9" t="str">
        <v>P6</v>
      </c>
      <c r="E9" t="str">
        <v>V3</v>
      </c>
      <c r="F9" t="str">
        <v>I1</v>
      </c>
      <c r="G9">
        <v>48181</v>
      </c>
      <c r="H9">
        <v>48181</v>
      </c>
      <c r="I9">
        <v>0</v>
      </c>
      <c r="J9">
        <v>27.982041597366301</v>
      </c>
      <c r="K9">
        <v>46031.499994193699</v>
      </c>
      <c r="L9">
        <v>45971.462731603198</v>
      </c>
      <c r="M9">
        <v>1.30426474475215E-3</v>
      </c>
      <c r="N9">
        <v>3600.04978013039</v>
      </c>
      <c r="O9">
        <v>46359.723733948202</v>
      </c>
      <c r="P9">
        <v>46359.723733948202</v>
      </c>
      <c r="Q9">
        <v>0</v>
      </c>
      <c r="R9">
        <v>0.28896093368530301</v>
      </c>
      <c r="S9">
        <v>46354.875063957501</v>
      </c>
      <c r="T9">
        <v>46351.189802901397</v>
      </c>
      <c r="U9">
        <v>7.9501046028155405E-5</v>
      </c>
      <c r="V9">
        <v>1966.58666706085</v>
      </c>
      <c r="W9" s="8">
        <f t="shared" si="0"/>
        <v>1826.124936042499</v>
      </c>
      <c r="X9" s="10">
        <f t="shared" si="1"/>
        <v>3.9394452763014209</v>
      </c>
      <c r="Y9" s="10">
        <f t="shared" si="2"/>
        <v>3.9394452763014209</v>
      </c>
      <c r="Z9" s="10">
        <f t="shared" si="3"/>
        <v>3.9473953809042679</v>
      </c>
      <c r="AA9" s="8">
        <f t="shared" si="4"/>
        <v>4.8486699907007278</v>
      </c>
      <c r="AB9" s="10">
        <f t="shared" si="5"/>
        <v>1.0459892263782055E-2</v>
      </c>
      <c r="AC9" s="10">
        <f t="shared" si="6"/>
        <v>1.8409996866628982E-2</v>
      </c>
    </row>
    <row r="10" spans="1:29" x14ac:dyDescent="0.25">
      <c r="A10" t="s">
        <v>68</v>
      </c>
      <c r="B10" t="str" cm="1">
        <f t="array" ref="B10:F10">_xlfn.TEXTSPLIT(A10,"_")</f>
        <v>MVPRP</v>
      </c>
      <c r="C10" t="str">
        <v>C20</v>
      </c>
      <c r="D10" t="str">
        <v>P9</v>
      </c>
      <c r="E10" t="str">
        <v>V3</v>
      </c>
      <c r="F10" t="str">
        <v>I1</v>
      </c>
      <c r="G10">
        <v>83684.999949504898</v>
      </c>
      <c r="H10">
        <v>83678.781075164996</v>
      </c>
      <c r="I10">
        <v>7.4312891721312597E-5</v>
      </c>
      <c r="J10">
        <v>1338.0379493236501</v>
      </c>
      <c r="K10">
        <v>79898.499787247696</v>
      </c>
      <c r="L10">
        <v>79681.443479395995</v>
      </c>
      <c r="M10">
        <v>2.7166506058261602E-3</v>
      </c>
      <c r="N10">
        <v>3600.1542019844101</v>
      </c>
      <c r="O10">
        <v>81173.837618463498</v>
      </c>
      <c r="P10">
        <v>81173.837618463396</v>
      </c>
      <c r="Q10">
        <v>0</v>
      </c>
      <c r="R10">
        <v>0.56210589408874501</v>
      </c>
      <c r="S10">
        <v>81302.077718932502</v>
      </c>
      <c r="T10">
        <v>79769.588477055106</v>
      </c>
      <c r="U10">
        <v>1.88493244560781E-2</v>
      </c>
      <c r="V10">
        <v>3600.03527736664</v>
      </c>
      <c r="W10" s="8">
        <f t="shared" si="0"/>
        <v>2382.9222305723961</v>
      </c>
      <c r="X10" s="10">
        <f t="shared" si="1"/>
        <v>2.9309487499327389</v>
      </c>
      <c r="Y10" s="10">
        <f t="shared" si="2"/>
        <v>2.9232996534835669</v>
      </c>
      <c r="Z10" s="10">
        <f t="shared" si="3"/>
        <v>4.8158811955404985</v>
      </c>
      <c r="AA10" s="8">
        <f t="shared" si="4"/>
        <v>0</v>
      </c>
      <c r="AB10" s="10">
        <f t="shared" si="5"/>
        <v>0</v>
      </c>
      <c r="AC10" s="10">
        <f t="shared" si="6"/>
        <v>1.7271995757143981</v>
      </c>
    </row>
    <row r="11" spans="1:29" x14ac:dyDescent="0.25">
      <c r="A11" t="s">
        <v>55</v>
      </c>
      <c r="B11" t="str" cm="1">
        <f t="array" ref="B11:F11">_xlfn.TEXTSPLIT(A11,"_")</f>
        <v>MVPRP</v>
      </c>
      <c r="C11" t="str">
        <v>C25</v>
      </c>
      <c r="D11" t="str">
        <v>P3</v>
      </c>
      <c r="E11" t="str">
        <v>V3</v>
      </c>
      <c r="F11" t="str">
        <v>I1</v>
      </c>
      <c r="G11">
        <v>26569</v>
      </c>
      <c r="H11">
        <v>26569</v>
      </c>
      <c r="I11">
        <v>0</v>
      </c>
      <c r="J11">
        <v>15.451955080032301</v>
      </c>
      <c r="K11">
        <v>24924</v>
      </c>
      <c r="L11">
        <v>24924</v>
      </c>
      <c r="M11">
        <v>0</v>
      </c>
      <c r="N11">
        <v>83.338111877441406</v>
      </c>
      <c r="O11">
        <v>25165.198867160201</v>
      </c>
      <c r="P11">
        <v>25165.198867160201</v>
      </c>
      <c r="Q11">
        <v>0</v>
      </c>
      <c r="R11">
        <v>0.14877581596374501</v>
      </c>
      <c r="S11">
        <v>25160.310285837098</v>
      </c>
      <c r="T11">
        <v>25160.310285837098</v>
      </c>
      <c r="U11">
        <v>0</v>
      </c>
      <c r="V11">
        <v>159.57117414474499</v>
      </c>
      <c r="W11" s="8">
        <f t="shared" si="0"/>
        <v>1408.6897141629015</v>
      </c>
      <c r="X11" s="10">
        <f t="shared" si="1"/>
        <v>5.5988566840364529</v>
      </c>
      <c r="Y11" s="10">
        <f t="shared" si="2"/>
        <v>5.5988566840364529</v>
      </c>
      <c r="Z11" s="10">
        <f t="shared" si="3"/>
        <v>5.5988566840364529</v>
      </c>
      <c r="AA11" s="8">
        <f t="shared" si="4"/>
        <v>4.8885813231026987</v>
      </c>
      <c r="AB11" s="10">
        <f t="shared" si="5"/>
        <v>1.9429733844953861E-2</v>
      </c>
      <c r="AC11" s="10">
        <f t="shared" si="6"/>
        <v>1.9429733844953861E-2</v>
      </c>
    </row>
    <row r="12" spans="1:29" x14ac:dyDescent="0.25">
      <c r="A12" t="s">
        <v>53</v>
      </c>
      <c r="B12" t="str" cm="1">
        <f t="array" ref="B12:F12">_xlfn.TEXTSPLIT(A12,"_")</f>
        <v>MVPRP</v>
      </c>
      <c r="C12" t="str">
        <v>C25</v>
      </c>
      <c r="D12" t="str">
        <v>P6</v>
      </c>
      <c r="E12" t="str">
        <v>V3</v>
      </c>
      <c r="F12" t="str">
        <v>I1</v>
      </c>
      <c r="G12">
        <v>57677</v>
      </c>
      <c r="H12">
        <v>57671.304179105799</v>
      </c>
      <c r="I12">
        <v>9.8753764832643705E-5</v>
      </c>
      <c r="J12">
        <v>189.830693244934</v>
      </c>
      <c r="K12">
        <v>55278.999990389297</v>
      </c>
      <c r="L12">
        <v>55182.0376204192</v>
      </c>
      <c r="M12">
        <v>1.7540543422810599E-3</v>
      </c>
      <c r="N12">
        <v>3600.05472517014</v>
      </c>
      <c r="O12">
        <v>55786.484722264096</v>
      </c>
      <c r="P12">
        <v>55786.484722264096</v>
      </c>
      <c r="Q12">
        <v>0</v>
      </c>
      <c r="R12">
        <v>0.63126611709594704</v>
      </c>
      <c r="S12">
        <v>55725.301065368498</v>
      </c>
      <c r="T12">
        <v>55488.430761960903</v>
      </c>
      <c r="U12">
        <v>4.25067785869266E-3</v>
      </c>
      <c r="V12">
        <v>3600.0831887722002</v>
      </c>
      <c r="W12" s="8">
        <f t="shared" si="0"/>
        <v>1951.6989346315022</v>
      </c>
      <c r="X12" s="10">
        <f t="shared" si="1"/>
        <v>3.5023569138586867</v>
      </c>
      <c r="Y12" s="10">
        <f t="shared" si="2"/>
        <v>3.4921356664444825</v>
      </c>
      <c r="Z12" s="10">
        <f t="shared" si="3"/>
        <v>3.9274246997280446</v>
      </c>
      <c r="AA12" s="8">
        <f t="shared" si="4"/>
        <v>61.183656895598688</v>
      </c>
      <c r="AB12" s="10">
        <f t="shared" si="5"/>
        <v>0.10979511232039334</v>
      </c>
      <c r="AC12" s="10">
        <f t="shared" si="6"/>
        <v>0.53486289818975052</v>
      </c>
    </row>
    <row r="13" spans="1:29" x14ac:dyDescent="0.25">
      <c r="A13" t="s">
        <v>61</v>
      </c>
      <c r="B13" t="str" cm="1">
        <f t="array" ref="B13:F13">_xlfn.TEXTSPLIT(A13,"_")</f>
        <v>MVPRP</v>
      </c>
      <c r="C13" t="str">
        <v>C25</v>
      </c>
      <c r="D13" t="str">
        <v>P9</v>
      </c>
      <c r="E13" t="str">
        <v>V3</v>
      </c>
      <c r="F13" t="str">
        <v>I1</v>
      </c>
      <c r="G13">
        <v>101897.9996581</v>
      </c>
      <c r="H13">
        <v>101701.50339873599</v>
      </c>
      <c r="I13">
        <v>1.9283622840831501E-3</v>
      </c>
      <c r="J13">
        <v>3603.4120757579799</v>
      </c>
      <c r="K13">
        <v>97573.499990081604</v>
      </c>
      <c r="L13">
        <v>97183.542108072099</v>
      </c>
      <c r="M13">
        <v>3.99655523322596E-3</v>
      </c>
      <c r="N13">
        <v>3600.09210920334</v>
      </c>
      <c r="O13">
        <v>99854.509339261407</v>
      </c>
      <c r="P13">
        <v>99849.069530817404</v>
      </c>
      <c r="Q13">
        <v>5.4477343887610703E-5</v>
      </c>
      <c r="R13">
        <v>0.93325495719909701</v>
      </c>
      <c r="S13">
        <v>100009.872030873</v>
      </c>
      <c r="T13">
        <v>97572.951477217299</v>
      </c>
      <c r="U13">
        <v>2.43668000385317E-2</v>
      </c>
      <c r="V13">
        <v>3600.1429238319402</v>
      </c>
      <c r="W13" s="8">
        <f t="shared" si="0"/>
        <v>1888.1276272270043</v>
      </c>
      <c r="X13" s="10">
        <f t="shared" si="1"/>
        <v>1.8879412490840308</v>
      </c>
      <c r="Y13" s="10">
        <f t="shared" si="2"/>
        <v>1.6914643859766063</v>
      </c>
      <c r="Z13" s="10">
        <f t="shared" si="3"/>
        <v>4.3246212529374723</v>
      </c>
      <c r="AA13" s="8">
        <f t="shared" si="4"/>
        <v>0</v>
      </c>
      <c r="AB13" s="10">
        <f t="shared" si="5"/>
        <v>0</v>
      </c>
      <c r="AC13" s="10">
        <f t="shared" si="6"/>
        <v>2.2813326481807641</v>
      </c>
    </row>
    <row r="14" spans="1:29" x14ac:dyDescent="0.25">
      <c r="A14" t="s">
        <v>72</v>
      </c>
      <c r="B14" t="str" cm="1">
        <f t="array" ref="B14:F14">_xlfn.TEXTSPLIT(A14,"_")</f>
        <v>MVPRP</v>
      </c>
      <c r="C14" t="str">
        <v>C30</v>
      </c>
      <c r="D14" t="str">
        <v>P3</v>
      </c>
      <c r="E14" t="str">
        <v>V3</v>
      </c>
      <c r="F14" t="str">
        <v>I1</v>
      </c>
      <c r="G14">
        <v>29172</v>
      </c>
      <c r="H14">
        <v>29172</v>
      </c>
      <c r="I14">
        <v>0</v>
      </c>
      <c r="J14">
        <v>15.691298961639401</v>
      </c>
      <c r="K14">
        <v>27692.9996937326</v>
      </c>
      <c r="L14">
        <v>27620.413750298601</v>
      </c>
      <c r="M14">
        <v>2.62109357010183E-3</v>
      </c>
      <c r="N14">
        <v>3600.0521810054802</v>
      </c>
      <c r="O14">
        <v>27975.740465439099</v>
      </c>
      <c r="P14">
        <v>27974.317305026201</v>
      </c>
      <c r="Q14">
        <v>5.0871233049088201E-5</v>
      </c>
      <c r="R14">
        <v>0.328365087509155</v>
      </c>
      <c r="S14">
        <v>27907.462420580101</v>
      </c>
      <c r="T14">
        <v>27751.627459327701</v>
      </c>
      <c r="U14">
        <v>5.5839889311269202E-3</v>
      </c>
      <c r="V14">
        <v>3600.1702923774701</v>
      </c>
      <c r="W14" s="8">
        <f t="shared" si="0"/>
        <v>1264.537579419899</v>
      </c>
      <c r="X14" s="10">
        <f t="shared" si="1"/>
        <v>4.5311808016173387</v>
      </c>
      <c r="Y14" s="10">
        <f t="shared" si="2"/>
        <v>4.5311808016173387</v>
      </c>
      <c r="Z14" s="10">
        <f t="shared" si="3"/>
        <v>5.0895796947301744</v>
      </c>
      <c r="AA14" s="8">
        <f t="shared" si="4"/>
        <v>68.278044858998328</v>
      </c>
      <c r="AB14" s="10">
        <f t="shared" si="5"/>
        <v>0.24465873618321998</v>
      </c>
      <c r="AC14" s="10">
        <f t="shared" si="6"/>
        <v>0.8030576292960554</v>
      </c>
    </row>
    <row r="15" spans="1:29" x14ac:dyDescent="0.25">
      <c r="A15" t="s">
        <v>60</v>
      </c>
      <c r="B15" t="str" cm="1">
        <f t="array" ref="B15:F15">_xlfn.TEXTSPLIT(A15,"_")</f>
        <v>MVPRP</v>
      </c>
      <c r="C15" t="str">
        <v>C30</v>
      </c>
      <c r="D15" t="str">
        <v>P6</v>
      </c>
      <c r="E15" t="str">
        <v>V3</v>
      </c>
      <c r="F15" t="str">
        <v>I1</v>
      </c>
      <c r="G15">
        <v>61786.999969999997</v>
      </c>
      <c r="H15">
        <v>61782.695040581501</v>
      </c>
      <c r="I15">
        <v>6.96737083947566E-5</v>
      </c>
      <c r="J15">
        <v>1727.2135601043699</v>
      </c>
      <c r="K15">
        <v>59081.5</v>
      </c>
      <c r="L15">
        <v>58997.2614388281</v>
      </c>
      <c r="M15">
        <v>1.42580268225938E-3</v>
      </c>
      <c r="N15">
        <v>3600.04789113998</v>
      </c>
      <c r="O15">
        <v>59517.4860415476</v>
      </c>
      <c r="P15">
        <v>59512.7415498232</v>
      </c>
      <c r="Q15">
        <v>7.9715929552229601E-5</v>
      </c>
      <c r="R15">
        <v>1.0299308300018299</v>
      </c>
      <c r="S15">
        <v>59786.768739537103</v>
      </c>
      <c r="T15">
        <v>59210.413966135398</v>
      </c>
      <c r="U15">
        <v>9.6401726594840999E-3</v>
      </c>
      <c r="V15">
        <v>3600.0621676444998</v>
      </c>
      <c r="W15" s="8">
        <f t="shared" si="0"/>
        <v>2000.231230462894</v>
      </c>
      <c r="X15" s="10">
        <f t="shared" si="1"/>
        <v>3.3456085228103949</v>
      </c>
      <c r="Y15" s="10">
        <f t="shared" si="2"/>
        <v>3.3384080510182974</v>
      </c>
      <c r="Z15" s="10">
        <f t="shared" si="3"/>
        <v>4.3096257887586722</v>
      </c>
      <c r="AA15" s="8">
        <f t="shared" si="4"/>
        <v>0</v>
      </c>
      <c r="AB15" s="10">
        <f t="shared" si="5"/>
        <v>0</v>
      </c>
      <c r="AC15" s="10">
        <f t="shared" si="6"/>
        <v>0.51361209492683946</v>
      </c>
    </row>
    <row r="16" spans="1:29" x14ac:dyDescent="0.25">
      <c r="A16" t="s">
        <v>70</v>
      </c>
      <c r="B16" t="str" cm="1">
        <f t="array" ref="B16:F16">_xlfn.TEXTSPLIT(A16,"_")</f>
        <v>MVPRP</v>
      </c>
      <c r="C16" t="str">
        <v>C30</v>
      </c>
      <c r="D16" t="str">
        <v>P9</v>
      </c>
      <c r="E16" t="str">
        <v>V3</v>
      </c>
      <c r="F16" t="str">
        <v>I1</v>
      </c>
      <c r="G16">
        <v>111231</v>
      </c>
      <c r="H16">
        <v>110668.141916063</v>
      </c>
      <c r="I16">
        <v>5.06026273194677E-3</v>
      </c>
      <c r="J16">
        <v>3601.7885897159599</v>
      </c>
      <c r="K16">
        <v>106059.5</v>
      </c>
      <c r="L16">
        <v>105374.008452761</v>
      </c>
      <c r="M16">
        <v>6.4632734195350103E-3</v>
      </c>
      <c r="N16">
        <v>3600.3483009338402</v>
      </c>
      <c r="O16">
        <v>107529.301682925</v>
      </c>
      <c r="P16">
        <v>107528.728340099</v>
      </c>
      <c r="Q16">
        <v>5.3319682864334499E-6</v>
      </c>
      <c r="R16">
        <v>1.7604229450225799</v>
      </c>
      <c r="S16">
        <v>117337.53102633401</v>
      </c>
      <c r="T16">
        <v>105492.498984729</v>
      </c>
      <c r="U16">
        <v>0.100948366119506</v>
      </c>
      <c r="V16">
        <v>3600.8728432655298</v>
      </c>
      <c r="W16" s="8">
        <f t="shared" si="0"/>
        <v>0</v>
      </c>
      <c r="X16" s="10">
        <f t="shared" si="1"/>
        <v>0</v>
      </c>
      <c r="Y16" s="10">
        <f t="shared" si="2"/>
        <v>0</v>
      </c>
      <c r="Z16" s="10">
        <f t="shared" si="3"/>
        <v>4.8905929459033128</v>
      </c>
      <c r="AA16" s="8">
        <f t="shared" si="4"/>
        <v>0</v>
      </c>
      <c r="AB16" s="10">
        <f t="shared" si="5"/>
        <v>0</v>
      </c>
      <c r="AC16" s="10">
        <f t="shared" si="6"/>
        <v>1.7358492891237678</v>
      </c>
    </row>
    <row r="17" spans="1:29" x14ac:dyDescent="0.25">
      <c r="A17" t="s">
        <v>57</v>
      </c>
      <c r="B17" t="str" cm="1">
        <f t="array" ref="B17:F17">_xlfn.TEXTSPLIT(A17,"_")</f>
        <v>MVPRP</v>
      </c>
      <c r="C17" t="str">
        <v>C35</v>
      </c>
      <c r="D17" t="str">
        <v>P3</v>
      </c>
      <c r="E17" t="str">
        <v>V3</v>
      </c>
      <c r="F17" t="str">
        <v>I1</v>
      </c>
      <c r="G17">
        <v>35803</v>
      </c>
      <c r="H17">
        <v>35803</v>
      </c>
      <c r="I17">
        <v>0</v>
      </c>
      <c r="J17">
        <v>26.064972877502399</v>
      </c>
      <c r="K17">
        <v>34131.4999023825</v>
      </c>
      <c r="L17">
        <v>33951.488507069902</v>
      </c>
      <c r="M17">
        <v>5.2740546365498799E-3</v>
      </c>
      <c r="N17">
        <v>3600.21579194069</v>
      </c>
      <c r="O17">
        <v>34416.2067617551</v>
      </c>
      <c r="P17">
        <v>34415.584928466298</v>
      </c>
      <c r="Q17">
        <v>1.80680367583086E-5</v>
      </c>
      <c r="R17">
        <v>0.63661909103393599</v>
      </c>
      <c r="S17">
        <v>34466.262315235297</v>
      </c>
      <c r="T17">
        <v>34117.230129068899</v>
      </c>
      <c r="U17">
        <v>1.01267779770884E-2</v>
      </c>
      <c r="V17">
        <v>3600.0682177543599</v>
      </c>
      <c r="W17" s="8">
        <f t="shared" si="0"/>
        <v>1336.7376847647029</v>
      </c>
      <c r="X17" s="10">
        <f t="shared" si="1"/>
        <v>3.8783946821347608</v>
      </c>
      <c r="Y17" s="10">
        <f t="shared" si="2"/>
        <v>3.8783946821347608</v>
      </c>
      <c r="Z17" s="10">
        <f t="shared" si="3"/>
        <v>4.8910724798433725</v>
      </c>
      <c r="AA17" s="8">
        <f t="shared" si="4"/>
        <v>0</v>
      </c>
      <c r="AB17" s="10">
        <f t="shared" si="5"/>
        <v>0</v>
      </c>
      <c r="AC17" s="10">
        <f t="shared" si="6"/>
        <v>0.86744721534264757</v>
      </c>
    </row>
    <row r="18" spans="1:29" x14ac:dyDescent="0.25">
      <c r="A18" t="s">
        <v>54</v>
      </c>
      <c r="B18" t="str" cm="1">
        <f t="array" ref="B18:F18">_xlfn.TEXTSPLIT(A18,"_")</f>
        <v>MVPRP</v>
      </c>
      <c r="C18" t="str">
        <v>C35</v>
      </c>
      <c r="D18" t="str">
        <v>P6</v>
      </c>
      <c r="E18" t="str">
        <v>V3</v>
      </c>
      <c r="F18" t="str">
        <v>I1</v>
      </c>
      <c r="G18">
        <v>75538.9998224054</v>
      </c>
      <c r="H18">
        <v>75433.2378964089</v>
      </c>
      <c r="I18">
        <v>1.40009698625977E-3</v>
      </c>
      <c r="J18">
        <v>3601.5368080139201</v>
      </c>
      <c r="K18">
        <v>72384.999967396303</v>
      </c>
      <c r="L18">
        <v>72002.368161820996</v>
      </c>
      <c r="M18">
        <v>5.2860648718336904E-3</v>
      </c>
      <c r="N18">
        <v>3600.1030459404001</v>
      </c>
      <c r="O18">
        <v>72969.8460902964</v>
      </c>
      <c r="P18">
        <v>72969.151541604195</v>
      </c>
      <c r="Q18">
        <v>9.5182973428135496E-6</v>
      </c>
      <c r="R18">
        <v>1.2403638362884499</v>
      </c>
      <c r="S18">
        <v>74655.621031930597</v>
      </c>
      <c r="T18">
        <v>72147.231062062201</v>
      </c>
      <c r="U18">
        <v>3.35994789835787E-2</v>
      </c>
      <c r="V18">
        <v>3600.4885809421498</v>
      </c>
      <c r="W18" s="8">
        <f t="shared" si="0"/>
        <v>883.37879047480237</v>
      </c>
      <c r="X18" s="10">
        <f t="shared" si="1"/>
        <v>1.1832716388454885</v>
      </c>
      <c r="Y18" s="10">
        <f t="shared" si="2"/>
        <v>1.0416052451639404</v>
      </c>
      <c r="Z18" s="10">
        <f t="shared" si="3"/>
        <v>4.5432195372033961</v>
      </c>
      <c r="AA18" s="8">
        <f t="shared" si="4"/>
        <v>0</v>
      </c>
      <c r="AB18" s="10">
        <f t="shared" si="5"/>
        <v>0</v>
      </c>
      <c r="AC18" s="10">
        <f t="shared" si="6"/>
        <v>1.1018795595878332</v>
      </c>
    </row>
    <row r="19" spans="1:29" x14ac:dyDescent="0.25">
      <c r="A19" t="s">
        <v>37</v>
      </c>
      <c r="B19" t="str" cm="1">
        <f t="array" ref="B19:F19">_xlfn.TEXTSPLIT(A19,"_")</f>
        <v>MVPRP</v>
      </c>
      <c r="C19" t="str">
        <v>C40</v>
      </c>
      <c r="D19" t="str">
        <v>P3</v>
      </c>
      <c r="E19" t="str">
        <v>V3</v>
      </c>
      <c r="F19" t="str">
        <v>I1</v>
      </c>
      <c r="G19">
        <v>44822</v>
      </c>
      <c r="H19">
        <v>44822</v>
      </c>
      <c r="I19">
        <v>0</v>
      </c>
      <c r="J19">
        <v>107.950572729111</v>
      </c>
      <c r="K19">
        <v>42223.499796775701</v>
      </c>
      <c r="L19">
        <v>42040.333896737699</v>
      </c>
      <c r="M19">
        <v>4.3380084767872702E-3</v>
      </c>
      <c r="N19">
        <v>3600.10026597977</v>
      </c>
      <c r="O19">
        <v>42573.582196626798</v>
      </c>
      <c r="P19">
        <v>42573.582196132098</v>
      </c>
      <c r="Q19">
        <v>1.16203860820052E-11</v>
      </c>
      <c r="R19">
        <v>0.52277612686157204</v>
      </c>
      <c r="S19">
        <v>42745.741727257198</v>
      </c>
      <c r="T19">
        <v>42222.871714756599</v>
      </c>
      <c r="U19">
        <v>1.22320959088001E-2</v>
      </c>
      <c r="V19">
        <v>3600.1835372447999</v>
      </c>
      <c r="W19" s="8">
        <f t="shared" si="0"/>
        <v>2076.2582727428016</v>
      </c>
      <c r="X19" s="10">
        <f t="shared" si="1"/>
        <v>4.8572283199354507</v>
      </c>
      <c r="Y19" s="10">
        <f t="shared" si="2"/>
        <v>4.8572283199354507</v>
      </c>
      <c r="Z19" s="10">
        <f t="shared" si="3"/>
        <v>6.0804379108154398</v>
      </c>
      <c r="AA19" s="8">
        <f t="shared" si="4"/>
        <v>0</v>
      </c>
      <c r="AB19" s="10">
        <f t="shared" si="5"/>
        <v>0</v>
      </c>
      <c r="AC19" s="10">
        <f t="shared" si="6"/>
        <v>0.82045712087051126</v>
      </c>
    </row>
    <row r="20" spans="1:29" x14ac:dyDescent="0.25">
      <c r="A20" t="s">
        <v>43</v>
      </c>
      <c r="B20" t="str" cm="1">
        <f t="array" ref="B20:F20">_xlfn.TEXTSPLIT(A20,"_")</f>
        <v>MVPRP</v>
      </c>
      <c r="C20" t="str">
        <v>C40</v>
      </c>
      <c r="D20" t="str">
        <v>P6</v>
      </c>
      <c r="E20" t="str">
        <v>V3</v>
      </c>
      <c r="F20" t="str">
        <v>I1</v>
      </c>
      <c r="G20">
        <v>96993</v>
      </c>
      <c r="H20">
        <v>96752.303220362606</v>
      </c>
      <c r="I20">
        <v>2.4815891831102099E-3</v>
      </c>
      <c r="J20">
        <v>3601.67462682724</v>
      </c>
      <c r="K20">
        <v>93436</v>
      </c>
      <c r="L20">
        <v>92812.185047562205</v>
      </c>
      <c r="M20">
        <v>6.6763876068941901E-3</v>
      </c>
      <c r="N20">
        <v>3600.07370400429</v>
      </c>
      <c r="O20">
        <v>94289.659078283396</v>
      </c>
      <c r="P20">
        <v>94287.6995011689</v>
      </c>
      <c r="Q20">
        <v>2.0782524124149499E-5</v>
      </c>
      <c r="R20">
        <v>1.64149498939514</v>
      </c>
      <c r="S20">
        <v>99987.190311141501</v>
      </c>
      <c r="T20">
        <v>92745.055819965404</v>
      </c>
      <c r="U20">
        <v>7.2430623049211607E-2</v>
      </c>
      <c r="V20">
        <v>3600.2684252262102</v>
      </c>
      <c r="W20" s="8">
        <f t="shared" si="0"/>
        <v>0</v>
      </c>
      <c r="X20" s="10">
        <f t="shared" si="1"/>
        <v>0</v>
      </c>
      <c r="Y20" s="10">
        <f t="shared" si="2"/>
        <v>0</v>
      </c>
      <c r="Z20" s="10">
        <f t="shared" si="3"/>
        <v>4.2484883981795925</v>
      </c>
      <c r="AA20" s="8">
        <f t="shared" si="4"/>
        <v>0</v>
      </c>
      <c r="AB20" s="10">
        <f t="shared" si="5"/>
        <v>0</v>
      </c>
      <c r="AC20" s="10">
        <f t="shared" si="6"/>
        <v>1.544801142537833</v>
      </c>
    </row>
    <row r="21" spans="1:29" x14ac:dyDescent="0.25">
      <c r="A21" t="s">
        <v>52</v>
      </c>
      <c r="B21" t="str" cm="1">
        <f t="array" ref="B21:F21">_xlfn.TEXTSPLIT(A21,"_")</f>
        <v>MVPRP</v>
      </c>
      <c r="C21" t="str">
        <v>C45</v>
      </c>
      <c r="D21" t="str">
        <v>P3</v>
      </c>
      <c r="E21" t="str">
        <v>V3</v>
      </c>
      <c r="F21" t="str">
        <v>I1</v>
      </c>
      <c r="G21">
        <v>50846</v>
      </c>
      <c r="H21">
        <v>50846</v>
      </c>
      <c r="I21">
        <v>0</v>
      </c>
      <c r="J21">
        <v>68.337500810623197</v>
      </c>
      <c r="K21">
        <v>48258.999980307497</v>
      </c>
      <c r="L21">
        <v>48092.253679702801</v>
      </c>
      <c r="M21">
        <v>3.4552373789921501E-3</v>
      </c>
      <c r="N21">
        <v>3600.0970969200098</v>
      </c>
      <c r="O21">
        <v>48829.581233312201</v>
      </c>
      <c r="P21">
        <v>48829.581232696502</v>
      </c>
      <c r="Q21">
        <v>1.26089865561282E-11</v>
      </c>
      <c r="R21">
        <v>0.78091788291931197</v>
      </c>
      <c r="S21">
        <v>49012.054775515098</v>
      </c>
      <c r="T21">
        <v>48318.6472474275</v>
      </c>
      <c r="U21">
        <v>1.4147693486093099E-2</v>
      </c>
      <c r="V21">
        <v>3600.16135978699</v>
      </c>
      <c r="W21" s="8">
        <f t="shared" si="0"/>
        <v>1833.9452244849017</v>
      </c>
      <c r="X21" s="10">
        <f t="shared" si="1"/>
        <v>3.7418248079676184</v>
      </c>
      <c r="Y21" s="10">
        <f t="shared" si="2"/>
        <v>3.7418248079676184</v>
      </c>
      <c r="Z21" s="10">
        <f t="shared" si="3"/>
        <v>5.1565941565769391</v>
      </c>
      <c r="AA21" s="8">
        <f t="shared" si="4"/>
        <v>0</v>
      </c>
      <c r="AB21" s="10">
        <f t="shared" si="5"/>
        <v>0</v>
      </c>
      <c r="AC21" s="10">
        <f t="shared" si="6"/>
        <v>1.0424659570484858</v>
      </c>
    </row>
    <row r="22" spans="1:29" x14ac:dyDescent="0.25">
      <c r="A22" t="s">
        <v>59</v>
      </c>
      <c r="B22" t="str" cm="1">
        <f t="array" ref="B22:F22">_xlfn.TEXTSPLIT(A22,"_")</f>
        <v>MVPRP</v>
      </c>
      <c r="C22" t="str">
        <v>C50</v>
      </c>
      <c r="D22" t="str">
        <v>P3</v>
      </c>
      <c r="E22" t="str">
        <v>V3</v>
      </c>
      <c r="F22" t="str">
        <v>I1</v>
      </c>
      <c r="G22">
        <v>47126</v>
      </c>
      <c r="H22">
        <v>47126</v>
      </c>
      <c r="I22">
        <v>0</v>
      </c>
      <c r="J22">
        <v>169.300560951233</v>
      </c>
      <c r="K22">
        <v>44632.9997904212</v>
      </c>
      <c r="L22">
        <v>44344.516036604</v>
      </c>
      <c r="M22">
        <v>6.46346324853256E-3</v>
      </c>
      <c r="N22">
        <v>3600.1724021434802</v>
      </c>
      <c r="O22">
        <v>45274.429161204403</v>
      </c>
      <c r="P22">
        <v>45274.429161204403</v>
      </c>
      <c r="Q22">
        <v>0</v>
      </c>
      <c r="R22">
        <v>0.90576791763305697</v>
      </c>
      <c r="S22">
        <v>45747.905895398297</v>
      </c>
      <c r="T22">
        <v>44651.431294652903</v>
      </c>
      <c r="U22">
        <v>2.3967755010524699E-2</v>
      </c>
      <c r="V22">
        <v>3600.1454582214401</v>
      </c>
      <c r="W22" s="8">
        <f t="shared" si="0"/>
        <v>1378.0941046017033</v>
      </c>
      <c r="X22" s="10">
        <f t="shared" si="1"/>
        <v>3.012365435376843</v>
      </c>
      <c r="Y22" s="10">
        <f t="shared" si="2"/>
        <v>3.012365435376843</v>
      </c>
      <c r="Z22" s="10">
        <f t="shared" si="3"/>
        <v>5.4091409364292016</v>
      </c>
      <c r="AA22" s="8">
        <f t="shared" si="4"/>
        <v>0</v>
      </c>
      <c r="AB22" s="10">
        <f t="shared" si="5"/>
        <v>0</v>
      </c>
      <c r="AC22" s="10">
        <f t="shared" si="6"/>
        <v>1.3618063042622617</v>
      </c>
    </row>
    <row r="23" spans="1:29" x14ac:dyDescent="0.25">
      <c r="A23" t="s">
        <v>44</v>
      </c>
      <c r="B23" t="str" cm="1">
        <f t="array" ref="B23:F23">_xlfn.TEXTSPLIT(A23,"_")</f>
        <v>MVPRP</v>
      </c>
      <c r="C23" t="str">
        <v>C10</v>
      </c>
      <c r="D23" t="str">
        <v>P3</v>
      </c>
      <c r="E23" t="str">
        <v>V3</v>
      </c>
      <c r="F23" t="str">
        <v>I3</v>
      </c>
      <c r="G23">
        <v>20750</v>
      </c>
      <c r="H23">
        <v>20750</v>
      </c>
      <c r="I23">
        <v>0</v>
      </c>
      <c r="J23">
        <v>1.7461397647857699</v>
      </c>
      <c r="K23">
        <v>17835</v>
      </c>
      <c r="L23">
        <v>17835</v>
      </c>
      <c r="M23">
        <v>0</v>
      </c>
      <c r="N23">
        <v>1.38335108757019</v>
      </c>
      <c r="O23">
        <v>18058.295875612901</v>
      </c>
      <c r="P23">
        <v>18058.295875612901</v>
      </c>
      <c r="Q23">
        <v>0</v>
      </c>
      <c r="R23">
        <v>3.5550117492675802E-2</v>
      </c>
      <c r="S23">
        <v>18058.295875612901</v>
      </c>
      <c r="T23">
        <v>18058.295875612901</v>
      </c>
      <c r="U23">
        <v>0</v>
      </c>
      <c r="V23">
        <v>2.6474487781524698</v>
      </c>
      <c r="W23" s="8">
        <f t="shared" si="0"/>
        <v>2691.704124387099</v>
      </c>
      <c r="X23" s="10">
        <f t="shared" si="1"/>
        <v>14.905637513793046</v>
      </c>
      <c r="Y23" s="10">
        <f t="shared" si="2"/>
        <v>14.905637513793046</v>
      </c>
      <c r="Z23" s="10">
        <f t="shared" si="3"/>
        <v>14.905637513793046</v>
      </c>
      <c r="AA23" s="8">
        <f t="shared" si="4"/>
        <v>0</v>
      </c>
      <c r="AB23" s="10">
        <f t="shared" si="5"/>
        <v>0</v>
      </c>
      <c r="AC23" s="10">
        <f t="shared" si="6"/>
        <v>0</v>
      </c>
    </row>
    <row r="24" spans="1:29" x14ac:dyDescent="0.25">
      <c r="A24" t="s">
        <v>58</v>
      </c>
      <c r="B24" t="str" cm="1">
        <f t="array" ref="B24:F24">_xlfn.TEXTSPLIT(A24,"_")</f>
        <v>MVPRP</v>
      </c>
      <c r="C24" t="str">
        <v>C10</v>
      </c>
      <c r="D24" t="str">
        <v>P6</v>
      </c>
      <c r="E24" t="str">
        <v>V3</v>
      </c>
      <c r="F24" t="str">
        <v>I3</v>
      </c>
      <c r="G24">
        <v>42067.999985979397</v>
      </c>
      <c r="H24">
        <v>42067.999985979397</v>
      </c>
      <c r="I24">
        <v>0</v>
      </c>
      <c r="J24">
        <v>11.096104145050001</v>
      </c>
      <c r="K24">
        <v>37316.5</v>
      </c>
      <c r="L24">
        <v>37316.498822320304</v>
      </c>
      <c r="M24">
        <v>3.1559221890780703E-8</v>
      </c>
      <c r="N24">
        <v>162.77340507507299</v>
      </c>
      <c r="O24">
        <v>38038.172765691197</v>
      </c>
      <c r="P24">
        <v>38038.172765691197</v>
      </c>
      <c r="Q24">
        <v>0</v>
      </c>
      <c r="R24">
        <v>9.3133926391601604E-2</v>
      </c>
      <c r="S24">
        <v>37774.950416902298</v>
      </c>
      <c r="T24">
        <v>37774.950416902298</v>
      </c>
      <c r="U24">
        <v>0</v>
      </c>
      <c r="V24">
        <v>46.119750261306798</v>
      </c>
      <c r="W24" s="8">
        <f t="shared" si="0"/>
        <v>4293.0495690770986</v>
      </c>
      <c r="X24" s="10">
        <f t="shared" si="1"/>
        <v>11.364805305359674</v>
      </c>
      <c r="Y24" s="10">
        <f t="shared" si="2"/>
        <v>11.364805305359674</v>
      </c>
      <c r="Z24" s="10">
        <f t="shared" si="3"/>
        <v>11.364805305359674</v>
      </c>
      <c r="AA24" s="8">
        <f t="shared" si="4"/>
        <v>263.22234878889867</v>
      </c>
      <c r="AB24" s="10">
        <f t="shared" si="5"/>
        <v>0.69681719203824699</v>
      </c>
      <c r="AC24" s="10">
        <f t="shared" si="6"/>
        <v>0.69681719203824699</v>
      </c>
    </row>
    <row r="25" spans="1:29" x14ac:dyDescent="0.25">
      <c r="A25" t="s">
        <v>73</v>
      </c>
      <c r="B25" t="str" cm="1">
        <f t="array" ref="B25:F25">_xlfn.TEXTSPLIT(A25,"_")</f>
        <v>MVPRP</v>
      </c>
      <c r="C25" t="str">
        <v>C10</v>
      </c>
      <c r="D25" t="str">
        <v>P9</v>
      </c>
      <c r="E25" t="str">
        <v>V3</v>
      </c>
      <c r="F25" t="str">
        <v>I3</v>
      </c>
      <c r="G25">
        <v>72847.999958617205</v>
      </c>
      <c r="H25">
        <v>72847.999958617205</v>
      </c>
      <c r="I25">
        <v>0</v>
      </c>
      <c r="J25">
        <v>22.308111429214499</v>
      </c>
      <c r="K25">
        <v>66834.994197344393</v>
      </c>
      <c r="L25">
        <v>66574.279362295594</v>
      </c>
      <c r="M25">
        <v>3.9008731605327698E-3</v>
      </c>
      <c r="N25">
        <v>3600.0266900062602</v>
      </c>
      <c r="O25">
        <v>69154.905995275505</v>
      </c>
      <c r="P25">
        <v>69154.905995275505</v>
      </c>
      <c r="Q25">
        <v>0</v>
      </c>
      <c r="R25">
        <v>0.124292135238647</v>
      </c>
      <c r="S25">
        <v>68563.336796616495</v>
      </c>
      <c r="T25">
        <v>66581.519238390596</v>
      </c>
      <c r="U25">
        <v>2.89049169836159E-2</v>
      </c>
      <c r="V25">
        <v>3600.0440046787298</v>
      </c>
      <c r="W25" s="8">
        <f t="shared" si="0"/>
        <v>4284.6631620007101</v>
      </c>
      <c r="X25" s="10">
        <f t="shared" si="1"/>
        <v>6.2492045489421866</v>
      </c>
      <c r="Y25" s="10">
        <f t="shared" si="2"/>
        <v>6.2492045489421866</v>
      </c>
      <c r="Z25" s="10">
        <f t="shared" si="3"/>
        <v>9.1396962473037799</v>
      </c>
      <c r="AA25" s="8">
        <f t="shared" si="4"/>
        <v>591.56919865901</v>
      </c>
      <c r="AB25" s="10">
        <f t="shared" si="5"/>
        <v>0.86280689694817059</v>
      </c>
      <c r="AC25" s="10">
        <f t="shared" si="6"/>
        <v>3.7532985953097633</v>
      </c>
    </row>
    <row r="26" spans="1:29" x14ac:dyDescent="0.25">
      <c r="A26" t="s">
        <v>29</v>
      </c>
      <c r="B26" t="str" cm="1">
        <f t="array" ref="B26:F26">_xlfn.TEXTSPLIT(A26,"_")</f>
        <v>MVPRP</v>
      </c>
      <c r="C26" t="str">
        <v>C15</v>
      </c>
      <c r="D26" t="str">
        <v>P3</v>
      </c>
      <c r="E26" t="str">
        <v>V3</v>
      </c>
      <c r="F26" t="str">
        <v>I3</v>
      </c>
      <c r="G26">
        <v>30676</v>
      </c>
      <c r="H26">
        <v>30676</v>
      </c>
      <c r="I26">
        <v>0</v>
      </c>
      <c r="J26">
        <v>23.045698881149299</v>
      </c>
      <c r="K26">
        <v>26240.5</v>
      </c>
      <c r="L26">
        <v>26240.4999320594</v>
      </c>
      <c r="M26">
        <v>2.5891516174008001E-9</v>
      </c>
      <c r="N26">
        <v>238.19414281845101</v>
      </c>
      <c r="O26">
        <v>26860.681430160799</v>
      </c>
      <c r="P26">
        <v>26860.681430160799</v>
      </c>
      <c r="Q26">
        <v>0</v>
      </c>
      <c r="R26">
        <v>5.9319972991943401E-2</v>
      </c>
      <c r="S26">
        <v>26776.943479216901</v>
      </c>
      <c r="T26">
        <v>26776.943479216901</v>
      </c>
      <c r="U26">
        <v>0</v>
      </c>
      <c r="V26">
        <v>96.257256984710693</v>
      </c>
      <c r="W26" s="8">
        <f t="shared" si="0"/>
        <v>3899.0565207830987</v>
      </c>
      <c r="X26" s="10">
        <f t="shared" si="1"/>
        <v>14.561245661997892</v>
      </c>
      <c r="Y26" s="10">
        <f t="shared" si="2"/>
        <v>14.561245661997892</v>
      </c>
      <c r="Z26" s="10">
        <f t="shared" si="3"/>
        <v>14.561245661997892</v>
      </c>
      <c r="AA26" s="8">
        <f t="shared" si="4"/>
        <v>83.737950943897886</v>
      </c>
      <c r="AB26" s="10">
        <f t="shared" si="5"/>
        <v>0.31272408297418874</v>
      </c>
      <c r="AC26" s="10">
        <f t="shared" si="6"/>
        <v>0.31272408297418874</v>
      </c>
    </row>
    <row r="27" spans="1:29" x14ac:dyDescent="0.25">
      <c r="A27" t="s">
        <v>49</v>
      </c>
      <c r="B27" t="str" cm="1">
        <f t="array" ref="B27:F27">_xlfn.TEXTSPLIT(A27,"_")</f>
        <v>MVPRP</v>
      </c>
      <c r="C27" t="str">
        <v>C15</v>
      </c>
      <c r="D27" t="str">
        <v>P6</v>
      </c>
      <c r="E27" t="str">
        <v>V3</v>
      </c>
      <c r="F27" t="str">
        <v>I3</v>
      </c>
      <c r="G27">
        <v>60686.999585325299</v>
      </c>
      <c r="H27">
        <v>60686.999585325299</v>
      </c>
      <c r="I27">
        <v>0</v>
      </c>
      <c r="J27">
        <v>867.94262433052097</v>
      </c>
      <c r="K27">
        <v>54121</v>
      </c>
      <c r="L27">
        <v>54064.641131386197</v>
      </c>
      <c r="M27">
        <v>1.04134935817579E-3</v>
      </c>
      <c r="N27">
        <v>3600.0338850021399</v>
      </c>
      <c r="O27">
        <v>57150.9185117249</v>
      </c>
      <c r="P27">
        <v>57150.9185117249</v>
      </c>
      <c r="Q27">
        <v>0</v>
      </c>
      <c r="R27">
        <v>0.167562961578369</v>
      </c>
      <c r="S27">
        <v>55753.511068026899</v>
      </c>
      <c r="T27">
        <v>54594.489940477302</v>
      </c>
      <c r="U27">
        <v>2.0788307415032899E-2</v>
      </c>
      <c r="V27">
        <v>3600.0532271861998</v>
      </c>
      <c r="W27" s="8">
        <f t="shared" si="0"/>
        <v>4933.4885172983995</v>
      </c>
      <c r="X27" s="10">
        <f t="shared" si="1"/>
        <v>8.8487494738741557</v>
      </c>
      <c r="Y27" s="10">
        <f t="shared" si="2"/>
        <v>8.8487494738741557</v>
      </c>
      <c r="Z27" s="10">
        <f t="shared" si="3"/>
        <v>10.927580215377471</v>
      </c>
      <c r="AA27" s="8">
        <f t="shared" si="4"/>
        <v>1397.4074436980009</v>
      </c>
      <c r="AB27" s="10">
        <f t="shared" si="5"/>
        <v>2.5064025869025053</v>
      </c>
      <c r="AC27" s="10">
        <f t="shared" si="6"/>
        <v>4.5852333284058213</v>
      </c>
    </row>
    <row r="28" spans="1:29" x14ac:dyDescent="0.25">
      <c r="A28" t="s">
        <v>69</v>
      </c>
      <c r="B28" t="str" cm="1">
        <f t="array" ref="B28:F28">_xlfn.TEXTSPLIT(A28,"_")</f>
        <v>MVPRP</v>
      </c>
      <c r="C28" t="str">
        <v>C15</v>
      </c>
      <c r="D28" t="str">
        <v>P9</v>
      </c>
      <c r="E28" t="str">
        <v>V3</v>
      </c>
      <c r="F28" t="str">
        <v>I3</v>
      </c>
      <c r="G28">
        <v>109246</v>
      </c>
      <c r="H28">
        <v>108534.871643727</v>
      </c>
      <c r="I28">
        <v>6.5094223703681797E-3</v>
      </c>
      <c r="J28">
        <v>3600.0643427372001</v>
      </c>
      <c r="K28">
        <v>99897.499815615898</v>
      </c>
      <c r="L28">
        <v>98544.457483100996</v>
      </c>
      <c r="M28">
        <v>1.3544306264042599E-2</v>
      </c>
      <c r="N28">
        <v>3600.0566389560699</v>
      </c>
      <c r="O28">
        <v>106666.043249344</v>
      </c>
      <c r="P28">
        <v>106666.043249344</v>
      </c>
      <c r="Q28">
        <v>1.0914000208557499E-15</v>
      </c>
      <c r="R28">
        <v>0.82485485076904297</v>
      </c>
      <c r="S28">
        <v>104190.162255156</v>
      </c>
      <c r="T28">
        <v>94372.153593138995</v>
      </c>
      <c r="U28">
        <v>9.4231628490734895E-2</v>
      </c>
      <c r="V28">
        <v>3600.11109733582</v>
      </c>
      <c r="W28" s="8">
        <f t="shared" si="0"/>
        <v>5055.8377448440006</v>
      </c>
      <c r="X28" s="10">
        <f t="shared" si="1"/>
        <v>4.8525097143649036</v>
      </c>
      <c r="Y28" s="10">
        <f t="shared" si="2"/>
        <v>4.169980442041207</v>
      </c>
      <c r="Z28" s="10">
        <f t="shared" si="3"/>
        <v>14.275672563438157</v>
      </c>
      <c r="AA28" s="8">
        <f t="shared" si="4"/>
        <v>2475.8809941880027</v>
      </c>
      <c r="AB28" s="10">
        <f t="shared" si="5"/>
        <v>2.3763097595766345</v>
      </c>
      <c r="AC28" s="10">
        <f t="shared" si="6"/>
        <v>11.799472608649889</v>
      </c>
    </row>
    <row r="29" spans="1:29" x14ac:dyDescent="0.25">
      <c r="A29" t="s">
        <v>46</v>
      </c>
      <c r="B29" t="str" cm="1">
        <f t="array" ref="B29:F29">_xlfn.TEXTSPLIT(A29,"_")</f>
        <v>MVPRP</v>
      </c>
      <c r="C29" t="str">
        <v>C20</v>
      </c>
      <c r="D29" t="str">
        <v>P3</v>
      </c>
      <c r="E29" t="str">
        <v>V3</v>
      </c>
      <c r="F29" t="str">
        <v>I3</v>
      </c>
      <c r="G29">
        <v>33151</v>
      </c>
      <c r="H29">
        <v>33151</v>
      </c>
      <c r="I29">
        <v>0</v>
      </c>
      <c r="J29">
        <v>16.105900287628199</v>
      </c>
      <c r="K29">
        <v>28517</v>
      </c>
      <c r="L29">
        <v>28517</v>
      </c>
      <c r="M29">
        <v>0</v>
      </c>
      <c r="N29">
        <v>38.965275049209602</v>
      </c>
      <c r="O29">
        <v>29250.8296868258</v>
      </c>
      <c r="P29">
        <v>29250.8296868258</v>
      </c>
      <c r="Q29">
        <v>0</v>
      </c>
      <c r="R29">
        <v>8.7544918060302707E-2</v>
      </c>
      <c r="S29">
        <v>29250.8296868258</v>
      </c>
      <c r="T29">
        <v>29250.8296868258</v>
      </c>
      <c r="U29">
        <v>0</v>
      </c>
      <c r="V29">
        <v>132.74919962883001</v>
      </c>
      <c r="W29" s="8">
        <f t="shared" si="0"/>
        <v>3900.1703131741997</v>
      </c>
      <c r="X29" s="10">
        <f t="shared" si="1"/>
        <v>13.333537389986535</v>
      </c>
      <c r="Y29" s="10">
        <f t="shared" si="2"/>
        <v>13.333537389986535</v>
      </c>
      <c r="Z29" s="10">
        <f t="shared" si="3"/>
        <v>13.333537389986535</v>
      </c>
      <c r="AA29" s="8">
        <f t="shared" si="4"/>
        <v>0</v>
      </c>
      <c r="AB29" s="10">
        <f t="shared" si="5"/>
        <v>0</v>
      </c>
      <c r="AC29" s="10">
        <f t="shared" si="6"/>
        <v>0</v>
      </c>
    </row>
    <row r="30" spans="1:29" x14ac:dyDescent="0.25">
      <c r="A30" t="s">
        <v>65</v>
      </c>
      <c r="B30" t="str" cm="1">
        <f t="array" ref="B30:F30">_xlfn.TEXTSPLIT(A30,"_")</f>
        <v>MVPRP</v>
      </c>
      <c r="C30" t="str">
        <v>C20</v>
      </c>
      <c r="D30" t="str">
        <v>P6</v>
      </c>
      <c r="E30" t="str">
        <v>V3</v>
      </c>
      <c r="F30" t="str">
        <v>I3</v>
      </c>
      <c r="G30">
        <v>66288.999920291695</v>
      </c>
      <c r="H30">
        <v>66288.999920291695</v>
      </c>
      <c r="I30">
        <v>0</v>
      </c>
      <c r="J30">
        <v>2472.0361132621802</v>
      </c>
      <c r="K30">
        <v>59032.496323716499</v>
      </c>
      <c r="L30">
        <v>58537.4155821116</v>
      </c>
      <c r="M30">
        <v>8.3865798066542208E-3</v>
      </c>
      <c r="N30">
        <v>3600.0313742160802</v>
      </c>
      <c r="O30">
        <v>61479.340245791704</v>
      </c>
      <c r="P30">
        <v>61479.340245791704</v>
      </c>
      <c r="Q30">
        <v>0</v>
      </c>
      <c r="R30">
        <v>0.24436712265014601</v>
      </c>
      <c r="S30">
        <v>60849.287344152202</v>
      </c>
      <c r="T30">
        <v>59052.642768488797</v>
      </c>
      <c r="U30">
        <v>2.9526139977646599E-2</v>
      </c>
      <c r="V30">
        <v>3600.0613012313802</v>
      </c>
      <c r="W30" s="8">
        <f t="shared" si="0"/>
        <v>5439.7125761394927</v>
      </c>
      <c r="X30" s="10">
        <f t="shared" si="1"/>
        <v>8.9396487840087495</v>
      </c>
      <c r="Y30" s="10">
        <f t="shared" si="2"/>
        <v>8.9396487840087495</v>
      </c>
      <c r="Z30" s="10">
        <f t="shared" si="3"/>
        <v>11.892262781773292</v>
      </c>
      <c r="AA30" s="8">
        <f t="shared" si="4"/>
        <v>630.05290163950121</v>
      </c>
      <c r="AB30" s="10">
        <f t="shared" si="5"/>
        <v>1.0354318499673458</v>
      </c>
      <c r="AC30" s="10">
        <f t="shared" si="6"/>
        <v>3.9880458477318879</v>
      </c>
    </row>
    <row r="31" spans="1:29" x14ac:dyDescent="0.25">
      <c r="A31" t="s">
        <v>66</v>
      </c>
      <c r="B31" t="str" cm="1">
        <f t="array" ref="B31:F31">_xlfn.TEXTSPLIT(A31,"_")</f>
        <v>MVPRP</v>
      </c>
      <c r="C31" t="str">
        <v>C20</v>
      </c>
      <c r="D31" t="str">
        <v>P9</v>
      </c>
      <c r="E31" t="str">
        <v>V3</v>
      </c>
      <c r="F31" t="str">
        <v>I3</v>
      </c>
      <c r="G31">
        <v>116181.999595663</v>
      </c>
      <c r="H31">
        <v>115809.362405917</v>
      </c>
      <c r="I31">
        <v>3.2073573448852099E-3</v>
      </c>
      <c r="J31">
        <v>3600.1263711452498</v>
      </c>
      <c r="K31">
        <v>106168.999353237</v>
      </c>
      <c r="L31">
        <v>103926.153194074</v>
      </c>
      <c r="M31">
        <v>2.1125245343043501E-2</v>
      </c>
      <c r="N31">
        <v>3600.1596698761</v>
      </c>
      <c r="O31">
        <v>112995.774405897</v>
      </c>
      <c r="P31">
        <v>112995.774405897</v>
      </c>
      <c r="Q31">
        <v>0</v>
      </c>
      <c r="R31">
        <v>0.89100193977356001</v>
      </c>
      <c r="S31">
        <v>110207.29372188701</v>
      </c>
      <c r="T31">
        <v>101863.38213030199</v>
      </c>
      <c r="U31">
        <v>7.5711065119167295E-2</v>
      </c>
      <c r="V31">
        <v>3600.06781983376</v>
      </c>
      <c r="W31" s="8">
        <f t="shared" si="0"/>
        <v>5974.7058737759944</v>
      </c>
      <c r="X31" s="10">
        <f t="shared" si="1"/>
        <v>5.4213343527456814</v>
      </c>
      <c r="Y31" s="10">
        <f t="shared" si="2"/>
        <v>5.0832104617023433</v>
      </c>
      <c r="Z31" s="10">
        <f t="shared" si="3"/>
        <v>12.992440864662436</v>
      </c>
      <c r="AA31" s="8">
        <f t="shared" si="4"/>
        <v>2788.4806840099918</v>
      </c>
      <c r="AB31" s="10">
        <f t="shared" si="5"/>
        <v>2.5302142805963883</v>
      </c>
      <c r="AC31" s="10">
        <f t="shared" si="6"/>
        <v>10.101320792513144</v>
      </c>
    </row>
    <row r="32" spans="1:29" x14ac:dyDescent="0.25">
      <c r="A32" t="s">
        <v>62</v>
      </c>
      <c r="B32" t="str" cm="1">
        <f t="array" ref="B32:F32">_xlfn.TEXTSPLIT(A32,"_")</f>
        <v>MVPRP</v>
      </c>
      <c r="C32" t="str">
        <v>C25</v>
      </c>
      <c r="D32" t="str">
        <v>P3</v>
      </c>
      <c r="E32" t="str">
        <v>V3</v>
      </c>
      <c r="F32" t="str">
        <v>I3</v>
      </c>
      <c r="G32">
        <v>38054</v>
      </c>
      <c r="H32">
        <v>38054</v>
      </c>
      <c r="I32">
        <v>0</v>
      </c>
      <c r="J32">
        <v>28.681736707687399</v>
      </c>
      <c r="K32">
        <v>33049</v>
      </c>
      <c r="L32">
        <v>33049</v>
      </c>
      <c r="M32">
        <v>0</v>
      </c>
      <c r="N32">
        <v>227.94780611991899</v>
      </c>
      <c r="O32">
        <v>34032.056398000197</v>
      </c>
      <c r="P32">
        <v>34032.056398000197</v>
      </c>
      <c r="Q32">
        <v>0</v>
      </c>
      <c r="R32">
        <v>0.1264488697052</v>
      </c>
      <c r="S32">
        <v>34032.056398000197</v>
      </c>
      <c r="T32">
        <v>34028.930519911701</v>
      </c>
      <c r="U32">
        <v>9.1850990487900096E-5</v>
      </c>
      <c r="V32">
        <v>1203.1169180870099</v>
      </c>
      <c r="W32" s="8">
        <f t="shared" si="0"/>
        <v>4021.9436019998029</v>
      </c>
      <c r="X32" s="10">
        <f t="shared" si="1"/>
        <v>11.818103363968749</v>
      </c>
      <c r="Y32" s="10">
        <f t="shared" si="2"/>
        <v>11.818103363968749</v>
      </c>
      <c r="Z32" s="10">
        <f t="shared" si="3"/>
        <v>11.827288463017538</v>
      </c>
      <c r="AA32" s="8">
        <f t="shared" si="4"/>
        <v>0</v>
      </c>
      <c r="AB32" s="10">
        <f t="shared" si="5"/>
        <v>0</v>
      </c>
      <c r="AC32" s="10">
        <f t="shared" si="6"/>
        <v>9.1850990487900002E-3</v>
      </c>
    </row>
    <row r="33" spans="1:29" x14ac:dyDescent="0.25">
      <c r="A33" t="s">
        <v>48</v>
      </c>
      <c r="B33" t="str" cm="1">
        <f t="array" ref="B33:F33">_xlfn.TEXTSPLIT(A33,"_")</f>
        <v>MVPRP</v>
      </c>
      <c r="C33" t="str">
        <v>C25</v>
      </c>
      <c r="D33" t="str">
        <v>P6</v>
      </c>
      <c r="E33" t="str">
        <v>V3</v>
      </c>
      <c r="F33" t="str">
        <v>I3</v>
      </c>
      <c r="G33">
        <v>76711.999283793804</v>
      </c>
      <c r="H33">
        <v>76416.527816995702</v>
      </c>
      <c r="I33">
        <v>3.8516981639992801E-3</v>
      </c>
      <c r="J33">
        <v>3600.0264861583701</v>
      </c>
      <c r="K33">
        <v>69545.498197501394</v>
      </c>
      <c r="L33">
        <v>68940.450279132099</v>
      </c>
      <c r="M33">
        <v>8.7000299667282701E-3</v>
      </c>
      <c r="N33">
        <v>3600.0907940864599</v>
      </c>
      <c r="O33">
        <v>73077.805343702406</v>
      </c>
      <c r="P33">
        <v>73077.805343702305</v>
      </c>
      <c r="Q33">
        <v>1.3939034720525601E-15</v>
      </c>
      <c r="R33">
        <v>0.43216204643249501</v>
      </c>
      <c r="S33">
        <v>72882.669112570497</v>
      </c>
      <c r="T33">
        <v>69010.127646422407</v>
      </c>
      <c r="U33">
        <v>5.31339139098592E-2</v>
      </c>
      <c r="V33">
        <v>3600.0397450923901</v>
      </c>
      <c r="W33" s="8">
        <f t="shared" si="0"/>
        <v>3829.3301712233078</v>
      </c>
      <c r="X33" s="10">
        <f t="shared" si="1"/>
        <v>5.2541025429635937</v>
      </c>
      <c r="Y33" s="10">
        <f t="shared" si="2"/>
        <v>4.8486955094454682</v>
      </c>
      <c r="Z33" s="10">
        <f t="shared" si="3"/>
        <v>10.567493933949535</v>
      </c>
      <c r="AA33" s="8">
        <f t="shared" si="4"/>
        <v>195.13623113190988</v>
      </c>
      <c r="AB33" s="10">
        <f t="shared" si="5"/>
        <v>0.26774023716188738</v>
      </c>
      <c r="AC33" s="10">
        <f t="shared" si="6"/>
        <v>5.581131628147828</v>
      </c>
    </row>
    <row r="34" spans="1:29" x14ac:dyDescent="0.25">
      <c r="A34" t="s">
        <v>74</v>
      </c>
      <c r="B34" t="str" cm="1">
        <f t="array" ref="B34:F34">_xlfn.TEXTSPLIT(A34,"_")</f>
        <v>MVPRP</v>
      </c>
      <c r="C34" t="str">
        <v>C25</v>
      </c>
      <c r="D34" t="str">
        <v>P9</v>
      </c>
      <c r="E34" t="str">
        <v>V3</v>
      </c>
      <c r="F34" t="str">
        <v>I3</v>
      </c>
      <c r="G34">
        <v>140566</v>
      </c>
      <c r="H34">
        <v>137113.438898578</v>
      </c>
      <c r="I34">
        <v>2.4561850671019299E-2</v>
      </c>
      <c r="J34">
        <v>3600.6079318523398</v>
      </c>
      <c r="K34">
        <v>126859</v>
      </c>
      <c r="L34">
        <v>124734.5805699</v>
      </c>
      <c r="M34">
        <v>1.6746304401739302E-2</v>
      </c>
      <c r="N34">
        <v>3600.06720685959</v>
      </c>
      <c r="O34">
        <v>135894.00648996999</v>
      </c>
      <c r="P34">
        <v>135894.00648996999</v>
      </c>
      <c r="Q34">
        <v>0</v>
      </c>
      <c r="R34">
        <v>1.22195196151733</v>
      </c>
      <c r="S34">
        <v>140106.60353757499</v>
      </c>
      <c r="T34">
        <v>123257.22692849999</v>
      </c>
      <c r="U34">
        <v>0.12026111677567</v>
      </c>
      <c r="V34">
        <v>3600.2022669315302</v>
      </c>
      <c r="W34" s="8">
        <f t="shared" si="0"/>
        <v>459.39646242500748</v>
      </c>
      <c r="X34" s="10">
        <f t="shared" si="1"/>
        <v>0.32789065670398798</v>
      </c>
      <c r="Y34" s="10">
        <f t="shared" si="2"/>
        <v>0</v>
      </c>
      <c r="Z34" s="10">
        <f t="shared" si="3"/>
        <v>12.354002334271126</v>
      </c>
      <c r="AA34" s="8">
        <f t="shared" si="4"/>
        <v>0</v>
      </c>
      <c r="AB34" s="10">
        <f t="shared" si="5"/>
        <v>0</v>
      </c>
      <c r="AC34" s="10">
        <f t="shared" si="6"/>
        <v>9.0194032560934652</v>
      </c>
    </row>
    <row r="35" spans="1:29" x14ac:dyDescent="0.25">
      <c r="A35" t="s">
        <v>45</v>
      </c>
      <c r="B35" t="str" cm="1">
        <f t="array" ref="B35:F35">_xlfn.TEXTSPLIT(A35,"_")</f>
        <v>MVPRP</v>
      </c>
      <c r="C35" t="str">
        <v>C30</v>
      </c>
      <c r="D35" t="str">
        <v>P3</v>
      </c>
      <c r="E35" t="str">
        <v>V3</v>
      </c>
      <c r="F35" t="str">
        <v>I3</v>
      </c>
      <c r="G35">
        <v>41464</v>
      </c>
      <c r="H35">
        <v>41464</v>
      </c>
      <c r="I35">
        <v>0</v>
      </c>
      <c r="J35">
        <v>12.4477450847626</v>
      </c>
      <c r="K35">
        <v>36026</v>
      </c>
      <c r="L35">
        <v>35744.762171535003</v>
      </c>
      <c r="M35">
        <v>7.8065238567977804E-3</v>
      </c>
      <c r="N35">
        <v>3600.05626797676</v>
      </c>
      <c r="O35">
        <v>36802.081355002701</v>
      </c>
      <c r="P35">
        <v>36802.081355002701</v>
      </c>
      <c r="Q35">
        <v>0</v>
      </c>
      <c r="R35">
        <v>0.18238306045532199</v>
      </c>
      <c r="S35">
        <v>36515.833673796398</v>
      </c>
      <c r="T35">
        <v>35987.131236411798</v>
      </c>
      <c r="U35">
        <v>1.44787174272826E-2</v>
      </c>
      <c r="V35">
        <v>3600.0739946365402</v>
      </c>
      <c r="W35" s="8">
        <f t="shared" si="0"/>
        <v>4948.1663262036018</v>
      </c>
      <c r="X35" s="10">
        <f t="shared" si="1"/>
        <v>13.550741769739147</v>
      </c>
      <c r="Y35" s="10">
        <f t="shared" si="2"/>
        <v>13.550741769739147</v>
      </c>
      <c r="Z35" s="10">
        <f t="shared" si="3"/>
        <v>14.998613512467548</v>
      </c>
      <c r="AA35" s="8">
        <f t="shared" si="4"/>
        <v>286.24768120630324</v>
      </c>
      <c r="AB35" s="10">
        <f t="shared" si="5"/>
        <v>0.78390016715327882</v>
      </c>
      <c r="AC35" s="10">
        <f t="shared" si="6"/>
        <v>2.2317719098816786</v>
      </c>
    </row>
    <row r="36" spans="1:29" x14ac:dyDescent="0.25">
      <c r="A36" t="s">
        <v>51</v>
      </c>
      <c r="B36" t="str" cm="1">
        <f t="array" ref="B36:F36">_xlfn.TEXTSPLIT(A36,"_")</f>
        <v>MVPRP</v>
      </c>
      <c r="C36" t="str">
        <v>C30</v>
      </c>
      <c r="D36" t="str">
        <v>P6</v>
      </c>
      <c r="E36" t="str">
        <v>V3</v>
      </c>
      <c r="F36" t="str">
        <v>I3</v>
      </c>
      <c r="G36">
        <v>82749</v>
      </c>
      <c r="H36">
        <v>82465.450241958504</v>
      </c>
      <c r="I36">
        <v>3.4266245881103001E-3</v>
      </c>
      <c r="J36">
        <v>3600.7795357704199</v>
      </c>
      <c r="K36">
        <v>74518.499908963393</v>
      </c>
      <c r="L36">
        <v>73724.5142886432</v>
      </c>
      <c r="M36">
        <v>1.06548792754849E-2</v>
      </c>
      <c r="N36">
        <v>3600.07070803642</v>
      </c>
      <c r="O36">
        <v>77354.526374788198</v>
      </c>
      <c r="P36">
        <v>77352.388431525804</v>
      </c>
      <c r="Q36">
        <v>2.76382438443287E-5</v>
      </c>
      <c r="R36">
        <v>0.71352505683898904</v>
      </c>
      <c r="S36">
        <v>81327.520434716396</v>
      </c>
      <c r="T36">
        <v>73549.844015917406</v>
      </c>
      <c r="U36">
        <v>9.5634004052077004E-2</v>
      </c>
      <c r="V36">
        <v>3600.1991057395899</v>
      </c>
      <c r="W36" s="8">
        <f t="shared" si="0"/>
        <v>1421.4795652836037</v>
      </c>
      <c r="X36" s="10">
        <f t="shared" si="1"/>
        <v>1.7478456956334483</v>
      </c>
      <c r="Y36" s="10">
        <f t="shared" si="2"/>
        <v>1.3991940257855915</v>
      </c>
      <c r="Z36" s="10">
        <f t="shared" si="3"/>
        <v>11.311246100841084</v>
      </c>
      <c r="AA36" s="8">
        <f t="shared" si="4"/>
        <v>0</v>
      </c>
      <c r="AB36" s="10">
        <f t="shared" si="5"/>
        <v>0</v>
      </c>
      <c r="AC36" s="10">
        <f t="shared" si="6"/>
        <v>4.6782224990185268</v>
      </c>
    </row>
    <row r="37" spans="1:29" x14ac:dyDescent="0.25">
      <c r="A37" t="s">
        <v>34</v>
      </c>
      <c r="B37" t="str" cm="1">
        <f t="array" ref="B37:F37">_xlfn.TEXTSPLIT(A37,"_")</f>
        <v>MVPRP</v>
      </c>
      <c r="C37" t="str">
        <v>C30</v>
      </c>
      <c r="D37" t="str">
        <v>P9</v>
      </c>
      <c r="E37" t="str">
        <v>V3</v>
      </c>
      <c r="F37" t="str">
        <v>I3</v>
      </c>
      <c r="G37">
        <v>154135</v>
      </c>
      <c r="H37">
        <v>146428.66490523101</v>
      </c>
      <c r="I37">
        <v>4.9997308169909799E-2</v>
      </c>
      <c r="J37">
        <v>3600.0424265861502</v>
      </c>
      <c r="K37">
        <v>136171.999986562</v>
      </c>
      <c r="L37">
        <v>133302.284555272</v>
      </c>
      <c r="M37">
        <v>2.10741961017923E-2</v>
      </c>
      <c r="N37">
        <v>3600.0624740123799</v>
      </c>
      <c r="O37">
        <v>144519.29233386801</v>
      </c>
      <c r="P37">
        <v>144517.677953078</v>
      </c>
      <c r="Q37">
        <v>1.1170693993125501E-5</v>
      </c>
      <c r="R37">
        <v>2.3734269142150901</v>
      </c>
      <c r="S37">
        <v>157657.821480538</v>
      </c>
      <c r="T37">
        <v>130614.944393093</v>
      </c>
      <c r="U37">
        <v>0.171528927860917</v>
      </c>
      <c r="V37">
        <v>3600.2395980358101</v>
      </c>
      <c r="W37" s="8">
        <f t="shared" si="0"/>
        <v>0</v>
      </c>
      <c r="X37" s="10">
        <f t="shared" si="1"/>
        <v>0</v>
      </c>
      <c r="Y37" s="10">
        <f t="shared" si="2"/>
        <v>0</v>
      </c>
      <c r="Z37" s="10">
        <f t="shared" si="3"/>
        <v>14.918419768860261</v>
      </c>
      <c r="AA37" s="8">
        <f t="shared" si="4"/>
        <v>0</v>
      </c>
      <c r="AB37" s="10">
        <f t="shared" si="5"/>
        <v>0</v>
      </c>
      <c r="AC37" s="10">
        <f t="shared" si="6"/>
        <v>8.8193201010908489</v>
      </c>
    </row>
    <row r="38" spans="1:29" x14ac:dyDescent="0.25">
      <c r="A38" t="s">
        <v>42</v>
      </c>
      <c r="B38" t="str" cm="1">
        <f t="array" ref="B38:F38">_xlfn.TEXTSPLIT(A38,"_")</f>
        <v>MVPRP</v>
      </c>
      <c r="C38" t="str">
        <v>C35</v>
      </c>
      <c r="D38" t="str">
        <v>P3</v>
      </c>
      <c r="E38" t="str">
        <v>V3</v>
      </c>
      <c r="F38" t="str">
        <v>I3</v>
      </c>
      <c r="G38">
        <v>49960</v>
      </c>
      <c r="H38">
        <v>49958.861801242201</v>
      </c>
      <c r="I38">
        <v>2.2782200915835899E-5</v>
      </c>
      <c r="J38">
        <v>111.026981592178</v>
      </c>
      <c r="K38">
        <v>44185.999043605101</v>
      </c>
      <c r="L38">
        <v>43510.528620756799</v>
      </c>
      <c r="M38">
        <v>1.52869786237405E-2</v>
      </c>
      <c r="N38">
        <v>3600.06271195412</v>
      </c>
      <c r="O38">
        <v>45016.600720531897</v>
      </c>
      <c r="P38">
        <v>45016.600720531897</v>
      </c>
      <c r="Q38">
        <v>0</v>
      </c>
      <c r="R38">
        <v>0.25788283348083502</v>
      </c>
      <c r="S38">
        <v>46757.813169665103</v>
      </c>
      <c r="T38">
        <v>43252.147205412097</v>
      </c>
      <c r="U38">
        <v>7.4974976941977897E-2</v>
      </c>
      <c r="V38">
        <v>3600.18128275871</v>
      </c>
      <c r="W38" s="8">
        <f t="shared" si="0"/>
        <v>3202.1868303348965</v>
      </c>
      <c r="X38" s="10">
        <f t="shared" si="1"/>
        <v>6.8484529392242148</v>
      </c>
      <c r="Y38" s="10">
        <f t="shared" si="2"/>
        <v>6.8460186963017131</v>
      </c>
      <c r="Z38" s="10">
        <f t="shared" si="3"/>
        <v>14.345950633422122</v>
      </c>
      <c r="AA38" s="8">
        <f t="shared" si="4"/>
        <v>0</v>
      </c>
      <c r="AB38" s="10">
        <f t="shared" si="5"/>
        <v>0</v>
      </c>
      <c r="AC38" s="10">
        <f t="shared" si="6"/>
        <v>3.7736014486334399</v>
      </c>
    </row>
    <row r="39" spans="1:29" x14ac:dyDescent="0.25">
      <c r="A39" t="s">
        <v>47</v>
      </c>
      <c r="B39" t="str" cm="1">
        <f t="array" ref="B39:F39">_xlfn.TEXTSPLIT(A39,"_")</f>
        <v>MVPRP</v>
      </c>
      <c r="C39" t="str">
        <v>C35</v>
      </c>
      <c r="D39" t="str">
        <v>P6</v>
      </c>
      <c r="E39" t="str">
        <v>V3</v>
      </c>
      <c r="F39" t="str">
        <v>I3</v>
      </c>
      <c r="G39">
        <v>99886</v>
      </c>
      <c r="H39">
        <v>98851.925147300106</v>
      </c>
      <c r="I39">
        <v>1.03525504344943E-2</v>
      </c>
      <c r="J39">
        <v>3601.8449048995999</v>
      </c>
      <c r="K39">
        <v>90834</v>
      </c>
      <c r="L39">
        <v>89349.516171641706</v>
      </c>
      <c r="M39">
        <v>1.63428212823209E-2</v>
      </c>
      <c r="N39">
        <v>3600.0530130863199</v>
      </c>
      <c r="O39">
        <v>95763.458077276504</v>
      </c>
      <c r="P39">
        <v>95761.543621923396</v>
      </c>
      <c r="Q39">
        <v>1.9991501888549501E-5</v>
      </c>
      <c r="R39">
        <v>0.98432803153991699</v>
      </c>
      <c r="S39">
        <v>99325.829583081199</v>
      </c>
      <c r="T39">
        <v>87617.019638080907</v>
      </c>
      <c r="U39">
        <v>0.11788283062067401</v>
      </c>
      <c r="V39">
        <v>3600.0582647323599</v>
      </c>
      <c r="W39" s="8">
        <f t="shared" si="0"/>
        <v>560.17041691880149</v>
      </c>
      <c r="X39" s="10">
        <f t="shared" si="1"/>
        <v>0.56397255303087734</v>
      </c>
      <c r="Y39" s="10">
        <f t="shared" si="2"/>
        <v>0</v>
      </c>
      <c r="Z39" s="10">
        <f t="shared" si="3"/>
        <v>12.352255615098278</v>
      </c>
      <c r="AA39" s="8">
        <f t="shared" si="4"/>
        <v>0</v>
      </c>
      <c r="AB39" s="10">
        <f t="shared" si="5"/>
        <v>0</v>
      </c>
      <c r="AC39" s="10">
        <f t="shared" si="6"/>
        <v>8.2017320906255318</v>
      </c>
    </row>
    <row r="40" spans="1:29" x14ac:dyDescent="0.25">
      <c r="A40" t="s">
        <v>36</v>
      </c>
      <c r="B40" t="str" cm="1">
        <f t="array" ref="B40:F40">_xlfn.TEXTSPLIT(A40,"_")</f>
        <v>MVPRP</v>
      </c>
      <c r="C40" t="str">
        <v>C40</v>
      </c>
      <c r="D40" t="str">
        <v>P3</v>
      </c>
      <c r="E40" t="str">
        <v>V3</v>
      </c>
      <c r="F40" t="str">
        <v>I3</v>
      </c>
      <c r="G40">
        <v>61830</v>
      </c>
      <c r="H40">
        <v>61827.609761093801</v>
      </c>
      <c r="I40">
        <v>3.8658238819792197E-5</v>
      </c>
      <c r="J40">
        <v>2714.9084372520401</v>
      </c>
      <c r="K40">
        <v>54377.998651985297</v>
      </c>
      <c r="L40">
        <v>53634.238078731098</v>
      </c>
      <c r="M40">
        <v>1.3677601083008801E-2</v>
      </c>
      <c r="N40">
        <v>3600.04021906853</v>
      </c>
      <c r="O40">
        <v>55163.152852195402</v>
      </c>
      <c r="P40">
        <v>55158.754570694698</v>
      </c>
      <c r="Q40">
        <v>7.9732235618444502E-5</v>
      </c>
      <c r="R40">
        <v>0.62129092216491699</v>
      </c>
      <c r="S40">
        <v>55442.306989568999</v>
      </c>
      <c r="T40">
        <v>52779.501307745799</v>
      </c>
      <c r="U40">
        <v>4.8028406940646001E-2</v>
      </c>
      <c r="V40">
        <v>3600.1434149742099</v>
      </c>
      <c r="W40" s="8">
        <f t="shared" si="0"/>
        <v>6387.6930104310013</v>
      </c>
      <c r="X40" s="10">
        <f t="shared" si="1"/>
        <v>11.521333359437572</v>
      </c>
      <c r="Y40" s="10">
        <f t="shared" si="2"/>
        <v>11.517022141099114</v>
      </c>
      <c r="Z40" s="10">
        <f t="shared" si="3"/>
        <v>16.324174053502094</v>
      </c>
      <c r="AA40" s="8">
        <f t="shared" si="4"/>
        <v>0</v>
      </c>
      <c r="AB40" s="10">
        <f t="shared" si="5"/>
        <v>0</v>
      </c>
      <c r="AC40" s="10">
        <f t="shared" si="6"/>
        <v>4.2993368672376269</v>
      </c>
    </row>
    <row r="41" spans="1:29" x14ac:dyDescent="0.25">
      <c r="A41" t="s">
        <v>67</v>
      </c>
      <c r="B41" t="str" cm="1">
        <f t="array" ref="B41:F41">_xlfn.TEXTSPLIT(A41,"_")</f>
        <v>MVPRP</v>
      </c>
      <c r="C41" t="str">
        <v>C40</v>
      </c>
      <c r="D41" t="str">
        <v>P6</v>
      </c>
      <c r="E41" t="str">
        <v>V3</v>
      </c>
      <c r="F41" t="str">
        <v>I3</v>
      </c>
      <c r="G41">
        <v>126608</v>
      </c>
      <c r="H41">
        <v>121582.536354082</v>
      </c>
      <c r="I41">
        <v>3.9693097165408898E-2</v>
      </c>
      <c r="J41">
        <v>3605.21713376045</v>
      </c>
      <c r="K41">
        <v>114580.499510803</v>
      </c>
      <c r="L41">
        <v>112321.893269849</v>
      </c>
      <c r="M41">
        <v>1.9711960155501002E-2</v>
      </c>
      <c r="N41">
        <v>3600.0457360744499</v>
      </c>
      <c r="O41">
        <v>118796.383601792</v>
      </c>
      <c r="P41">
        <v>118792.955030364</v>
      </c>
      <c r="Q41">
        <v>2.8860907416903599E-5</v>
      </c>
      <c r="R41">
        <v>2.8724479675293</v>
      </c>
      <c r="S41">
        <v>126853.990983268</v>
      </c>
      <c r="T41">
        <v>109864.894297905</v>
      </c>
      <c r="U41">
        <v>0.13392638697196799</v>
      </c>
      <c r="V41">
        <v>3600.1987092495001</v>
      </c>
      <c r="W41" s="8">
        <f t="shared" si="0"/>
        <v>0</v>
      </c>
      <c r="X41" s="10">
        <f t="shared" si="1"/>
        <v>0</v>
      </c>
      <c r="Y41" s="10">
        <f t="shared" si="2"/>
        <v>0</v>
      </c>
      <c r="Z41" s="10">
        <f t="shared" si="3"/>
        <v>13.198722068037579</v>
      </c>
      <c r="AA41" s="8">
        <f t="shared" si="4"/>
        <v>0</v>
      </c>
      <c r="AB41" s="10">
        <f t="shared" si="5"/>
        <v>0</v>
      </c>
      <c r="AC41" s="10">
        <f t="shared" si="6"/>
        <v>7.0407633489947132</v>
      </c>
    </row>
    <row r="42" spans="1:29" x14ac:dyDescent="0.25">
      <c r="A42" t="s">
        <v>40</v>
      </c>
      <c r="B42" t="str" cm="1">
        <f t="array" ref="B42:F42">_xlfn.TEXTSPLIT(A42,"_")</f>
        <v>MVPRP</v>
      </c>
      <c r="C42" t="str">
        <v>C45</v>
      </c>
      <c r="D42" t="str">
        <v>P3</v>
      </c>
      <c r="E42" t="str">
        <v>V3</v>
      </c>
      <c r="F42" t="str">
        <v>I3</v>
      </c>
      <c r="G42">
        <v>70029</v>
      </c>
      <c r="H42">
        <v>70029</v>
      </c>
      <c r="I42">
        <v>0</v>
      </c>
      <c r="J42">
        <v>1626.2620828151701</v>
      </c>
      <c r="K42">
        <v>63308.499966032497</v>
      </c>
      <c r="L42">
        <v>61213.621557050799</v>
      </c>
      <c r="M42">
        <v>3.3090002292041801E-2</v>
      </c>
      <c r="N42">
        <v>3600.1742379665402</v>
      </c>
      <c r="O42">
        <v>64703.057426742598</v>
      </c>
      <c r="P42">
        <v>64703.057426707899</v>
      </c>
      <c r="Q42">
        <v>5.3695604179233501E-13</v>
      </c>
      <c r="R42">
        <v>1.1803050041198699</v>
      </c>
      <c r="S42">
        <v>68503.6573462745</v>
      </c>
      <c r="T42">
        <v>60207.194066633303</v>
      </c>
      <c r="U42">
        <v>0.121109785973966</v>
      </c>
      <c r="V42">
        <v>3600.0934727191898</v>
      </c>
      <c r="W42" s="8">
        <f t="shared" si="0"/>
        <v>1525.3426537255</v>
      </c>
      <c r="X42" s="10">
        <f t="shared" si="1"/>
        <v>2.2266587111037719</v>
      </c>
      <c r="Y42" s="10">
        <f t="shared" si="2"/>
        <v>2.2266587111037719</v>
      </c>
      <c r="Z42" s="10">
        <f t="shared" si="3"/>
        <v>14.337637308500357</v>
      </c>
      <c r="AA42" s="8">
        <f t="shared" si="4"/>
        <v>0</v>
      </c>
      <c r="AB42" s="10">
        <f t="shared" si="5"/>
        <v>0</v>
      </c>
      <c r="AC42" s="10">
        <f t="shared" si="6"/>
        <v>6.5629537666630853</v>
      </c>
    </row>
    <row r="43" spans="1:29" x14ac:dyDescent="0.25">
      <c r="A43" t="s">
        <v>50</v>
      </c>
      <c r="B43" t="str" cm="1">
        <f t="array" ref="B43:F43">_xlfn.TEXTSPLIT(A43,"_")</f>
        <v>MVPRP</v>
      </c>
      <c r="C43" t="str">
        <v>C50</v>
      </c>
      <c r="D43" t="str">
        <v>P3</v>
      </c>
      <c r="E43" t="str">
        <v>V3</v>
      </c>
      <c r="F43" t="str">
        <v>I3</v>
      </c>
      <c r="G43">
        <v>65560</v>
      </c>
      <c r="H43">
        <v>65319.653853376803</v>
      </c>
      <c r="I43">
        <v>3.6660486062108301E-3</v>
      </c>
      <c r="J43">
        <v>3602.6810309886901</v>
      </c>
      <c r="K43">
        <v>59060.999700654</v>
      </c>
      <c r="L43">
        <v>57483.592799488601</v>
      </c>
      <c r="M43">
        <v>2.6708096868668301E-2</v>
      </c>
      <c r="N43">
        <v>3600.1775269508398</v>
      </c>
      <c r="O43">
        <v>60442.363051764703</v>
      </c>
      <c r="P43">
        <v>60438.1314362423</v>
      </c>
      <c r="Q43">
        <v>7.0010755846874905E-5</v>
      </c>
      <c r="R43">
        <v>0.84387683868408203</v>
      </c>
      <c r="S43">
        <v>62759.488721913804</v>
      </c>
      <c r="T43">
        <v>57039.4868653382</v>
      </c>
      <c r="U43">
        <v>9.1141626120008604E-2</v>
      </c>
      <c r="V43">
        <v>3600.0841708183302</v>
      </c>
      <c r="W43" s="8">
        <f t="shared" si="0"/>
        <v>2800.5112780861964</v>
      </c>
      <c r="X43" s="10">
        <f t="shared" si="1"/>
        <v>4.462291416195586</v>
      </c>
      <c r="Y43" s="10">
        <f t="shared" si="2"/>
        <v>4.0793275783476295</v>
      </c>
      <c r="Z43" s="10">
        <f t="shared" si="3"/>
        <v>13.576454028196508</v>
      </c>
      <c r="AA43" s="8">
        <f t="shared" si="4"/>
        <v>0</v>
      </c>
      <c r="AB43" s="10">
        <f t="shared" si="5"/>
        <v>0</v>
      </c>
      <c r="AC43" s="10">
        <f t="shared" si="6"/>
        <v>5.4220903575307764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H169"/>
  <sheetViews>
    <sheetView topLeftCell="B1" zoomScaleNormal="100" workbookViewId="0">
      <selection activeCell="H2" sqref="H2:AH43"/>
    </sheetView>
  </sheetViews>
  <sheetFormatPr baseColWidth="10" defaultColWidth="11.5546875" defaultRowHeight="13.2" x14ac:dyDescent="0.25"/>
  <cols>
    <col min="1" max="1" width="21.109375" customWidth="1"/>
    <col min="2" max="2" width="74.44140625" customWidth="1"/>
    <col min="3" max="3" width="9.5546875" customWidth="1"/>
    <col min="4" max="5" width="16.6640625" customWidth="1"/>
    <col min="6" max="6" width="20.44140625" customWidth="1"/>
    <col min="7" max="7" width="18.6640625" customWidth="1"/>
    <col min="8" max="8" width="13.109375" customWidth="1"/>
    <col min="9" max="10" width="12" bestFit="1" customWidth="1"/>
    <col min="11" max="11" width="15.44140625" customWidth="1"/>
    <col min="12" max="12" width="19.109375" customWidth="1"/>
    <col min="13" max="13" width="9.5546875" customWidth="1"/>
    <col min="14" max="14" width="11.109375" customWidth="1"/>
    <col min="15" max="15" width="10" customWidth="1"/>
    <col min="16" max="16" width="17.109375" customWidth="1"/>
    <col min="17" max="17" width="10.33203125" customWidth="1"/>
    <col min="18" max="18" width="8.44140625" customWidth="1"/>
    <col min="19" max="19" width="14.44140625" customWidth="1"/>
    <col min="20" max="23" width="16.6640625" customWidth="1"/>
    <col min="24" max="24" width="18.33203125" customWidth="1"/>
    <col min="25" max="25" width="16.88671875" customWidth="1"/>
    <col min="26" max="26" width="12.109375" bestFit="1" customWidth="1"/>
    <col min="27" max="27" width="5" customWidth="1"/>
    <col min="28" max="28" width="4.88671875" customWidth="1"/>
    <col min="29" max="29" width="5.44140625" customWidth="1"/>
  </cols>
  <sheetData>
    <row r="1" spans="1:34" x14ac:dyDescent="0.25">
      <c r="A1" t="s">
        <v>0</v>
      </c>
      <c r="B1" t="s">
        <v>121</v>
      </c>
      <c r="C1" t="s">
        <v>122</v>
      </c>
      <c r="D1" t="s">
        <v>123</v>
      </c>
      <c r="E1" t="s">
        <v>124</v>
      </c>
      <c r="F1" t="s">
        <v>125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8</v>
      </c>
      <c r="O1" t="s">
        <v>9</v>
      </c>
      <c r="P1" t="s">
        <v>10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 t="s">
        <v>24</v>
      </c>
      <c r="AE1" t="s">
        <v>25</v>
      </c>
      <c r="AF1" t="s">
        <v>26</v>
      </c>
      <c r="AG1" t="s">
        <v>27</v>
      </c>
      <c r="AH1" t="s">
        <v>28</v>
      </c>
    </row>
    <row r="2" spans="1:34" x14ac:dyDescent="0.25">
      <c r="A2" t="s">
        <v>29</v>
      </c>
      <c r="B2" t="str" cm="1">
        <f t="array" ref="B2:F2">_xlfn.TEXTSPLIT(A2,"_")</f>
        <v>MVPRP</v>
      </c>
      <c r="C2" t="str">
        <v>C15</v>
      </c>
      <c r="D2" t="str">
        <v>P3</v>
      </c>
      <c r="E2" t="str">
        <v>V3</v>
      </c>
      <c r="F2" t="str">
        <v>I3</v>
      </c>
      <c r="G2" t="s">
        <v>30</v>
      </c>
      <c r="H2" t="s">
        <v>31</v>
      </c>
      <c r="I2">
        <v>26860.681430160799</v>
      </c>
      <c r="J2">
        <v>26860.681430160799</v>
      </c>
      <c r="K2">
        <v>0</v>
      </c>
      <c r="L2">
        <v>5.9319972991943401E-2</v>
      </c>
      <c r="M2" t="s">
        <v>32</v>
      </c>
      <c r="N2">
        <v>132</v>
      </c>
      <c r="P2">
        <v>2</v>
      </c>
      <c r="Q2">
        <v>0.5</v>
      </c>
      <c r="R2">
        <v>100</v>
      </c>
      <c r="S2">
        <v>50</v>
      </c>
      <c r="T2">
        <v>0</v>
      </c>
      <c r="U2">
        <v>2</v>
      </c>
      <c r="V2" s="1" t="s">
        <v>33</v>
      </c>
      <c r="W2">
        <v>0.05</v>
      </c>
      <c r="X2">
        <v>3000</v>
      </c>
      <c r="Y2">
        <v>9960</v>
      </c>
      <c r="Z2">
        <v>3902</v>
      </c>
      <c r="AA2">
        <v>9378.5</v>
      </c>
      <c r="AB2">
        <v>413.45428677387798</v>
      </c>
      <c r="AC2">
        <v>206.72714338693899</v>
      </c>
      <c r="AD2">
        <v>620.18143016081694</v>
      </c>
      <c r="AE2">
        <v>0</v>
      </c>
      <c r="AF2">
        <v>0</v>
      </c>
      <c r="AG2">
        <v>0</v>
      </c>
      <c r="AH2">
        <v>0</v>
      </c>
    </row>
    <row r="3" spans="1:34" x14ac:dyDescent="0.25">
      <c r="A3" t="s">
        <v>34</v>
      </c>
      <c r="B3" t="str" cm="1">
        <f t="array" ref="B3:F3">_xlfn.TEXTSPLIT(A3,"_")</f>
        <v>MVPRP</v>
      </c>
      <c r="C3" t="str">
        <v>C30</v>
      </c>
      <c r="D3" t="str">
        <v>P9</v>
      </c>
      <c r="E3" t="str">
        <v>V3</v>
      </c>
      <c r="F3" t="str">
        <v>I3</v>
      </c>
      <c r="G3" t="s">
        <v>30</v>
      </c>
      <c r="H3" t="s">
        <v>31</v>
      </c>
      <c r="I3">
        <v>144519.29233386801</v>
      </c>
      <c r="J3">
        <v>144517.677953078</v>
      </c>
      <c r="K3">
        <v>1.1170693993125501E-5</v>
      </c>
      <c r="L3">
        <v>2.3734269142150901</v>
      </c>
      <c r="M3" t="s">
        <v>32</v>
      </c>
      <c r="N3">
        <v>228</v>
      </c>
      <c r="P3">
        <v>2</v>
      </c>
      <c r="Q3">
        <v>0.5</v>
      </c>
      <c r="R3">
        <v>100</v>
      </c>
      <c r="S3">
        <v>50</v>
      </c>
      <c r="T3">
        <v>0</v>
      </c>
      <c r="U3">
        <v>2</v>
      </c>
      <c r="V3" s="1" t="s">
        <v>33</v>
      </c>
      <c r="W3">
        <v>0.05</v>
      </c>
      <c r="X3">
        <v>12000</v>
      </c>
      <c r="Y3">
        <v>67710</v>
      </c>
      <c r="Z3">
        <v>22021</v>
      </c>
      <c r="AA3">
        <v>34441</v>
      </c>
      <c r="AB3">
        <v>5564.86155591231</v>
      </c>
      <c r="AC3">
        <v>2782.43077795615</v>
      </c>
      <c r="AD3">
        <v>8347.2923338684395</v>
      </c>
      <c r="AE3">
        <v>0</v>
      </c>
      <c r="AF3">
        <v>0</v>
      </c>
      <c r="AG3">
        <v>0</v>
      </c>
      <c r="AH3">
        <v>0</v>
      </c>
    </row>
    <row r="4" spans="1:34" x14ac:dyDescent="0.25">
      <c r="A4" t="s">
        <v>35</v>
      </c>
      <c r="B4" t="str" cm="1">
        <f t="array" ref="B4:F4">_xlfn.TEXTSPLIT(A4,"_")</f>
        <v>MVPRP</v>
      </c>
      <c r="C4" t="str">
        <v>C15</v>
      </c>
      <c r="D4" t="str">
        <v>P9</v>
      </c>
      <c r="E4" t="str">
        <v>V3</v>
      </c>
      <c r="F4" t="str">
        <v>I1</v>
      </c>
      <c r="G4" t="s">
        <v>30</v>
      </c>
      <c r="H4" t="s">
        <v>31</v>
      </c>
      <c r="I4">
        <v>73967.920901733101</v>
      </c>
      <c r="J4">
        <v>73967.920901733101</v>
      </c>
      <c r="K4">
        <v>0</v>
      </c>
      <c r="L4">
        <v>0.42788386344909701</v>
      </c>
      <c r="M4" t="s">
        <v>32</v>
      </c>
      <c r="N4">
        <v>132</v>
      </c>
      <c r="P4">
        <v>2</v>
      </c>
      <c r="Q4">
        <v>0.5</v>
      </c>
      <c r="R4">
        <v>100</v>
      </c>
      <c r="S4">
        <v>50</v>
      </c>
      <c r="T4">
        <v>0</v>
      </c>
      <c r="U4">
        <v>2</v>
      </c>
      <c r="V4" s="1" t="s">
        <v>33</v>
      </c>
      <c r="W4">
        <v>0.05</v>
      </c>
      <c r="X4">
        <v>9000</v>
      </c>
      <c r="Y4">
        <v>40950</v>
      </c>
      <c r="Z4">
        <v>13560</v>
      </c>
      <c r="AA4">
        <v>8889</v>
      </c>
      <c r="AB4">
        <v>1045.94726782208</v>
      </c>
      <c r="AC4">
        <v>522.97363391104102</v>
      </c>
      <c r="AD4">
        <v>1568.92090173312</v>
      </c>
      <c r="AE4">
        <v>0</v>
      </c>
      <c r="AF4">
        <v>0</v>
      </c>
      <c r="AG4">
        <v>0</v>
      </c>
      <c r="AH4">
        <v>0</v>
      </c>
    </row>
    <row r="5" spans="1:34" x14ac:dyDescent="0.25">
      <c r="A5" t="s">
        <v>36</v>
      </c>
      <c r="B5" t="str" cm="1">
        <f t="array" ref="B5:F5">_xlfn.TEXTSPLIT(A5,"_")</f>
        <v>MVPRP</v>
      </c>
      <c r="C5" t="str">
        <v>C40</v>
      </c>
      <c r="D5" t="str">
        <v>P3</v>
      </c>
      <c r="E5" t="str">
        <v>V3</v>
      </c>
      <c r="F5" t="str">
        <v>I3</v>
      </c>
      <c r="G5" t="s">
        <v>30</v>
      </c>
      <c r="H5" t="s">
        <v>31</v>
      </c>
      <c r="I5">
        <v>55163.152852195402</v>
      </c>
      <c r="J5">
        <v>55158.754570694698</v>
      </c>
      <c r="K5">
        <v>7.9732235618444502E-5</v>
      </c>
      <c r="L5">
        <v>0.62129092216491699</v>
      </c>
      <c r="M5" t="s">
        <v>32</v>
      </c>
      <c r="N5">
        <v>360</v>
      </c>
      <c r="P5">
        <v>2</v>
      </c>
      <c r="Q5">
        <v>0.5</v>
      </c>
      <c r="R5">
        <v>100</v>
      </c>
      <c r="S5">
        <v>50</v>
      </c>
      <c r="T5">
        <v>0</v>
      </c>
      <c r="U5">
        <v>2</v>
      </c>
      <c r="V5" s="1" t="s">
        <v>33</v>
      </c>
      <c r="W5">
        <v>0.05</v>
      </c>
      <c r="X5">
        <v>3000</v>
      </c>
      <c r="Y5">
        <v>27660</v>
      </c>
      <c r="Z5">
        <v>9705</v>
      </c>
      <c r="AA5">
        <v>14013</v>
      </c>
      <c r="AB5">
        <v>523.43523479693295</v>
      </c>
      <c r="AC5">
        <v>261.71761739846698</v>
      </c>
      <c r="AD5">
        <v>785.15285219539999</v>
      </c>
      <c r="AE5">
        <v>0</v>
      </c>
      <c r="AF5">
        <v>0</v>
      </c>
      <c r="AG5">
        <v>0</v>
      </c>
      <c r="AH5">
        <v>0</v>
      </c>
    </row>
    <row r="6" spans="1:34" x14ac:dyDescent="0.25">
      <c r="A6" t="s">
        <v>37</v>
      </c>
      <c r="B6" t="str" cm="1">
        <f t="array" ref="B6:F6">_xlfn.TEXTSPLIT(A6,"_")</f>
        <v>MVPRP</v>
      </c>
      <c r="C6" t="str">
        <v>C40</v>
      </c>
      <c r="D6" t="str">
        <v>P3</v>
      </c>
      <c r="E6" t="str">
        <v>V3</v>
      </c>
      <c r="F6" t="str">
        <v>I1</v>
      </c>
      <c r="G6" t="s">
        <v>30</v>
      </c>
      <c r="H6" t="s">
        <v>31</v>
      </c>
      <c r="I6">
        <v>42573.582196626798</v>
      </c>
      <c r="J6">
        <v>42573.582196132098</v>
      </c>
      <c r="K6">
        <v>1.16203860820052E-11</v>
      </c>
      <c r="L6">
        <v>0.52277612686157204</v>
      </c>
      <c r="M6" t="s">
        <v>32</v>
      </c>
      <c r="N6">
        <v>360</v>
      </c>
      <c r="P6">
        <v>2</v>
      </c>
      <c r="Q6">
        <v>0.5</v>
      </c>
      <c r="R6">
        <v>100</v>
      </c>
      <c r="S6">
        <v>50</v>
      </c>
      <c r="T6">
        <v>0</v>
      </c>
      <c r="U6">
        <v>2</v>
      </c>
      <c r="V6" s="1" t="s">
        <v>33</v>
      </c>
      <c r="W6">
        <v>0.05</v>
      </c>
      <c r="X6">
        <v>6000</v>
      </c>
      <c r="Y6">
        <v>27660</v>
      </c>
      <c r="Z6">
        <v>4692</v>
      </c>
      <c r="AA6">
        <v>3871.5</v>
      </c>
      <c r="AB6">
        <v>233.38813108453701</v>
      </c>
      <c r="AC6">
        <v>116.694065542269</v>
      </c>
      <c r="AD6">
        <v>350.08219662680602</v>
      </c>
      <c r="AE6">
        <v>0</v>
      </c>
      <c r="AF6">
        <v>0</v>
      </c>
      <c r="AG6">
        <v>0</v>
      </c>
      <c r="AH6">
        <v>0</v>
      </c>
    </row>
    <row r="7" spans="1:34" x14ac:dyDescent="0.25">
      <c r="A7" t="s">
        <v>38</v>
      </c>
      <c r="B7" t="str" cm="1">
        <f t="array" ref="B7:F7">_xlfn.TEXTSPLIT(A7,"_")</f>
        <v>MVPRP</v>
      </c>
      <c r="C7" t="str">
        <v>C20</v>
      </c>
      <c r="D7" t="str">
        <v>P6</v>
      </c>
      <c r="E7" t="str">
        <v>V3</v>
      </c>
      <c r="F7" t="str">
        <v>I1</v>
      </c>
      <c r="G7" t="s">
        <v>30</v>
      </c>
      <c r="H7" t="s">
        <v>31</v>
      </c>
      <c r="I7">
        <v>46359.723733948202</v>
      </c>
      <c r="J7">
        <v>46359.723733948202</v>
      </c>
      <c r="K7">
        <v>0</v>
      </c>
      <c r="L7">
        <v>0.28896093368530301</v>
      </c>
      <c r="M7" t="s">
        <v>32</v>
      </c>
      <c r="N7">
        <v>189</v>
      </c>
      <c r="P7">
        <v>2</v>
      </c>
      <c r="Q7">
        <v>0.5</v>
      </c>
      <c r="R7">
        <v>100</v>
      </c>
      <c r="S7">
        <v>50</v>
      </c>
      <c r="T7">
        <v>0</v>
      </c>
      <c r="U7">
        <v>2</v>
      </c>
      <c r="V7" s="1" t="s">
        <v>33</v>
      </c>
      <c r="W7">
        <v>0.05</v>
      </c>
      <c r="X7">
        <v>6000</v>
      </c>
      <c r="Y7">
        <v>23820</v>
      </c>
      <c r="Z7">
        <v>12078</v>
      </c>
      <c r="AA7">
        <v>4133.5</v>
      </c>
      <c r="AB7">
        <v>218.81582263213099</v>
      </c>
      <c r="AC7">
        <v>109.40791131606601</v>
      </c>
      <c r="AD7">
        <v>328.22373394819601</v>
      </c>
      <c r="AE7">
        <v>0</v>
      </c>
      <c r="AF7">
        <v>0</v>
      </c>
      <c r="AG7">
        <v>0</v>
      </c>
      <c r="AH7">
        <v>0</v>
      </c>
    </row>
    <row r="8" spans="1:34" x14ac:dyDescent="0.25">
      <c r="A8" t="s">
        <v>39</v>
      </c>
      <c r="B8" t="str" cm="1">
        <f t="array" ref="B8:F8">_xlfn.TEXTSPLIT(A8,"_")</f>
        <v>MVPRP</v>
      </c>
      <c r="C8" t="str">
        <v>C10</v>
      </c>
      <c r="D8" t="str">
        <v>P3</v>
      </c>
      <c r="E8" t="str">
        <v>V3</v>
      </c>
      <c r="F8" t="str">
        <v>I1</v>
      </c>
      <c r="G8" t="s">
        <v>30</v>
      </c>
      <c r="H8" t="s">
        <v>31</v>
      </c>
      <c r="I8">
        <v>13310.3697351344</v>
      </c>
      <c r="J8">
        <v>13310.3697351344</v>
      </c>
      <c r="K8">
        <v>0</v>
      </c>
      <c r="L8">
        <v>3.50089073181152E-2</v>
      </c>
      <c r="M8" t="s">
        <v>32</v>
      </c>
      <c r="N8">
        <v>132</v>
      </c>
      <c r="P8">
        <v>2</v>
      </c>
      <c r="Q8">
        <v>0.5</v>
      </c>
      <c r="R8">
        <v>100</v>
      </c>
      <c r="S8">
        <v>50</v>
      </c>
      <c r="T8">
        <v>0</v>
      </c>
      <c r="U8">
        <v>2</v>
      </c>
      <c r="V8" s="1" t="s">
        <v>33</v>
      </c>
      <c r="W8">
        <v>0.05</v>
      </c>
      <c r="X8">
        <v>3000</v>
      </c>
      <c r="Y8">
        <v>6390</v>
      </c>
      <c r="Z8">
        <v>2223</v>
      </c>
      <c r="AA8">
        <v>1648</v>
      </c>
      <c r="AB8">
        <v>32.9131567562399</v>
      </c>
      <c r="AC8">
        <v>16.45657837812</v>
      </c>
      <c r="AD8">
        <v>49.3697351343599</v>
      </c>
      <c r="AE8">
        <v>0</v>
      </c>
      <c r="AF8">
        <v>0</v>
      </c>
      <c r="AG8">
        <v>0</v>
      </c>
      <c r="AH8">
        <v>0</v>
      </c>
    </row>
    <row r="9" spans="1:34" x14ac:dyDescent="0.25">
      <c r="A9" t="s">
        <v>40</v>
      </c>
      <c r="B9" t="str" cm="1">
        <f t="array" ref="B9:F9">_xlfn.TEXTSPLIT(A9,"_")</f>
        <v>MVPRP</v>
      </c>
      <c r="C9" t="str">
        <v>C45</v>
      </c>
      <c r="D9" t="str">
        <v>P3</v>
      </c>
      <c r="E9" t="str">
        <v>V3</v>
      </c>
      <c r="F9" t="str">
        <v>I3</v>
      </c>
      <c r="G9" t="s">
        <v>30</v>
      </c>
      <c r="H9" t="s">
        <v>31</v>
      </c>
      <c r="I9">
        <v>64703.057426742598</v>
      </c>
      <c r="J9">
        <v>64703.057426707899</v>
      </c>
      <c r="K9">
        <v>5.3695604179233501E-13</v>
      </c>
      <c r="L9">
        <v>1.1803050041198699</v>
      </c>
      <c r="M9" t="s">
        <v>32</v>
      </c>
      <c r="N9">
        <v>360</v>
      </c>
      <c r="P9">
        <v>2</v>
      </c>
      <c r="Q9">
        <v>0.5</v>
      </c>
      <c r="R9">
        <v>100</v>
      </c>
      <c r="S9">
        <v>50</v>
      </c>
      <c r="T9">
        <v>0</v>
      </c>
      <c r="U9">
        <v>2</v>
      </c>
      <c r="V9" s="1" t="s">
        <v>33</v>
      </c>
      <c r="W9">
        <v>0.05</v>
      </c>
      <c r="X9">
        <v>6000</v>
      </c>
      <c r="Y9">
        <v>33060</v>
      </c>
      <c r="Z9">
        <v>7474</v>
      </c>
      <c r="AA9">
        <v>16774.5</v>
      </c>
      <c r="AB9">
        <v>929.704951161758</v>
      </c>
      <c r="AC9">
        <v>464.852475580879</v>
      </c>
      <c r="AD9">
        <v>1394.55742674264</v>
      </c>
      <c r="AE9">
        <v>0</v>
      </c>
      <c r="AF9">
        <v>0</v>
      </c>
      <c r="AG9">
        <v>0</v>
      </c>
      <c r="AH9">
        <v>0</v>
      </c>
    </row>
    <row r="10" spans="1:34" x14ac:dyDescent="0.25">
      <c r="A10" t="s">
        <v>41</v>
      </c>
      <c r="B10" t="str" cm="1">
        <f t="array" ref="B10:F10">_xlfn.TEXTSPLIT(A10,"_")</f>
        <v>MVPRP</v>
      </c>
      <c r="C10" t="str">
        <v>C20</v>
      </c>
      <c r="D10" t="str">
        <v>P3</v>
      </c>
      <c r="E10" t="str">
        <v>V3</v>
      </c>
      <c r="F10" t="str">
        <v>I1</v>
      </c>
      <c r="G10" t="s">
        <v>30</v>
      </c>
      <c r="H10" t="s">
        <v>31</v>
      </c>
      <c r="I10">
        <v>21378.120408857201</v>
      </c>
      <c r="J10">
        <v>21378.120408857201</v>
      </c>
      <c r="K10">
        <v>0</v>
      </c>
      <c r="L10">
        <v>0.123895883560181</v>
      </c>
      <c r="M10" t="s">
        <v>32</v>
      </c>
      <c r="N10">
        <v>189</v>
      </c>
      <c r="P10">
        <v>2</v>
      </c>
      <c r="Q10">
        <v>0.5</v>
      </c>
      <c r="R10">
        <v>100</v>
      </c>
      <c r="S10">
        <v>50</v>
      </c>
      <c r="T10">
        <v>0</v>
      </c>
      <c r="U10">
        <v>2</v>
      </c>
      <c r="V10" s="1" t="s">
        <v>33</v>
      </c>
      <c r="W10">
        <v>0.05</v>
      </c>
      <c r="X10">
        <v>3000</v>
      </c>
      <c r="Y10">
        <v>12030</v>
      </c>
      <c r="Z10">
        <v>3827</v>
      </c>
      <c r="AA10">
        <v>2407.5</v>
      </c>
      <c r="AB10">
        <v>75.746939238152194</v>
      </c>
      <c r="AC10">
        <v>37.873469619076097</v>
      </c>
      <c r="AD10">
        <v>113.620408857228</v>
      </c>
      <c r="AE10">
        <v>0</v>
      </c>
      <c r="AF10">
        <v>0</v>
      </c>
      <c r="AG10">
        <v>0</v>
      </c>
      <c r="AH10">
        <v>0</v>
      </c>
    </row>
    <row r="11" spans="1:34" x14ac:dyDescent="0.25">
      <c r="A11" t="s">
        <v>42</v>
      </c>
      <c r="B11" t="str" cm="1">
        <f t="array" ref="B11:F11">_xlfn.TEXTSPLIT(A11,"_")</f>
        <v>MVPRP</v>
      </c>
      <c r="C11" t="str">
        <v>C35</v>
      </c>
      <c r="D11" t="str">
        <v>P3</v>
      </c>
      <c r="E11" t="str">
        <v>V3</v>
      </c>
      <c r="F11" t="str">
        <v>I3</v>
      </c>
      <c r="G11" t="s">
        <v>30</v>
      </c>
      <c r="H11" t="s">
        <v>31</v>
      </c>
      <c r="I11">
        <v>45016.600720531897</v>
      </c>
      <c r="J11">
        <v>45016.600720531897</v>
      </c>
      <c r="K11">
        <v>0</v>
      </c>
      <c r="L11">
        <v>0.25788283348083502</v>
      </c>
      <c r="M11" t="s">
        <v>32</v>
      </c>
      <c r="N11">
        <v>276</v>
      </c>
      <c r="P11">
        <v>2</v>
      </c>
      <c r="Q11">
        <v>0.5</v>
      </c>
      <c r="R11">
        <v>100</v>
      </c>
      <c r="S11">
        <v>50</v>
      </c>
      <c r="T11">
        <v>0</v>
      </c>
      <c r="U11">
        <v>2</v>
      </c>
      <c r="V11" s="1" t="s">
        <v>33</v>
      </c>
      <c r="W11">
        <v>0.05</v>
      </c>
      <c r="X11">
        <v>3000</v>
      </c>
      <c r="Y11">
        <v>21600</v>
      </c>
      <c r="Z11">
        <v>7651</v>
      </c>
      <c r="AA11">
        <v>11935</v>
      </c>
      <c r="AB11">
        <v>553.73381368789899</v>
      </c>
      <c r="AC11">
        <v>276.86690684394898</v>
      </c>
      <c r="AD11">
        <v>830.60072053184797</v>
      </c>
      <c r="AE11">
        <v>0</v>
      </c>
      <c r="AF11">
        <v>0</v>
      </c>
      <c r="AG11">
        <v>0</v>
      </c>
      <c r="AH11">
        <v>0</v>
      </c>
    </row>
    <row r="12" spans="1:34" x14ac:dyDescent="0.25">
      <c r="A12" t="s">
        <v>43</v>
      </c>
      <c r="B12" t="str" cm="1">
        <f t="array" ref="B12:F12">_xlfn.TEXTSPLIT(A12,"_")</f>
        <v>MVPRP</v>
      </c>
      <c r="C12" t="str">
        <v>C40</v>
      </c>
      <c r="D12" t="str">
        <v>P6</v>
      </c>
      <c r="E12" t="str">
        <v>V3</v>
      </c>
      <c r="F12" t="str">
        <v>I1</v>
      </c>
      <c r="G12" t="s">
        <v>30</v>
      </c>
      <c r="H12" t="s">
        <v>31</v>
      </c>
      <c r="I12">
        <v>94289.659078283396</v>
      </c>
      <c r="J12">
        <v>94287.6995011689</v>
      </c>
      <c r="K12">
        <v>2.0782524124149499E-5</v>
      </c>
      <c r="L12">
        <v>1.64149498939514</v>
      </c>
      <c r="M12" t="s">
        <v>32</v>
      </c>
      <c r="N12">
        <v>360</v>
      </c>
      <c r="P12">
        <v>2</v>
      </c>
      <c r="Q12">
        <v>0.5</v>
      </c>
      <c r="R12">
        <v>100</v>
      </c>
      <c r="S12">
        <v>50</v>
      </c>
      <c r="T12">
        <v>0</v>
      </c>
      <c r="U12">
        <v>2</v>
      </c>
      <c r="V12" s="1" t="s">
        <v>33</v>
      </c>
      <c r="W12">
        <v>0.05</v>
      </c>
      <c r="X12">
        <v>6000</v>
      </c>
      <c r="Y12">
        <v>55170</v>
      </c>
      <c r="Z12">
        <v>25322</v>
      </c>
      <c r="AA12">
        <v>6944</v>
      </c>
      <c r="AB12">
        <v>569.10605218889805</v>
      </c>
      <c r="AC12">
        <v>284.55302609444902</v>
      </c>
      <c r="AD12">
        <v>853.65907828334696</v>
      </c>
      <c r="AE12">
        <v>0</v>
      </c>
      <c r="AF12">
        <v>0</v>
      </c>
      <c r="AG12">
        <v>0</v>
      </c>
      <c r="AH12">
        <v>0</v>
      </c>
    </row>
    <row r="13" spans="1:34" x14ac:dyDescent="0.25">
      <c r="A13" t="s">
        <v>44</v>
      </c>
      <c r="B13" t="str" cm="1">
        <f t="array" ref="B13:F13">_xlfn.TEXTSPLIT(A13,"_")</f>
        <v>MVPRP</v>
      </c>
      <c r="C13" t="str">
        <v>C10</v>
      </c>
      <c r="D13" t="str">
        <v>P3</v>
      </c>
      <c r="E13" t="str">
        <v>V3</v>
      </c>
      <c r="F13" t="str">
        <v>I3</v>
      </c>
      <c r="G13" t="s">
        <v>30</v>
      </c>
      <c r="H13" t="s">
        <v>31</v>
      </c>
      <c r="I13">
        <v>18058.295875612901</v>
      </c>
      <c r="J13">
        <v>18058.295875612901</v>
      </c>
      <c r="K13">
        <v>0</v>
      </c>
      <c r="L13">
        <v>3.5550117492675802E-2</v>
      </c>
      <c r="M13" t="s">
        <v>32</v>
      </c>
      <c r="N13">
        <v>132</v>
      </c>
      <c r="P13">
        <v>2</v>
      </c>
      <c r="Q13">
        <v>0.5</v>
      </c>
      <c r="R13">
        <v>100</v>
      </c>
      <c r="S13">
        <v>50</v>
      </c>
      <c r="T13">
        <v>0</v>
      </c>
      <c r="U13">
        <v>2</v>
      </c>
      <c r="V13" s="1" t="s">
        <v>33</v>
      </c>
      <c r="W13">
        <v>0.05</v>
      </c>
      <c r="X13">
        <v>3000</v>
      </c>
      <c r="Y13">
        <v>6390</v>
      </c>
      <c r="Z13">
        <v>2860</v>
      </c>
      <c r="AA13">
        <v>5585</v>
      </c>
      <c r="AB13">
        <v>148.86391707527201</v>
      </c>
      <c r="AC13">
        <v>74.431958537635794</v>
      </c>
      <c r="AD13">
        <v>223.29587561290799</v>
      </c>
      <c r="AE13">
        <v>0</v>
      </c>
      <c r="AF13">
        <v>0</v>
      </c>
      <c r="AG13">
        <v>0</v>
      </c>
      <c r="AH13">
        <v>0</v>
      </c>
    </row>
    <row r="14" spans="1:34" x14ac:dyDescent="0.25">
      <c r="A14" t="s">
        <v>45</v>
      </c>
      <c r="B14" t="str" cm="1">
        <f t="array" ref="B14:F14">_xlfn.TEXTSPLIT(A14,"_")</f>
        <v>MVPRP</v>
      </c>
      <c r="C14" t="str">
        <v>C30</v>
      </c>
      <c r="D14" t="str">
        <v>P3</v>
      </c>
      <c r="E14" t="str">
        <v>V3</v>
      </c>
      <c r="F14" t="str">
        <v>I3</v>
      </c>
      <c r="G14" t="s">
        <v>30</v>
      </c>
      <c r="H14" t="s">
        <v>31</v>
      </c>
      <c r="I14">
        <v>36802.081355002701</v>
      </c>
      <c r="J14">
        <v>36802.081355002701</v>
      </c>
      <c r="K14">
        <v>0</v>
      </c>
      <c r="L14">
        <v>0.18238306045532199</v>
      </c>
      <c r="M14" t="s">
        <v>32</v>
      </c>
      <c r="N14">
        <v>228</v>
      </c>
      <c r="P14">
        <v>2</v>
      </c>
      <c r="Q14">
        <v>0.5</v>
      </c>
      <c r="R14">
        <v>100</v>
      </c>
      <c r="S14">
        <v>50</v>
      </c>
      <c r="T14">
        <v>0</v>
      </c>
      <c r="U14">
        <v>2</v>
      </c>
      <c r="V14" s="1" t="s">
        <v>33</v>
      </c>
      <c r="W14">
        <v>0.05</v>
      </c>
      <c r="X14">
        <v>3000</v>
      </c>
      <c r="Y14">
        <v>16680</v>
      </c>
      <c r="Z14">
        <v>6549</v>
      </c>
      <c r="AA14">
        <v>9797</v>
      </c>
      <c r="AB14">
        <v>517.38757000176304</v>
      </c>
      <c r="AC14">
        <v>258.69378500088101</v>
      </c>
      <c r="AD14">
        <v>776.08135500264405</v>
      </c>
      <c r="AE14">
        <v>0</v>
      </c>
      <c r="AF14">
        <v>0</v>
      </c>
      <c r="AG14">
        <v>0</v>
      </c>
      <c r="AH14">
        <v>0</v>
      </c>
    </row>
    <row r="15" spans="1:34" x14ac:dyDescent="0.25">
      <c r="A15" t="s">
        <v>46</v>
      </c>
      <c r="B15" t="str" cm="1">
        <f t="array" ref="B15:F15">_xlfn.TEXTSPLIT(A15,"_")</f>
        <v>MVPRP</v>
      </c>
      <c r="C15" t="str">
        <v>C20</v>
      </c>
      <c r="D15" t="str">
        <v>P3</v>
      </c>
      <c r="E15" t="str">
        <v>V3</v>
      </c>
      <c r="F15" t="str">
        <v>I3</v>
      </c>
      <c r="G15" t="s">
        <v>30</v>
      </c>
      <c r="H15" t="s">
        <v>31</v>
      </c>
      <c r="I15">
        <v>29250.8296868258</v>
      </c>
      <c r="J15">
        <v>29250.8296868258</v>
      </c>
      <c r="K15">
        <v>0</v>
      </c>
      <c r="L15">
        <v>8.7544918060302707E-2</v>
      </c>
      <c r="M15" t="s">
        <v>32</v>
      </c>
      <c r="N15">
        <v>189</v>
      </c>
      <c r="P15">
        <v>2</v>
      </c>
      <c r="Q15">
        <v>0.5</v>
      </c>
      <c r="R15">
        <v>100</v>
      </c>
      <c r="S15">
        <v>50</v>
      </c>
      <c r="T15">
        <v>0</v>
      </c>
      <c r="U15">
        <v>2</v>
      </c>
      <c r="V15" s="1" t="s">
        <v>33</v>
      </c>
      <c r="W15">
        <v>0.05</v>
      </c>
      <c r="X15">
        <v>3000</v>
      </c>
      <c r="Y15">
        <v>12030</v>
      </c>
      <c r="Z15">
        <v>4645</v>
      </c>
      <c r="AA15">
        <v>8842</v>
      </c>
      <c r="AB15">
        <v>489.21979121723098</v>
      </c>
      <c r="AC15">
        <v>244.609895608616</v>
      </c>
      <c r="AD15">
        <v>733.82968682584703</v>
      </c>
      <c r="AE15">
        <v>0</v>
      </c>
      <c r="AF15">
        <v>0</v>
      </c>
      <c r="AG15">
        <v>0</v>
      </c>
      <c r="AH15">
        <v>0</v>
      </c>
    </row>
    <row r="16" spans="1:34" x14ac:dyDescent="0.25">
      <c r="A16" t="s">
        <v>47</v>
      </c>
      <c r="B16" t="str" cm="1">
        <f t="array" ref="B16:F16">_xlfn.TEXTSPLIT(A16,"_")</f>
        <v>MVPRP</v>
      </c>
      <c r="C16" t="str">
        <v>C35</v>
      </c>
      <c r="D16" t="str">
        <v>P6</v>
      </c>
      <c r="E16" t="str">
        <v>V3</v>
      </c>
      <c r="F16" t="str">
        <v>I3</v>
      </c>
      <c r="G16" t="s">
        <v>30</v>
      </c>
      <c r="H16" t="s">
        <v>31</v>
      </c>
      <c r="I16">
        <v>95763.458077276504</v>
      </c>
      <c r="J16">
        <v>95761.543621923396</v>
      </c>
      <c r="K16">
        <v>1.9991501888549501E-5</v>
      </c>
      <c r="L16">
        <v>0.98432803153991699</v>
      </c>
      <c r="M16" t="s">
        <v>32</v>
      </c>
      <c r="N16">
        <v>276</v>
      </c>
      <c r="P16">
        <v>2</v>
      </c>
      <c r="Q16">
        <v>0.5</v>
      </c>
      <c r="R16">
        <v>100</v>
      </c>
      <c r="S16">
        <v>50</v>
      </c>
      <c r="T16">
        <v>0</v>
      </c>
      <c r="U16">
        <v>2</v>
      </c>
      <c r="V16" s="1" t="s">
        <v>33</v>
      </c>
      <c r="W16">
        <v>0.05</v>
      </c>
      <c r="X16">
        <v>6000</v>
      </c>
      <c r="Y16">
        <v>42900</v>
      </c>
      <c r="Z16">
        <v>20532</v>
      </c>
      <c r="AA16">
        <v>21402</v>
      </c>
      <c r="AB16">
        <v>3286.3053848509599</v>
      </c>
      <c r="AC16">
        <v>1643.1526924254799</v>
      </c>
      <c r="AD16">
        <v>4929.4580772764302</v>
      </c>
      <c r="AE16">
        <v>0</v>
      </c>
      <c r="AF16">
        <v>0</v>
      </c>
      <c r="AG16">
        <v>0</v>
      </c>
      <c r="AH16">
        <v>0</v>
      </c>
    </row>
    <row r="17" spans="1:34" x14ac:dyDescent="0.25">
      <c r="A17" t="s">
        <v>48</v>
      </c>
      <c r="B17" t="str" cm="1">
        <f t="array" ref="B17:F17">_xlfn.TEXTSPLIT(A17,"_")</f>
        <v>MVPRP</v>
      </c>
      <c r="C17" t="str">
        <v>C25</v>
      </c>
      <c r="D17" t="str">
        <v>P6</v>
      </c>
      <c r="E17" t="str">
        <v>V3</v>
      </c>
      <c r="F17" t="str">
        <v>I3</v>
      </c>
      <c r="G17" t="s">
        <v>30</v>
      </c>
      <c r="H17" t="s">
        <v>31</v>
      </c>
      <c r="I17">
        <v>73077.805343702406</v>
      </c>
      <c r="J17">
        <v>73077.805343702305</v>
      </c>
      <c r="K17">
        <v>1.3939034720525601E-15</v>
      </c>
      <c r="L17">
        <v>0.43216204643249501</v>
      </c>
      <c r="M17" t="s">
        <v>32</v>
      </c>
      <c r="N17">
        <v>189</v>
      </c>
      <c r="P17">
        <v>2</v>
      </c>
      <c r="Q17">
        <v>0.5</v>
      </c>
      <c r="R17">
        <v>100</v>
      </c>
      <c r="S17">
        <v>50</v>
      </c>
      <c r="T17">
        <v>0</v>
      </c>
      <c r="U17">
        <v>2</v>
      </c>
      <c r="V17" s="1" t="s">
        <v>33</v>
      </c>
      <c r="W17">
        <v>0.05</v>
      </c>
      <c r="X17">
        <v>6000</v>
      </c>
      <c r="Y17">
        <v>28380</v>
      </c>
      <c r="Z17">
        <v>17845</v>
      </c>
      <c r="AA17">
        <v>17320.5</v>
      </c>
      <c r="AB17">
        <v>2354.87022913495</v>
      </c>
      <c r="AC17">
        <v>1177.43511456748</v>
      </c>
      <c r="AD17">
        <v>3532.30534370242</v>
      </c>
      <c r="AE17">
        <v>0</v>
      </c>
      <c r="AF17">
        <v>0</v>
      </c>
      <c r="AG17">
        <v>0</v>
      </c>
      <c r="AH17">
        <v>0</v>
      </c>
    </row>
    <row r="18" spans="1:34" x14ac:dyDescent="0.25">
      <c r="A18" t="s">
        <v>49</v>
      </c>
      <c r="B18" t="str" cm="1">
        <f t="array" ref="B18:F18">_xlfn.TEXTSPLIT(A18,"_")</f>
        <v>MVPRP</v>
      </c>
      <c r="C18" t="str">
        <v>C15</v>
      </c>
      <c r="D18" t="str">
        <v>P6</v>
      </c>
      <c r="E18" t="str">
        <v>V3</v>
      </c>
      <c r="F18" t="str">
        <v>I3</v>
      </c>
      <c r="G18" t="s">
        <v>30</v>
      </c>
      <c r="H18" t="s">
        <v>31</v>
      </c>
      <c r="I18">
        <v>57150.9185117249</v>
      </c>
      <c r="J18">
        <v>57150.9185117249</v>
      </c>
      <c r="K18">
        <v>0</v>
      </c>
      <c r="L18">
        <v>0.167562961578369</v>
      </c>
      <c r="M18" t="s">
        <v>32</v>
      </c>
      <c r="N18">
        <v>132</v>
      </c>
      <c r="P18">
        <v>2</v>
      </c>
      <c r="Q18">
        <v>0.5</v>
      </c>
      <c r="R18">
        <v>100</v>
      </c>
      <c r="S18">
        <v>50</v>
      </c>
      <c r="T18">
        <v>0</v>
      </c>
      <c r="U18">
        <v>2</v>
      </c>
      <c r="V18" s="1" t="s">
        <v>33</v>
      </c>
      <c r="W18">
        <v>0.05</v>
      </c>
      <c r="X18">
        <v>6000</v>
      </c>
      <c r="Y18">
        <v>19800</v>
      </c>
      <c r="Z18">
        <v>12105</v>
      </c>
      <c r="AA18">
        <v>16216</v>
      </c>
      <c r="AB18">
        <v>2019.9456744833001</v>
      </c>
      <c r="AC18">
        <v>1009.97283724165</v>
      </c>
      <c r="AD18">
        <v>3029.9185117249499</v>
      </c>
      <c r="AE18">
        <v>0</v>
      </c>
      <c r="AF18">
        <v>0</v>
      </c>
      <c r="AG18">
        <v>0</v>
      </c>
      <c r="AH18">
        <v>0</v>
      </c>
    </row>
    <row r="19" spans="1:34" x14ac:dyDescent="0.25">
      <c r="A19" t="s">
        <v>50</v>
      </c>
      <c r="B19" t="str" cm="1">
        <f t="array" ref="B19:F19">_xlfn.TEXTSPLIT(A19,"_")</f>
        <v>MVPRP</v>
      </c>
      <c r="C19" t="str">
        <v>C50</v>
      </c>
      <c r="D19" t="str">
        <v>P3</v>
      </c>
      <c r="E19" t="str">
        <v>V3</v>
      </c>
      <c r="F19" t="str">
        <v>I3</v>
      </c>
      <c r="G19" t="s">
        <v>30</v>
      </c>
      <c r="H19" t="s">
        <v>31</v>
      </c>
      <c r="I19">
        <v>60442.363051764703</v>
      </c>
      <c r="J19">
        <v>60438.1314362423</v>
      </c>
      <c r="K19">
        <v>7.0010755846874905E-5</v>
      </c>
      <c r="L19">
        <v>0.84387683868408203</v>
      </c>
      <c r="M19" t="s">
        <v>32</v>
      </c>
      <c r="N19">
        <v>360</v>
      </c>
      <c r="P19">
        <v>2</v>
      </c>
      <c r="Q19">
        <v>0.5</v>
      </c>
      <c r="R19">
        <v>100</v>
      </c>
      <c r="S19">
        <v>50</v>
      </c>
      <c r="T19">
        <v>0</v>
      </c>
      <c r="U19">
        <v>2</v>
      </c>
      <c r="V19" s="1" t="s">
        <v>33</v>
      </c>
      <c r="W19">
        <v>0.05</v>
      </c>
      <c r="X19">
        <v>3000</v>
      </c>
      <c r="Y19">
        <v>29580</v>
      </c>
      <c r="Z19">
        <v>9779</v>
      </c>
      <c r="AA19">
        <v>16702</v>
      </c>
      <c r="AB19">
        <v>920.90870117649399</v>
      </c>
      <c r="AC19">
        <v>460.454350588247</v>
      </c>
      <c r="AD19">
        <v>1381.36305176474</v>
      </c>
      <c r="AE19">
        <v>0</v>
      </c>
      <c r="AF19">
        <v>0</v>
      </c>
      <c r="AG19">
        <v>0</v>
      </c>
      <c r="AH19">
        <v>0</v>
      </c>
    </row>
    <row r="20" spans="1:34" x14ac:dyDescent="0.25">
      <c r="A20" t="s">
        <v>51</v>
      </c>
      <c r="B20" t="str" cm="1">
        <f t="array" ref="B20:F20">_xlfn.TEXTSPLIT(A20,"_")</f>
        <v>MVPRP</v>
      </c>
      <c r="C20" t="str">
        <v>C30</v>
      </c>
      <c r="D20" t="str">
        <v>P6</v>
      </c>
      <c r="E20" t="str">
        <v>V3</v>
      </c>
      <c r="F20" t="str">
        <v>I3</v>
      </c>
      <c r="G20" t="s">
        <v>30</v>
      </c>
      <c r="H20" t="s">
        <v>31</v>
      </c>
      <c r="I20">
        <v>77354.526374788198</v>
      </c>
      <c r="J20">
        <v>77352.388431525804</v>
      </c>
      <c r="K20">
        <v>2.76382438443287E-5</v>
      </c>
      <c r="L20">
        <v>0.71352505683898904</v>
      </c>
      <c r="M20" t="s">
        <v>32</v>
      </c>
      <c r="N20">
        <v>228</v>
      </c>
      <c r="P20">
        <v>2</v>
      </c>
      <c r="Q20">
        <v>0.5</v>
      </c>
      <c r="R20">
        <v>100</v>
      </c>
      <c r="S20">
        <v>50</v>
      </c>
      <c r="T20">
        <v>0</v>
      </c>
      <c r="U20">
        <v>2</v>
      </c>
      <c r="V20" s="1" t="s">
        <v>33</v>
      </c>
      <c r="W20">
        <v>0.05</v>
      </c>
      <c r="X20">
        <v>6000</v>
      </c>
      <c r="Y20">
        <v>33150</v>
      </c>
      <c r="Z20">
        <v>15987</v>
      </c>
      <c r="AA20">
        <v>19381.5</v>
      </c>
      <c r="AB20">
        <v>1890.6842498587901</v>
      </c>
      <c r="AC20">
        <v>945.342124929394</v>
      </c>
      <c r="AD20">
        <v>2836.02637478819</v>
      </c>
      <c r="AE20">
        <v>0</v>
      </c>
      <c r="AF20">
        <v>0</v>
      </c>
      <c r="AG20">
        <v>0</v>
      </c>
      <c r="AH20">
        <v>0</v>
      </c>
    </row>
    <row r="21" spans="1:34" x14ac:dyDescent="0.25">
      <c r="A21" t="s">
        <v>52</v>
      </c>
      <c r="B21" t="str" cm="1">
        <f t="array" ref="B21:F21">_xlfn.TEXTSPLIT(A21,"_")</f>
        <v>MVPRP</v>
      </c>
      <c r="C21" t="str">
        <v>C45</v>
      </c>
      <c r="D21" t="str">
        <v>P3</v>
      </c>
      <c r="E21" t="str">
        <v>V3</v>
      </c>
      <c r="F21" t="str">
        <v>I1</v>
      </c>
      <c r="G21" t="s">
        <v>30</v>
      </c>
      <c r="H21" t="s">
        <v>31</v>
      </c>
      <c r="I21">
        <v>48829.581233312201</v>
      </c>
      <c r="J21">
        <v>48829.581232696502</v>
      </c>
      <c r="K21">
        <v>1.26089865561282E-11</v>
      </c>
      <c r="L21">
        <v>0.78091788291931197</v>
      </c>
      <c r="M21" t="s">
        <v>32</v>
      </c>
      <c r="N21">
        <v>360</v>
      </c>
      <c r="P21">
        <v>2</v>
      </c>
      <c r="Q21">
        <v>0.5</v>
      </c>
      <c r="R21">
        <v>100</v>
      </c>
      <c r="S21">
        <v>50</v>
      </c>
      <c r="T21">
        <v>0</v>
      </c>
      <c r="U21">
        <v>2</v>
      </c>
      <c r="V21" s="1" t="s">
        <v>33</v>
      </c>
      <c r="W21">
        <v>0.05</v>
      </c>
      <c r="X21">
        <v>6000</v>
      </c>
      <c r="Y21">
        <v>33060</v>
      </c>
      <c r="Z21">
        <v>5021</v>
      </c>
      <c r="AA21">
        <v>4178</v>
      </c>
      <c r="AB21">
        <v>380.387488874822</v>
      </c>
      <c r="AC21">
        <v>190.193744437411</v>
      </c>
      <c r="AD21">
        <v>570.58123331223396</v>
      </c>
      <c r="AE21">
        <v>0</v>
      </c>
      <c r="AF21">
        <v>0</v>
      </c>
      <c r="AG21">
        <v>0</v>
      </c>
      <c r="AH21">
        <v>0</v>
      </c>
    </row>
    <row r="22" spans="1:34" x14ac:dyDescent="0.25">
      <c r="A22" t="s">
        <v>53</v>
      </c>
      <c r="B22" t="str" cm="1">
        <f t="array" ref="B22:F22">_xlfn.TEXTSPLIT(A22,"_")</f>
        <v>MVPRP</v>
      </c>
      <c r="C22" t="str">
        <v>C25</v>
      </c>
      <c r="D22" t="str">
        <v>P6</v>
      </c>
      <c r="E22" t="str">
        <v>V3</v>
      </c>
      <c r="F22" t="str">
        <v>I1</v>
      </c>
      <c r="G22" t="s">
        <v>30</v>
      </c>
      <c r="H22" t="s">
        <v>31</v>
      </c>
      <c r="I22">
        <v>55786.484722264096</v>
      </c>
      <c r="J22">
        <v>55786.484722264096</v>
      </c>
      <c r="K22">
        <v>0</v>
      </c>
      <c r="L22">
        <v>0.63126611709594704</v>
      </c>
      <c r="M22" t="s">
        <v>32</v>
      </c>
      <c r="N22">
        <v>189</v>
      </c>
      <c r="P22">
        <v>2</v>
      </c>
      <c r="Q22">
        <v>0.5</v>
      </c>
      <c r="R22">
        <v>100</v>
      </c>
      <c r="S22">
        <v>50</v>
      </c>
      <c r="T22">
        <v>0</v>
      </c>
      <c r="U22">
        <v>2</v>
      </c>
      <c r="V22" s="1" t="s">
        <v>33</v>
      </c>
      <c r="W22">
        <v>0.05</v>
      </c>
      <c r="X22">
        <v>6000</v>
      </c>
      <c r="Y22">
        <v>28380</v>
      </c>
      <c r="Z22">
        <v>16369</v>
      </c>
      <c r="AA22">
        <v>4530</v>
      </c>
      <c r="AB22">
        <v>338.323148176073</v>
      </c>
      <c r="AC22">
        <v>169.16157408803599</v>
      </c>
      <c r="AD22">
        <v>507.484722264109</v>
      </c>
      <c r="AE22">
        <v>0</v>
      </c>
      <c r="AF22">
        <v>0</v>
      </c>
      <c r="AG22">
        <v>0</v>
      </c>
      <c r="AH22">
        <v>0</v>
      </c>
    </row>
    <row r="23" spans="1:34" x14ac:dyDescent="0.25">
      <c r="A23" t="s">
        <v>54</v>
      </c>
      <c r="B23" t="str" cm="1">
        <f t="array" ref="B23:F23">_xlfn.TEXTSPLIT(A23,"_")</f>
        <v>MVPRP</v>
      </c>
      <c r="C23" t="str">
        <v>C35</v>
      </c>
      <c r="D23" t="str">
        <v>P6</v>
      </c>
      <c r="E23" t="str">
        <v>V3</v>
      </c>
      <c r="F23" t="str">
        <v>I1</v>
      </c>
      <c r="G23" t="s">
        <v>30</v>
      </c>
      <c r="H23" t="s">
        <v>31</v>
      </c>
      <c r="I23">
        <v>72969.8460902964</v>
      </c>
      <c r="J23">
        <v>72969.151541604195</v>
      </c>
      <c r="K23">
        <v>9.5182973428135496E-6</v>
      </c>
      <c r="L23">
        <v>1.2403638362884499</v>
      </c>
      <c r="M23" t="s">
        <v>32</v>
      </c>
      <c r="N23">
        <v>276</v>
      </c>
      <c r="P23">
        <v>2</v>
      </c>
      <c r="Q23">
        <v>0.5</v>
      </c>
      <c r="R23">
        <v>100</v>
      </c>
      <c r="S23">
        <v>50</v>
      </c>
      <c r="T23">
        <v>0</v>
      </c>
      <c r="U23">
        <v>2</v>
      </c>
      <c r="V23" s="1" t="s">
        <v>33</v>
      </c>
      <c r="W23">
        <v>0.05</v>
      </c>
      <c r="X23">
        <v>6000</v>
      </c>
      <c r="Y23">
        <v>42900</v>
      </c>
      <c r="Z23">
        <v>17483</v>
      </c>
      <c r="AA23">
        <v>6002</v>
      </c>
      <c r="AB23">
        <v>389.89739353091301</v>
      </c>
      <c r="AC23">
        <v>194.94869676545599</v>
      </c>
      <c r="AD23">
        <v>584.84609029636897</v>
      </c>
      <c r="AE23">
        <v>0</v>
      </c>
      <c r="AF23">
        <v>0</v>
      </c>
      <c r="AG23">
        <v>0</v>
      </c>
      <c r="AH23">
        <v>0</v>
      </c>
    </row>
    <row r="24" spans="1:34" x14ac:dyDescent="0.25">
      <c r="A24" t="s">
        <v>55</v>
      </c>
      <c r="B24" t="str" cm="1">
        <f t="array" ref="B24:F24">_xlfn.TEXTSPLIT(A24,"_")</f>
        <v>MVPRP</v>
      </c>
      <c r="C24" t="str">
        <v>C25</v>
      </c>
      <c r="D24" t="str">
        <v>P3</v>
      </c>
      <c r="E24" t="str">
        <v>V3</v>
      </c>
      <c r="F24" t="str">
        <v>I1</v>
      </c>
      <c r="G24" t="s">
        <v>30</v>
      </c>
      <c r="H24" t="s">
        <v>31</v>
      </c>
      <c r="I24">
        <v>25165.198867160201</v>
      </c>
      <c r="J24">
        <v>25165.198867160201</v>
      </c>
      <c r="K24">
        <v>0</v>
      </c>
      <c r="L24">
        <v>0.14877581596374501</v>
      </c>
      <c r="M24" t="s">
        <v>32</v>
      </c>
      <c r="N24">
        <v>189</v>
      </c>
      <c r="P24">
        <v>2</v>
      </c>
      <c r="Q24">
        <v>0.5</v>
      </c>
      <c r="R24">
        <v>100</v>
      </c>
      <c r="S24">
        <v>50</v>
      </c>
      <c r="T24">
        <v>0</v>
      </c>
      <c r="U24">
        <v>2</v>
      </c>
      <c r="V24" s="1" t="s">
        <v>33</v>
      </c>
      <c r="W24">
        <v>0.05</v>
      </c>
      <c r="X24">
        <v>3000</v>
      </c>
      <c r="Y24">
        <v>14340</v>
      </c>
      <c r="Z24">
        <v>4915</v>
      </c>
      <c r="AA24">
        <v>2669</v>
      </c>
      <c r="AB24">
        <v>160.79924477344201</v>
      </c>
      <c r="AC24">
        <v>80.399622386721205</v>
      </c>
      <c r="AD24">
        <v>241.19886716016299</v>
      </c>
      <c r="AE24">
        <v>0</v>
      </c>
      <c r="AF24">
        <v>0</v>
      </c>
      <c r="AG24">
        <v>0</v>
      </c>
      <c r="AH24">
        <v>0</v>
      </c>
    </row>
    <row r="25" spans="1:34" x14ac:dyDescent="0.25">
      <c r="A25" t="s">
        <v>56</v>
      </c>
      <c r="B25" t="str" cm="1">
        <f t="array" ref="B25:F25">_xlfn.TEXTSPLIT(A25,"_")</f>
        <v>MVPRP</v>
      </c>
      <c r="C25" t="str">
        <v>C10</v>
      </c>
      <c r="D25" t="str">
        <v>P6</v>
      </c>
      <c r="E25" t="str">
        <v>V3</v>
      </c>
      <c r="F25" t="str">
        <v>I1</v>
      </c>
      <c r="G25" t="s">
        <v>30</v>
      </c>
      <c r="H25" t="s">
        <v>31</v>
      </c>
      <c r="I25">
        <v>28912.325360672399</v>
      </c>
      <c r="J25">
        <v>28912.325360672399</v>
      </c>
      <c r="K25">
        <v>0</v>
      </c>
      <c r="L25">
        <v>0.128209829330444</v>
      </c>
      <c r="M25" t="s">
        <v>32</v>
      </c>
      <c r="N25">
        <v>132</v>
      </c>
      <c r="P25">
        <v>2</v>
      </c>
      <c r="Q25">
        <v>0.5</v>
      </c>
      <c r="R25">
        <v>100</v>
      </c>
      <c r="S25">
        <v>50</v>
      </c>
      <c r="T25">
        <v>0</v>
      </c>
      <c r="U25">
        <v>2</v>
      </c>
      <c r="V25" s="1" t="s">
        <v>33</v>
      </c>
      <c r="W25">
        <v>0.05</v>
      </c>
      <c r="X25">
        <v>6000</v>
      </c>
      <c r="Y25">
        <v>12690</v>
      </c>
      <c r="Z25">
        <v>7073</v>
      </c>
      <c r="AA25">
        <v>3045.5</v>
      </c>
      <c r="AB25">
        <v>69.216907114924695</v>
      </c>
      <c r="AC25">
        <v>34.608453557462397</v>
      </c>
      <c r="AD25">
        <v>103.82536067238701</v>
      </c>
      <c r="AE25">
        <v>0</v>
      </c>
      <c r="AF25">
        <v>0</v>
      </c>
      <c r="AG25">
        <v>0</v>
      </c>
      <c r="AH25">
        <v>0</v>
      </c>
    </row>
    <row r="26" spans="1:34" x14ac:dyDescent="0.25">
      <c r="A26" t="s">
        <v>57</v>
      </c>
      <c r="B26" t="str" cm="1">
        <f t="array" ref="B26:F26">_xlfn.TEXTSPLIT(A26,"_")</f>
        <v>MVPRP</v>
      </c>
      <c r="C26" t="str">
        <v>C35</v>
      </c>
      <c r="D26" t="str">
        <v>P3</v>
      </c>
      <c r="E26" t="str">
        <v>V3</v>
      </c>
      <c r="F26" t="str">
        <v>I1</v>
      </c>
      <c r="G26" t="s">
        <v>30</v>
      </c>
      <c r="H26" t="s">
        <v>31</v>
      </c>
      <c r="I26">
        <v>34416.2067617551</v>
      </c>
      <c r="J26">
        <v>34415.584928466298</v>
      </c>
      <c r="K26">
        <v>1.80680367583086E-5</v>
      </c>
      <c r="L26">
        <v>0.63661909103393599</v>
      </c>
      <c r="M26" t="s">
        <v>32</v>
      </c>
      <c r="N26">
        <v>276</v>
      </c>
      <c r="P26">
        <v>2</v>
      </c>
      <c r="Q26">
        <v>0.5</v>
      </c>
      <c r="R26">
        <v>100</v>
      </c>
      <c r="S26">
        <v>50</v>
      </c>
      <c r="T26">
        <v>0</v>
      </c>
      <c r="U26">
        <v>2</v>
      </c>
      <c r="V26" s="1" t="s">
        <v>33</v>
      </c>
      <c r="W26">
        <v>0.05</v>
      </c>
      <c r="X26">
        <v>3000</v>
      </c>
      <c r="Y26">
        <v>21600</v>
      </c>
      <c r="Z26">
        <v>6375</v>
      </c>
      <c r="AA26">
        <v>3156.5</v>
      </c>
      <c r="AB26">
        <v>189.80450783674499</v>
      </c>
      <c r="AC26">
        <v>94.902253918372494</v>
      </c>
      <c r="AD26">
        <v>284.70676175511801</v>
      </c>
      <c r="AE26">
        <v>0</v>
      </c>
      <c r="AF26">
        <v>0</v>
      </c>
      <c r="AG26">
        <v>0</v>
      </c>
      <c r="AH26">
        <v>0</v>
      </c>
    </row>
    <row r="27" spans="1:34" x14ac:dyDescent="0.25">
      <c r="A27" t="s">
        <v>58</v>
      </c>
      <c r="B27" t="str" cm="1">
        <f t="array" ref="B27:F27">_xlfn.TEXTSPLIT(A27,"_")</f>
        <v>MVPRP</v>
      </c>
      <c r="C27" t="str">
        <v>C10</v>
      </c>
      <c r="D27" t="str">
        <v>P6</v>
      </c>
      <c r="E27" t="str">
        <v>V3</v>
      </c>
      <c r="F27" t="str">
        <v>I3</v>
      </c>
      <c r="G27" t="s">
        <v>30</v>
      </c>
      <c r="H27" t="s">
        <v>31</v>
      </c>
      <c r="I27">
        <v>38038.172765691197</v>
      </c>
      <c r="J27">
        <v>38038.172765691197</v>
      </c>
      <c r="K27">
        <v>0</v>
      </c>
      <c r="L27">
        <v>9.3133926391601604E-2</v>
      </c>
      <c r="M27" t="s">
        <v>32</v>
      </c>
      <c r="N27">
        <v>132</v>
      </c>
      <c r="P27">
        <v>2</v>
      </c>
      <c r="Q27">
        <v>0.5</v>
      </c>
      <c r="R27">
        <v>100</v>
      </c>
      <c r="S27">
        <v>50</v>
      </c>
      <c r="T27">
        <v>0</v>
      </c>
      <c r="U27">
        <v>2</v>
      </c>
      <c r="V27" s="1" t="s">
        <v>33</v>
      </c>
      <c r="W27">
        <v>0.05</v>
      </c>
      <c r="X27">
        <v>6000</v>
      </c>
      <c r="Y27">
        <v>12690</v>
      </c>
      <c r="Z27">
        <v>7881</v>
      </c>
      <c r="AA27">
        <v>10745.5</v>
      </c>
      <c r="AB27">
        <v>481.115177127479</v>
      </c>
      <c r="AC27">
        <v>240.55758856374001</v>
      </c>
      <c r="AD27">
        <v>721.67276569121896</v>
      </c>
      <c r="AE27">
        <v>0</v>
      </c>
      <c r="AF27">
        <v>0</v>
      </c>
      <c r="AG27">
        <v>0</v>
      </c>
      <c r="AH27">
        <v>0</v>
      </c>
    </row>
    <row r="28" spans="1:34" x14ac:dyDescent="0.25">
      <c r="A28" t="s">
        <v>59</v>
      </c>
      <c r="B28" t="str" cm="1">
        <f t="array" ref="B28:F28">_xlfn.TEXTSPLIT(A28,"_")</f>
        <v>MVPRP</v>
      </c>
      <c r="C28" t="str">
        <v>C50</v>
      </c>
      <c r="D28" t="str">
        <v>P3</v>
      </c>
      <c r="E28" t="str">
        <v>V3</v>
      </c>
      <c r="F28" t="str">
        <v>I1</v>
      </c>
      <c r="G28" t="s">
        <v>30</v>
      </c>
      <c r="H28" t="s">
        <v>31</v>
      </c>
      <c r="I28">
        <v>45274.429161204403</v>
      </c>
      <c r="J28">
        <v>45274.429161204403</v>
      </c>
      <c r="K28">
        <v>0</v>
      </c>
      <c r="L28">
        <v>0.90576791763305697</v>
      </c>
      <c r="M28" t="s">
        <v>32</v>
      </c>
      <c r="N28">
        <v>360</v>
      </c>
      <c r="P28">
        <v>2</v>
      </c>
      <c r="Q28">
        <v>0.5</v>
      </c>
      <c r="R28">
        <v>100</v>
      </c>
      <c r="S28">
        <v>50</v>
      </c>
      <c r="T28">
        <v>0</v>
      </c>
      <c r="U28">
        <v>2</v>
      </c>
      <c r="V28" s="1" t="s">
        <v>33</v>
      </c>
      <c r="W28">
        <v>0.05</v>
      </c>
      <c r="X28">
        <v>6000</v>
      </c>
      <c r="Y28">
        <v>29580</v>
      </c>
      <c r="Z28">
        <v>4550</v>
      </c>
      <c r="AA28">
        <v>4503</v>
      </c>
      <c r="AB28">
        <v>427.61944080296797</v>
      </c>
      <c r="AC28">
        <v>213.80972040148399</v>
      </c>
      <c r="AD28">
        <v>641.42916120445102</v>
      </c>
      <c r="AE28">
        <v>0</v>
      </c>
      <c r="AF28">
        <v>0</v>
      </c>
      <c r="AG28">
        <v>0</v>
      </c>
      <c r="AH28">
        <v>0</v>
      </c>
    </row>
    <row r="29" spans="1:34" x14ac:dyDescent="0.25">
      <c r="A29" t="s">
        <v>60</v>
      </c>
      <c r="B29" t="str" cm="1">
        <f t="array" ref="B29:F29">_xlfn.TEXTSPLIT(A29,"_")</f>
        <v>MVPRP</v>
      </c>
      <c r="C29" t="str">
        <v>C30</v>
      </c>
      <c r="D29" t="str">
        <v>P6</v>
      </c>
      <c r="E29" t="str">
        <v>V3</v>
      </c>
      <c r="F29" t="str">
        <v>I1</v>
      </c>
      <c r="G29" t="s">
        <v>30</v>
      </c>
      <c r="H29" t="s">
        <v>31</v>
      </c>
      <c r="I29">
        <v>59517.4860415476</v>
      </c>
      <c r="J29">
        <v>59512.7415498232</v>
      </c>
      <c r="K29">
        <v>7.9715929552229601E-5</v>
      </c>
      <c r="L29">
        <v>1.0299308300018299</v>
      </c>
      <c r="M29" t="s">
        <v>32</v>
      </c>
      <c r="N29">
        <v>228</v>
      </c>
      <c r="P29">
        <v>2</v>
      </c>
      <c r="Q29">
        <v>0.5</v>
      </c>
      <c r="R29">
        <v>100</v>
      </c>
      <c r="S29">
        <v>50</v>
      </c>
      <c r="T29">
        <v>0</v>
      </c>
      <c r="U29">
        <v>2</v>
      </c>
      <c r="V29" s="1" t="s">
        <v>33</v>
      </c>
      <c r="W29">
        <v>0.05</v>
      </c>
      <c r="X29">
        <v>6000</v>
      </c>
      <c r="Y29">
        <v>33150</v>
      </c>
      <c r="Z29">
        <v>15210</v>
      </c>
      <c r="AA29">
        <v>4721.5</v>
      </c>
      <c r="AB29">
        <v>290.65736103175402</v>
      </c>
      <c r="AC29">
        <v>145.32868051587701</v>
      </c>
      <c r="AD29">
        <v>435.98604154763098</v>
      </c>
      <c r="AE29">
        <v>0</v>
      </c>
      <c r="AF29">
        <v>0</v>
      </c>
      <c r="AG29">
        <v>0</v>
      </c>
      <c r="AH29">
        <v>0</v>
      </c>
    </row>
    <row r="30" spans="1:34" x14ac:dyDescent="0.25">
      <c r="A30" t="s">
        <v>61</v>
      </c>
      <c r="B30" t="str" cm="1">
        <f t="array" ref="B30:F30">_xlfn.TEXTSPLIT(A30,"_")</f>
        <v>MVPRP</v>
      </c>
      <c r="C30" t="str">
        <v>C25</v>
      </c>
      <c r="D30" t="str">
        <v>P9</v>
      </c>
      <c r="E30" t="str">
        <v>V3</v>
      </c>
      <c r="F30" t="str">
        <v>I1</v>
      </c>
      <c r="G30" t="s">
        <v>30</v>
      </c>
      <c r="H30" t="s">
        <v>31</v>
      </c>
      <c r="I30">
        <v>99854.509339261407</v>
      </c>
      <c r="J30">
        <v>99849.069530817404</v>
      </c>
      <c r="K30">
        <v>5.4477343887610703E-5</v>
      </c>
      <c r="L30">
        <v>0.93325495719909701</v>
      </c>
      <c r="M30" t="s">
        <v>32</v>
      </c>
      <c r="N30">
        <v>189</v>
      </c>
      <c r="P30">
        <v>2</v>
      </c>
      <c r="Q30">
        <v>0.5</v>
      </c>
      <c r="R30">
        <v>100</v>
      </c>
      <c r="S30">
        <v>50</v>
      </c>
      <c r="T30">
        <v>0</v>
      </c>
      <c r="U30">
        <v>2</v>
      </c>
      <c r="V30" s="1" t="s">
        <v>33</v>
      </c>
      <c r="W30">
        <v>0.05</v>
      </c>
      <c r="X30">
        <v>9000</v>
      </c>
      <c r="Y30">
        <v>59880</v>
      </c>
      <c r="Z30">
        <v>19728</v>
      </c>
      <c r="AA30">
        <v>8965.5</v>
      </c>
      <c r="AB30">
        <v>1520.6728928409</v>
      </c>
      <c r="AC30">
        <v>760.33644642044999</v>
      </c>
      <c r="AD30">
        <v>2281.0093392613499</v>
      </c>
      <c r="AE30">
        <v>0</v>
      </c>
      <c r="AF30">
        <v>0</v>
      </c>
      <c r="AG30">
        <v>0</v>
      </c>
      <c r="AH30">
        <v>0</v>
      </c>
    </row>
    <row r="31" spans="1:34" x14ac:dyDescent="0.25">
      <c r="A31" t="s">
        <v>62</v>
      </c>
      <c r="B31" t="str" cm="1">
        <f t="array" ref="B31:F31">_xlfn.TEXTSPLIT(A31,"_")</f>
        <v>MVPRP</v>
      </c>
      <c r="C31" t="str">
        <v>C25</v>
      </c>
      <c r="D31" t="str">
        <v>P3</v>
      </c>
      <c r="E31" t="str">
        <v>V3</v>
      </c>
      <c r="F31" t="str">
        <v>I3</v>
      </c>
      <c r="G31" t="s">
        <v>30</v>
      </c>
      <c r="H31" t="s">
        <v>31</v>
      </c>
      <c r="I31">
        <v>34032.056398000197</v>
      </c>
      <c r="J31">
        <v>34032.056398000197</v>
      </c>
      <c r="K31">
        <v>0</v>
      </c>
      <c r="L31">
        <v>0.1264488697052</v>
      </c>
      <c r="M31" t="s">
        <v>32</v>
      </c>
      <c r="N31">
        <v>189</v>
      </c>
      <c r="P31">
        <v>2</v>
      </c>
      <c r="Q31">
        <v>0.5</v>
      </c>
      <c r="R31">
        <v>100</v>
      </c>
      <c r="S31">
        <v>50</v>
      </c>
      <c r="T31">
        <v>0</v>
      </c>
      <c r="U31">
        <v>2</v>
      </c>
      <c r="V31" s="1" t="s">
        <v>33</v>
      </c>
      <c r="W31">
        <v>0.05</v>
      </c>
      <c r="X31">
        <v>3000</v>
      </c>
      <c r="Y31">
        <v>14340</v>
      </c>
      <c r="Z31">
        <v>6199</v>
      </c>
      <c r="AA31">
        <v>9510</v>
      </c>
      <c r="AB31">
        <v>655.37093200012805</v>
      </c>
      <c r="AC31">
        <v>327.68546600006403</v>
      </c>
      <c r="AD31">
        <v>983.05639800019298</v>
      </c>
      <c r="AE31">
        <v>0</v>
      </c>
      <c r="AF31">
        <v>0</v>
      </c>
      <c r="AG31">
        <v>0</v>
      </c>
      <c r="AH31">
        <v>0</v>
      </c>
    </row>
    <row r="32" spans="1:34" x14ac:dyDescent="0.25">
      <c r="A32" t="s">
        <v>63</v>
      </c>
      <c r="B32" t="str" cm="1">
        <f t="array" ref="B32:F32">_xlfn.TEXTSPLIT(A32,"_")</f>
        <v>MVPRP</v>
      </c>
      <c r="C32" t="str">
        <v>C15</v>
      </c>
      <c r="D32" t="str">
        <v>P6</v>
      </c>
      <c r="E32" t="str">
        <v>V3</v>
      </c>
      <c r="F32" t="str">
        <v>I1</v>
      </c>
      <c r="G32" t="s">
        <v>30</v>
      </c>
      <c r="H32" t="s">
        <v>31</v>
      </c>
      <c r="I32">
        <v>41270.954555705597</v>
      </c>
      <c r="J32">
        <v>41270.954555705597</v>
      </c>
      <c r="K32">
        <v>0</v>
      </c>
      <c r="L32">
        <v>0.24188184738159199</v>
      </c>
      <c r="M32" t="s">
        <v>32</v>
      </c>
      <c r="N32">
        <v>132</v>
      </c>
      <c r="P32">
        <v>2</v>
      </c>
      <c r="Q32">
        <v>0.5</v>
      </c>
      <c r="R32">
        <v>100</v>
      </c>
      <c r="S32">
        <v>50</v>
      </c>
      <c r="T32">
        <v>0</v>
      </c>
      <c r="U32">
        <v>2</v>
      </c>
      <c r="V32" s="1" t="s">
        <v>33</v>
      </c>
      <c r="W32">
        <v>0.05</v>
      </c>
      <c r="X32">
        <v>6000</v>
      </c>
      <c r="Y32">
        <v>19800</v>
      </c>
      <c r="Z32">
        <v>10348</v>
      </c>
      <c r="AA32">
        <v>4693</v>
      </c>
      <c r="AB32">
        <v>286.63637047038702</v>
      </c>
      <c r="AC32">
        <v>143.318185235193</v>
      </c>
      <c r="AD32">
        <v>429.95455570557999</v>
      </c>
      <c r="AE32">
        <v>0</v>
      </c>
      <c r="AF32">
        <v>0</v>
      </c>
      <c r="AG32">
        <v>0</v>
      </c>
      <c r="AH32">
        <v>0</v>
      </c>
    </row>
    <row r="33" spans="1:34" x14ac:dyDescent="0.25">
      <c r="A33" t="s">
        <v>64</v>
      </c>
      <c r="B33" t="str" cm="1">
        <f t="array" ref="B33:F33">_xlfn.TEXTSPLIT(A33,"_")</f>
        <v>MVPRP</v>
      </c>
      <c r="C33" t="str">
        <v>C15</v>
      </c>
      <c r="D33" t="str">
        <v>P3</v>
      </c>
      <c r="E33" t="str">
        <v>V3</v>
      </c>
      <c r="F33" t="str">
        <v>I1</v>
      </c>
      <c r="G33" t="s">
        <v>30</v>
      </c>
      <c r="H33" t="s">
        <v>31</v>
      </c>
      <c r="I33">
        <v>18984.126365642202</v>
      </c>
      <c r="J33">
        <v>18984.126365642202</v>
      </c>
      <c r="K33">
        <v>0</v>
      </c>
      <c r="L33">
        <v>6.6889047622680706E-2</v>
      </c>
      <c r="M33" t="s">
        <v>32</v>
      </c>
      <c r="N33">
        <v>132</v>
      </c>
      <c r="P33">
        <v>2</v>
      </c>
      <c r="Q33">
        <v>0.5</v>
      </c>
      <c r="R33">
        <v>100</v>
      </c>
      <c r="S33">
        <v>50</v>
      </c>
      <c r="T33">
        <v>0</v>
      </c>
      <c r="U33">
        <v>2</v>
      </c>
      <c r="V33" s="1" t="s">
        <v>33</v>
      </c>
      <c r="W33">
        <v>0.05</v>
      </c>
      <c r="X33">
        <v>3000</v>
      </c>
      <c r="Y33">
        <v>9960</v>
      </c>
      <c r="Z33">
        <v>3341</v>
      </c>
      <c r="AA33">
        <v>2486</v>
      </c>
      <c r="AB33">
        <v>131.41757709480501</v>
      </c>
      <c r="AC33">
        <v>65.708788547402506</v>
      </c>
      <c r="AD33">
        <v>197.12636564220699</v>
      </c>
      <c r="AE33">
        <v>0</v>
      </c>
      <c r="AF33">
        <v>0</v>
      </c>
      <c r="AG33">
        <v>0</v>
      </c>
      <c r="AH33">
        <v>0</v>
      </c>
    </row>
    <row r="34" spans="1:34" x14ac:dyDescent="0.25">
      <c r="A34" t="s">
        <v>65</v>
      </c>
      <c r="B34" t="str" cm="1">
        <f t="array" ref="B34:F34">_xlfn.TEXTSPLIT(A34,"_")</f>
        <v>MVPRP</v>
      </c>
      <c r="C34" t="str">
        <v>C20</v>
      </c>
      <c r="D34" t="str">
        <v>P6</v>
      </c>
      <c r="E34" t="str">
        <v>V3</v>
      </c>
      <c r="F34" t="str">
        <v>I3</v>
      </c>
      <c r="G34" t="s">
        <v>30</v>
      </c>
      <c r="H34" t="s">
        <v>31</v>
      </c>
      <c r="I34">
        <v>61479.340245791704</v>
      </c>
      <c r="J34">
        <v>61479.340245791704</v>
      </c>
      <c r="K34">
        <v>0</v>
      </c>
      <c r="L34">
        <v>0.24436712265014601</v>
      </c>
      <c r="M34" t="s">
        <v>32</v>
      </c>
      <c r="N34">
        <v>189</v>
      </c>
      <c r="P34">
        <v>2</v>
      </c>
      <c r="Q34">
        <v>0.5</v>
      </c>
      <c r="R34">
        <v>100</v>
      </c>
      <c r="S34">
        <v>50</v>
      </c>
      <c r="T34">
        <v>0</v>
      </c>
      <c r="U34">
        <v>2</v>
      </c>
      <c r="V34" s="1" t="s">
        <v>33</v>
      </c>
      <c r="W34">
        <v>0.05</v>
      </c>
      <c r="X34">
        <v>6000</v>
      </c>
      <c r="Y34">
        <v>23820</v>
      </c>
      <c r="Z34">
        <v>13370</v>
      </c>
      <c r="AA34">
        <v>15842.5</v>
      </c>
      <c r="AB34">
        <v>1631.2268305278101</v>
      </c>
      <c r="AC34">
        <v>815.61341526390595</v>
      </c>
      <c r="AD34">
        <v>2446.84024579172</v>
      </c>
      <c r="AE34">
        <v>0</v>
      </c>
      <c r="AF34">
        <v>0</v>
      </c>
      <c r="AG34">
        <v>0</v>
      </c>
      <c r="AH34">
        <v>0</v>
      </c>
    </row>
    <row r="35" spans="1:34" x14ac:dyDescent="0.25">
      <c r="A35" t="s">
        <v>66</v>
      </c>
      <c r="B35" t="str" cm="1">
        <f t="array" ref="B35:F35">_xlfn.TEXTSPLIT(A35,"_")</f>
        <v>MVPRP</v>
      </c>
      <c r="C35" t="str">
        <v>C20</v>
      </c>
      <c r="D35" t="str">
        <v>P9</v>
      </c>
      <c r="E35" t="str">
        <v>V3</v>
      </c>
      <c r="F35" t="str">
        <v>I3</v>
      </c>
      <c r="G35" t="s">
        <v>30</v>
      </c>
      <c r="H35" t="s">
        <v>31</v>
      </c>
      <c r="I35">
        <v>112995.774405897</v>
      </c>
      <c r="J35">
        <v>112995.774405897</v>
      </c>
      <c r="K35">
        <v>0</v>
      </c>
      <c r="L35">
        <v>0.89100193977356001</v>
      </c>
      <c r="M35" t="s">
        <v>32</v>
      </c>
      <c r="N35">
        <v>189</v>
      </c>
      <c r="P35">
        <v>2</v>
      </c>
      <c r="Q35">
        <v>0.5</v>
      </c>
      <c r="R35">
        <v>100</v>
      </c>
      <c r="S35">
        <v>50</v>
      </c>
      <c r="T35">
        <v>0</v>
      </c>
      <c r="U35">
        <v>2</v>
      </c>
      <c r="V35" s="1" t="s">
        <v>33</v>
      </c>
      <c r="W35">
        <v>0.05</v>
      </c>
      <c r="X35">
        <v>12000</v>
      </c>
      <c r="Y35">
        <v>48120</v>
      </c>
      <c r="Z35">
        <v>17450</v>
      </c>
      <c r="AA35">
        <v>28599</v>
      </c>
      <c r="AB35">
        <v>4551.1829372648899</v>
      </c>
      <c r="AC35">
        <v>2275.59146863245</v>
      </c>
      <c r="AD35">
        <v>6826.7744058973403</v>
      </c>
      <c r="AE35">
        <v>0</v>
      </c>
      <c r="AF35">
        <v>0</v>
      </c>
      <c r="AG35">
        <v>0</v>
      </c>
      <c r="AH35">
        <v>0</v>
      </c>
    </row>
    <row r="36" spans="1:34" x14ac:dyDescent="0.25">
      <c r="A36" t="s">
        <v>67</v>
      </c>
      <c r="B36" t="str" cm="1">
        <f t="array" ref="B36:F36">_xlfn.TEXTSPLIT(A36,"_")</f>
        <v>MVPRP</v>
      </c>
      <c r="C36" t="str">
        <v>C40</v>
      </c>
      <c r="D36" t="str">
        <v>P6</v>
      </c>
      <c r="E36" t="str">
        <v>V3</v>
      </c>
      <c r="F36" t="str">
        <v>I3</v>
      </c>
      <c r="G36" t="s">
        <v>30</v>
      </c>
      <c r="H36" t="s">
        <v>31</v>
      </c>
      <c r="I36">
        <v>118796.383601792</v>
      </c>
      <c r="J36">
        <v>118792.955030364</v>
      </c>
      <c r="K36">
        <v>2.8860907416903599E-5</v>
      </c>
      <c r="L36">
        <v>2.8724479675293</v>
      </c>
      <c r="M36" t="s">
        <v>32</v>
      </c>
      <c r="N36">
        <v>360</v>
      </c>
      <c r="P36">
        <v>2</v>
      </c>
      <c r="Q36">
        <v>0.5</v>
      </c>
      <c r="R36">
        <v>100</v>
      </c>
      <c r="S36">
        <v>50</v>
      </c>
      <c r="T36">
        <v>0</v>
      </c>
      <c r="U36">
        <v>2</v>
      </c>
      <c r="V36" s="1" t="s">
        <v>33</v>
      </c>
      <c r="W36">
        <v>0.05</v>
      </c>
      <c r="X36">
        <v>6000</v>
      </c>
      <c r="Y36">
        <v>55170</v>
      </c>
      <c r="Z36">
        <v>28397</v>
      </c>
      <c r="AA36">
        <v>25013.5</v>
      </c>
      <c r="AB36">
        <v>2810.5890678615601</v>
      </c>
      <c r="AC36">
        <v>1405.2945339307801</v>
      </c>
      <c r="AD36">
        <v>4215.8836017923404</v>
      </c>
      <c r="AE36">
        <v>0</v>
      </c>
      <c r="AF36">
        <v>0</v>
      </c>
      <c r="AG36">
        <v>0</v>
      </c>
      <c r="AH36">
        <v>0</v>
      </c>
    </row>
    <row r="37" spans="1:34" x14ac:dyDescent="0.25">
      <c r="A37" t="s">
        <v>68</v>
      </c>
      <c r="B37" t="str" cm="1">
        <f t="array" ref="B37:F37">_xlfn.TEXTSPLIT(A37,"_")</f>
        <v>MVPRP</v>
      </c>
      <c r="C37" t="str">
        <v>C20</v>
      </c>
      <c r="D37" t="str">
        <v>P9</v>
      </c>
      <c r="E37" t="str">
        <v>V3</v>
      </c>
      <c r="F37" t="str">
        <v>I1</v>
      </c>
      <c r="G37" t="s">
        <v>30</v>
      </c>
      <c r="H37" t="s">
        <v>31</v>
      </c>
      <c r="I37">
        <v>81173.837618463498</v>
      </c>
      <c r="J37">
        <v>81173.837618463396</v>
      </c>
      <c r="K37">
        <v>0</v>
      </c>
      <c r="L37">
        <v>0.56210589408874501</v>
      </c>
      <c r="M37" t="s">
        <v>32</v>
      </c>
      <c r="N37">
        <v>189</v>
      </c>
      <c r="P37">
        <v>2</v>
      </c>
      <c r="Q37">
        <v>0.5</v>
      </c>
      <c r="R37">
        <v>100</v>
      </c>
      <c r="S37">
        <v>50</v>
      </c>
      <c r="T37">
        <v>0</v>
      </c>
      <c r="U37">
        <v>2</v>
      </c>
      <c r="V37" s="1" t="s">
        <v>33</v>
      </c>
      <c r="W37">
        <v>0.05</v>
      </c>
      <c r="X37">
        <v>9000</v>
      </c>
      <c r="Y37">
        <v>48120</v>
      </c>
      <c r="Z37">
        <v>15214</v>
      </c>
      <c r="AA37">
        <v>7564.5</v>
      </c>
      <c r="AB37">
        <v>850.22507897564299</v>
      </c>
      <c r="AC37">
        <v>425.112539487822</v>
      </c>
      <c r="AD37">
        <v>1275.3376184634601</v>
      </c>
      <c r="AE37">
        <v>0</v>
      </c>
      <c r="AF37">
        <v>0</v>
      </c>
      <c r="AG37">
        <v>0</v>
      </c>
      <c r="AH37">
        <v>0</v>
      </c>
    </row>
    <row r="38" spans="1:34" x14ac:dyDescent="0.25">
      <c r="A38" t="s">
        <v>69</v>
      </c>
      <c r="B38" t="str" cm="1">
        <f t="array" ref="B38:F38">_xlfn.TEXTSPLIT(A38,"_")</f>
        <v>MVPRP</v>
      </c>
      <c r="C38" t="str">
        <v>C15</v>
      </c>
      <c r="D38" t="str">
        <v>P9</v>
      </c>
      <c r="E38" t="str">
        <v>V3</v>
      </c>
      <c r="F38" t="str">
        <v>I3</v>
      </c>
      <c r="G38" t="s">
        <v>30</v>
      </c>
      <c r="H38" t="s">
        <v>31</v>
      </c>
      <c r="I38">
        <v>106666.043249344</v>
      </c>
      <c r="J38">
        <v>106666.043249344</v>
      </c>
      <c r="K38">
        <v>1.0914000208557499E-15</v>
      </c>
      <c r="L38">
        <v>0.82485485076904297</v>
      </c>
      <c r="M38" t="s">
        <v>32</v>
      </c>
      <c r="N38">
        <v>132</v>
      </c>
      <c r="P38">
        <v>2</v>
      </c>
      <c r="Q38">
        <v>0.5</v>
      </c>
      <c r="R38">
        <v>100</v>
      </c>
      <c r="S38">
        <v>50</v>
      </c>
      <c r="T38">
        <v>0</v>
      </c>
      <c r="U38">
        <v>2</v>
      </c>
      <c r="V38" s="1" t="s">
        <v>33</v>
      </c>
      <c r="W38">
        <v>0.05</v>
      </c>
      <c r="X38">
        <v>12000</v>
      </c>
      <c r="Y38">
        <v>40950</v>
      </c>
      <c r="Z38">
        <v>15544</v>
      </c>
      <c r="AA38">
        <v>31403.5</v>
      </c>
      <c r="AB38">
        <v>4512.3621662294699</v>
      </c>
      <c r="AC38">
        <v>2256.18108311474</v>
      </c>
      <c r="AD38">
        <v>6768.5432493442104</v>
      </c>
      <c r="AE38">
        <v>0</v>
      </c>
      <c r="AF38">
        <v>0</v>
      </c>
      <c r="AG38">
        <v>0</v>
      </c>
      <c r="AH38">
        <v>0</v>
      </c>
    </row>
    <row r="39" spans="1:34" x14ac:dyDescent="0.25">
      <c r="A39" t="s">
        <v>70</v>
      </c>
      <c r="B39" t="str" cm="1">
        <f t="array" ref="B39:F39">_xlfn.TEXTSPLIT(A39,"_")</f>
        <v>MVPRP</v>
      </c>
      <c r="C39" t="str">
        <v>C30</v>
      </c>
      <c r="D39" t="str">
        <v>P9</v>
      </c>
      <c r="E39" t="str">
        <v>V3</v>
      </c>
      <c r="F39" t="str">
        <v>I1</v>
      </c>
      <c r="G39" t="s">
        <v>30</v>
      </c>
      <c r="H39" t="s">
        <v>31</v>
      </c>
      <c r="I39">
        <v>107529.301682925</v>
      </c>
      <c r="J39">
        <v>107528.728340099</v>
      </c>
      <c r="K39">
        <v>5.3319682864334499E-6</v>
      </c>
      <c r="L39">
        <v>1.7604229450225799</v>
      </c>
      <c r="M39" t="s">
        <v>32</v>
      </c>
      <c r="N39">
        <v>228</v>
      </c>
      <c r="P39">
        <v>2</v>
      </c>
      <c r="Q39">
        <v>0.5</v>
      </c>
      <c r="R39">
        <v>100</v>
      </c>
      <c r="S39">
        <v>50</v>
      </c>
      <c r="T39">
        <v>0</v>
      </c>
      <c r="U39">
        <v>2</v>
      </c>
      <c r="V39" s="1" t="s">
        <v>33</v>
      </c>
      <c r="W39">
        <v>0.05</v>
      </c>
      <c r="X39">
        <v>12000</v>
      </c>
      <c r="Y39">
        <v>67710</v>
      </c>
      <c r="Z39">
        <v>16127</v>
      </c>
      <c r="AA39">
        <v>10222.5</v>
      </c>
      <c r="AB39">
        <v>979.86778861674304</v>
      </c>
      <c r="AC39">
        <v>489.93389430837101</v>
      </c>
      <c r="AD39">
        <v>1469.8016829251101</v>
      </c>
      <c r="AE39">
        <v>0</v>
      </c>
      <c r="AF39">
        <v>0</v>
      </c>
      <c r="AG39">
        <v>0</v>
      </c>
      <c r="AH39">
        <v>0</v>
      </c>
    </row>
    <row r="40" spans="1:34" x14ac:dyDescent="0.25">
      <c r="A40" t="s">
        <v>71</v>
      </c>
      <c r="B40" t="str" cm="1">
        <f t="array" ref="B40:F40">_xlfn.TEXTSPLIT(A40,"_")</f>
        <v>MVPRP</v>
      </c>
      <c r="C40" t="str">
        <v>C10</v>
      </c>
      <c r="D40" t="str">
        <v>P9</v>
      </c>
      <c r="E40" t="str">
        <v>V3</v>
      </c>
      <c r="F40" t="str">
        <v>I1</v>
      </c>
      <c r="G40" t="s">
        <v>30</v>
      </c>
      <c r="H40" t="s">
        <v>31</v>
      </c>
      <c r="I40">
        <v>50231.331443295901</v>
      </c>
      <c r="J40">
        <v>50231.331443295901</v>
      </c>
      <c r="K40">
        <v>0</v>
      </c>
      <c r="L40">
        <v>0.14565014839172399</v>
      </c>
      <c r="M40" t="s">
        <v>32</v>
      </c>
      <c r="N40">
        <v>132</v>
      </c>
      <c r="P40">
        <v>2</v>
      </c>
      <c r="Q40">
        <v>0.5</v>
      </c>
      <c r="R40">
        <v>100</v>
      </c>
      <c r="S40">
        <v>50</v>
      </c>
      <c r="T40">
        <v>0</v>
      </c>
      <c r="U40">
        <v>2</v>
      </c>
      <c r="V40" s="1" t="s">
        <v>33</v>
      </c>
      <c r="W40">
        <v>0.05</v>
      </c>
      <c r="X40">
        <v>9000</v>
      </c>
      <c r="Y40">
        <v>26370</v>
      </c>
      <c r="Z40">
        <v>8932</v>
      </c>
      <c r="AA40">
        <v>5527.5</v>
      </c>
      <c r="AB40">
        <v>267.88762886395301</v>
      </c>
      <c r="AC40">
        <v>133.94381443197599</v>
      </c>
      <c r="AD40">
        <v>401.83144329592898</v>
      </c>
      <c r="AE40">
        <v>0</v>
      </c>
      <c r="AF40">
        <v>0</v>
      </c>
      <c r="AG40">
        <v>0</v>
      </c>
      <c r="AH40">
        <v>0</v>
      </c>
    </row>
    <row r="41" spans="1:34" x14ac:dyDescent="0.25">
      <c r="A41" t="s">
        <v>72</v>
      </c>
      <c r="B41" t="str" cm="1">
        <f t="array" ref="B41:F41">_xlfn.TEXTSPLIT(A41,"_")</f>
        <v>MVPRP</v>
      </c>
      <c r="C41" t="str">
        <v>C30</v>
      </c>
      <c r="D41" t="str">
        <v>P3</v>
      </c>
      <c r="E41" t="str">
        <v>V3</v>
      </c>
      <c r="F41" t="str">
        <v>I1</v>
      </c>
      <c r="G41" t="s">
        <v>30</v>
      </c>
      <c r="H41" t="s">
        <v>31</v>
      </c>
      <c r="I41">
        <v>27975.740465439099</v>
      </c>
      <c r="J41">
        <v>27974.317305026201</v>
      </c>
      <c r="K41">
        <v>5.0871233049088201E-5</v>
      </c>
      <c r="L41">
        <v>0.328365087509155</v>
      </c>
      <c r="M41" t="s">
        <v>32</v>
      </c>
      <c r="N41">
        <v>228</v>
      </c>
      <c r="P41">
        <v>2</v>
      </c>
      <c r="Q41">
        <v>0.5</v>
      </c>
      <c r="R41">
        <v>100</v>
      </c>
      <c r="S41">
        <v>50</v>
      </c>
      <c r="T41">
        <v>0</v>
      </c>
      <c r="U41">
        <v>2</v>
      </c>
      <c r="V41" s="1" t="s">
        <v>33</v>
      </c>
      <c r="W41">
        <v>0.05</v>
      </c>
      <c r="X41">
        <v>3000</v>
      </c>
      <c r="Y41">
        <v>16680</v>
      </c>
      <c r="Z41">
        <v>5126</v>
      </c>
      <c r="AA41">
        <v>2887</v>
      </c>
      <c r="AB41">
        <v>188.493643626074</v>
      </c>
      <c r="AC41">
        <v>94.246821813037101</v>
      </c>
      <c r="AD41">
        <v>282.74046543911101</v>
      </c>
      <c r="AE41">
        <v>0</v>
      </c>
      <c r="AF41">
        <v>0</v>
      </c>
      <c r="AG41">
        <v>0</v>
      </c>
      <c r="AH41">
        <v>0</v>
      </c>
    </row>
    <row r="42" spans="1:34" x14ac:dyDescent="0.25">
      <c r="A42" t="s">
        <v>73</v>
      </c>
      <c r="B42" t="str" cm="1">
        <f t="array" ref="B42:F42">_xlfn.TEXTSPLIT(A42,"_")</f>
        <v>MVPRP</v>
      </c>
      <c r="C42" t="str">
        <v>C10</v>
      </c>
      <c r="D42" t="str">
        <v>P9</v>
      </c>
      <c r="E42" t="str">
        <v>V3</v>
      </c>
      <c r="F42" t="str">
        <v>I3</v>
      </c>
      <c r="G42" t="s">
        <v>30</v>
      </c>
      <c r="H42" t="s">
        <v>31</v>
      </c>
      <c r="I42">
        <v>69154.905995275505</v>
      </c>
      <c r="J42">
        <v>69154.905995275505</v>
      </c>
      <c r="K42">
        <v>0</v>
      </c>
      <c r="L42">
        <v>0.124292135238647</v>
      </c>
      <c r="M42" t="s">
        <v>32</v>
      </c>
      <c r="N42">
        <v>132</v>
      </c>
      <c r="P42">
        <v>2</v>
      </c>
      <c r="Q42">
        <v>0.5</v>
      </c>
      <c r="R42">
        <v>100</v>
      </c>
      <c r="S42">
        <v>50</v>
      </c>
      <c r="T42">
        <v>0</v>
      </c>
      <c r="U42">
        <v>2</v>
      </c>
      <c r="V42" s="1" t="s">
        <v>33</v>
      </c>
      <c r="W42">
        <v>0.05</v>
      </c>
      <c r="X42">
        <v>9000</v>
      </c>
      <c r="Y42">
        <v>26370</v>
      </c>
      <c r="Z42">
        <v>12573</v>
      </c>
      <c r="AA42">
        <v>18892</v>
      </c>
      <c r="AB42">
        <v>1546.6039968503001</v>
      </c>
      <c r="AC42">
        <v>773.30199842515106</v>
      </c>
      <c r="AD42">
        <v>2319.9059952754601</v>
      </c>
      <c r="AE42">
        <v>0</v>
      </c>
      <c r="AF42">
        <v>0</v>
      </c>
      <c r="AG42">
        <v>0</v>
      </c>
      <c r="AH42">
        <v>0</v>
      </c>
    </row>
    <row r="43" spans="1:34" x14ac:dyDescent="0.25">
      <c r="A43" t="s">
        <v>74</v>
      </c>
      <c r="B43" t="str" cm="1">
        <f t="array" ref="B43:F43">_xlfn.TEXTSPLIT(A43,"_")</f>
        <v>MVPRP</v>
      </c>
      <c r="C43" t="str">
        <v>C25</v>
      </c>
      <c r="D43" t="str">
        <v>P9</v>
      </c>
      <c r="E43" t="str">
        <v>V3</v>
      </c>
      <c r="F43" t="str">
        <v>I3</v>
      </c>
      <c r="G43" t="s">
        <v>30</v>
      </c>
      <c r="H43" t="s">
        <v>31</v>
      </c>
      <c r="I43">
        <v>135894.00648996999</v>
      </c>
      <c r="J43">
        <v>135894.00648996999</v>
      </c>
      <c r="K43">
        <v>0</v>
      </c>
      <c r="L43">
        <v>1.22195196151733</v>
      </c>
      <c r="M43" t="s">
        <v>32</v>
      </c>
      <c r="N43">
        <v>189</v>
      </c>
      <c r="P43">
        <v>2</v>
      </c>
      <c r="Q43">
        <v>0.5</v>
      </c>
      <c r="R43">
        <v>100</v>
      </c>
      <c r="S43">
        <v>50</v>
      </c>
      <c r="T43">
        <v>0</v>
      </c>
      <c r="U43">
        <v>2</v>
      </c>
      <c r="V43" s="1" t="s">
        <v>33</v>
      </c>
      <c r="W43">
        <v>0.05</v>
      </c>
      <c r="X43">
        <v>9000</v>
      </c>
      <c r="Y43">
        <v>59880</v>
      </c>
      <c r="Z43">
        <v>22756</v>
      </c>
      <c r="AA43">
        <v>35223</v>
      </c>
      <c r="AB43">
        <v>6023.3376599796902</v>
      </c>
      <c r="AC43">
        <v>3011.6688299898401</v>
      </c>
      <c r="AD43">
        <v>9035.0064899695499</v>
      </c>
      <c r="AE43">
        <v>0</v>
      </c>
      <c r="AF43">
        <v>0</v>
      </c>
      <c r="AG43">
        <v>0</v>
      </c>
      <c r="AH43">
        <v>0</v>
      </c>
    </row>
    <row r="44" spans="1:34" x14ac:dyDescent="0.25">
      <c r="A44" t="s">
        <v>29</v>
      </c>
      <c r="B44" t="str" cm="1">
        <f t="array" ref="B44:F44">_xlfn.TEXTSPLIT(A44,"_")</f>
        <v>MVPRP</v>
      </c>
      <c r="C44" t="str">
        <v>C15</v>
      </c>
      <c r="D44" t="str">
        <v>P3</v>
      </c>
      <c r="E44" t="str">
        <v>V3</v>
      </c>
      <c r="F44" t="str">
        <v>I3</v>
      </c>
      <c r="G44" t="s">
        <v>75</v>
      </c>
      <c r="H44" t="s">
        <v>31</v>
      </c>
      <c r="I44">
        <v>26776.943479216901</v>
      </c>
      <c r="J44">
        <v>26776.943479216901</v>
      </c>
      <c r="K44">
        <v>0</v>
      </c>
      <c r="L44">
        <v>96.257256984710693</v>
      </c>
      <c r="M44" t="s">
        <v>76</v>
      </c>
      <c r="N44">
        <v>132</v>
      </c>
      <c r="P44">
        <v>2</v>
      </c>
      <c r="Q44">
        <v>0.5</v>
      </c>
      <c r="R44">
        <v>100</v>
      </c>
      <c r="S44">
        <v>50</v>
      </c>
      <c r="T44">
        <v>0</v>
      </c>
      <c r="V44" s="2" t="s">
        <v>33</v>
      </c>
      <c r="W44">
        <v>0.05</v>
      </c>
      <c r="X44">
        <v>3000</v>
      </c>
      <c r="Y44">
        <v>9960</v>
      </c>
      <c r="Z44">
        <v>3841.99971777778</v>
      </c>
      <c r="AA44">
        <v>9974.9437614391409</v>
      </c>
      <c r="AB44">
        <v>-1</v>
      </c>
      <c r="AC44">
        <v>-1</v>
      </c>
      <c r="AD44">
        <v>-1</v>
      </c>
    </row>
    <row r="45" spans="1:34" x14ac:dyDescent="0.25">
      <c r="A45" t="s">
        <v>34</v>
      </c>
      <c r="B45" t="str" cm="1">
        <f t="array" ref="B45:F45">_xlfn.TEXTSPLIT(A45,"_")</f>
        <v>MVPRP</v>
      </c>
      <c r="C45" t="str">
        <v>C30</v>
      </c>
      <c r="D45" t="str">
        <v>P9</v>
      </c>
      <c r="E45" t="str">
        <v>V3</v>
      </c>
      <c r="F45" t="str">
        <v>I3</v>
      </c>
      <c r="G45" t="s">
        <v>75</v>
      </c>
      <c r="H45" t="s">
        <v>77</v>
      </c>
      <c r="I45">
        <v>157657.821480538</v>
      </c>
      <c r="J45">
        <v>130614.944393093</v>
      </c>
      <c r="K45">
        <v>0.171528927860917</v>
      </c>
      <c r="L45">
        <v>3600.2395980358101</v>
      </c>
      <c r="M45" t="s">
        <v>78</v>
      </c>
      <c r="N45">
        <v>228</v>
      </c>
      <c r="P45">
        <v>2</v>
      </c>
      <c r="Q45">
        <v>0.5</v>
      </c>
      <c r="R45">
        <v>100</v>
      </c>
      <c r="S45">
        <v>50</v>
      </c>
      <c r="T45">
        <v>0</v>
      </c>
      <c r="V45" s="2" t="s">
        <v>33</v>
      </c>
      <c r="W45">
        <v>0.05</v>
      </c>
      <c r="X45">
        <v>12000</v>
      </c>
      <c r="Y45">
        <v>67710</v>
      </c>
      <c r="Z45">
        <v>28583</v>
      </c>
      <c r="AA45">
        <v>49364.821480537801</v>
      </c>
      <c r="AB45">
        <v>-1</v>
      </c>
      <c r="AC45">
        <v>-1</v>
      </c>
      <c r="AD45">
        <v>-1</v>
      </c>
    </row>
    <row r="46" spans="1:34" x14ac:dyDescent="0.25">
      <c r="A46" t="s">
        <v>35</v>
      </c>
      <c r="B46" t="str" cm="1">
        <f t="array" ref="B46:F46">_xlfn.TEXTSPLIT(A46,"_")</f>
        <v>MVPRP</v>
      </c>
      <c r="C46" t="str">
        <v>C15</v>
      </c>
      <c r="D46" t="str">
        <v>P9</v>
      </c>
      <c r="E46" t="str">
        <v>V3</v>
      </c>
      <c r="F46" t="str">
        <v>I1</v>
      </c>
      <c r="G46" t="s">
        <v>75</v>
      </c>
      <c r="H46" t="s">
        <v>77</v>
      </c>
      <c r="I46">
        <v>73717.314924689694</v>
      </c>
      <c r="J46">
        <v>71692.915113215393</v>
      </c>
      <c r="K46">
        <v>2.7461659632374302E-2</v>
      </c>
      <c r="L46">
        <v>3600.0716583728799</v>
      </c>
      <c r="M46" t="s">
        <v>79</v>
      </c>
      <c r="N46">
        <v>132</v>
      </c>
      <c r="P46">
        <v>2</v>
      </c>
      <c r="Q46">
        <v>0.5</v>
      </c>
      <c r="R46">
        <v>100</v>
      </c>
      <c r="S46">
        <v>50</v>
      </c>
      <c r="T46">
        <v>0</v>
      </c>
      <c r="V46" s="2" t="s">
        <v>33</v>
      </c>
      <c r="W46">
        <v>0.05</v>
      </c>
      <c r="X46">
        <v>9000</v>
      </c>
      <c r="Y46">
        <v>40950</v>
      </c>
      <c r="Z46">
        <v>13697.004142903599</v>
      </c>
      <c r="AA46">
        <v>10070.3107817861</v>
      </c>
      <c r="AB46">
        <v>-1</v>
      </c>
      <c r="AC46">
        <v>-1</v>
      </c>
      <c r="AD46">
        <v>-1</v>
      </c>
    </row>
    <row r="47" spans="1:34" x14ac:dyDescent="0.25">
      <c r="A47" t="s">
        <v>36</v>
      </c>
      <c r="B47" t="str" cm="1">
        <f t="array" ref="B47:F47">_xlfn.TEXTSPLIT(A47,"_")</f>
        <v>MVPRP</v>
      </c>
      <c r="C47" t="str">
        <v>C40</v>
      </c>
      <c r="D47" t="str">
        <v>P3</v>
      </c>
      <c r="E47" t="str">
        <v>V3</v>
      </c>
      <c r="F47" t="str">
        <v>I3</v>
      </c>
      <c r="G47" t="s">
        <v>75</v>
      </c>
      <c r="H47" t="s">
        <v>77</v>
      </c>
      <c r="I47">
        <v>55442.306989568999</v>
      </c>
      <c r="J47">
        <v>52779.501307745799</v>
      </c>
      <c r="K47">
        <v>4.8028406940646001E-2</v>
      </c>
      <c r="L47">
        <v>3600.1434149742099</v>
      </c>
      <c r="M47" t="s">
        <v>80</v>
      </c>
      <c r="N47">
        <v>360</v>
      </c>
      <c r="P47">
        <v>2</v>
      </c>
      <c r="Q47">
        <v>0.5</v>
      </c>
      <c r="R47">
        <v>100</v>
      </c>
      <c r="S47">
        <v>50</v>
      </c>
      <c r="T47">
        <v>0</v>
      </c>
      <c r="V47" s="2" t="s">
        <v>33</v>
      </c>
      <c r="W47">
        <v>0.05</v>
      </c>
      <c r="X47">
        <v>3000</v>
      </c>
      <c r="Y47">
        <v>27660</v>
      </c>
      <c r="Z47">
        <v>9547</v>
      </c>
      <c r="AA47">
        <v>15235.306989569101</v>
      </c>
      <c r="AB47">
        <v>-1</v>
      </c>
      <c r="AC47">
        <v>-1</v>
      </c>
      <c r="AD47">
        <v>-1</v>
      </c>
    </row>
    <row r="48" spans="1:34" x14ac:dyDescent="0.25">
      <c r="A48" t="s">
        <v>37</v>
      </c>
      <c r="B48" t="str" cm="1">
        <f t="array" ref="B48:F48">_xlfn.TEXTSPLIT(A48,"_")</f>
        <v>MVPRP</v>
      </c>
      <c r="C48" t="str">
        <v>C40</v>
      </c>
      <c r="D48" t="str">
        <v>P3</v>
      </c>
      <c r="E48" t="str">
        <v>V3</v>
      </c>
      <c r="F48" t="str">
        <v>I1</v>
      </c>
      <c r="G48" t="s">
        <v>75</v>
      </c>
      <c r="H48" t="s">
        <v>77</v>
      </c>
      <c r="I48">
        <v>42745.741727257198</v>
      </c>
      <c r="J48">
        <v>42222.871714756599</v>
      </c>
      <c r="K48">
        <v>1.22320959088001E-2</v>
      </c>
      <c r="L48">
        <v>3600.1835372447999</v>
      </c>
      <c r="M48" t="s">
        <v>81</v>
      </c>
      <c r="N48">
        <v>360</v>
      </c>
      <c r="P48">
        <v>2</v>
      </c>
      <c r="Q48">
        <v>0.5</v>
      </c>
      <c r="R48">
        <v>100</v>
      </c>
      <c r="S48">
        <v>50</v>
      </c>
      <c r="T48">
        <v>0</v>
      </c>
      <c r="V48" s="2" t="s">
        <v>33</v>
      </c>
      <c r="W48">
        <v>0.05</v>
      </c>
      <c r="X48">
        <v>6000</v>
      </c>
      <c r="Y48">
        <v>27660</v>
      </c>
      <c r="Z48">
        <v>4731</v>
      </c>
      <c r="AA48">
        <v>4354.7417272571702</v>
      </c>
      <c r="AB48">
        <v>-1</v>
      </c>
      <c r="AC48">
        <v>-1</v>
      </c>
      <c r="AD48">
        <v>-1</v>
      </c>
    </row>
    <row r="49" spans="1:30" x14ac:dyDescent="0.25">
      <c r="A49" t="s">
        <v>38</v>
      </c>
      <c r="B49" t="str" cm="1">
        <f t="array" ref="B49:F49">_xlfn.TEXTSPLIT(A49,"_")</f>
        <v>MVPRP</v>
      </c>
      <c r="C49" t="str">
        <v>C20</v>
      </c>
      <c r="D49" t="str">
        <v>P6</v>
      </c>
      <c r="E49" t="str">
        <v>V3</v>
      </c>
      <c r="F49" t="str">
        <v>I1</v>
      </c>
      <c r="G49" t="s">
        <v>75</v>
      </c>
      <c r="H49" t="s">
        <v>31</v>
      </c>
      <c r="I49">
        <v>46354.875063957501</v>
      </c>
      <c r="J49">
        <v>46351.189802901397</v>
      </c>
      <c r="K49">
        <v>7.9501046028155405E-5</v>
      </c>
      <c r="L49">
        <v>1966.58666706085</v>
      </c>
      <c r="M49" t="s">
        <v>82</v>
      </c>
      <c r="N49">
        <v>189</v>
      </c>
      <c r="P49">
        <v>2</v>
      </c>
      <c r="Q49">
        <v>0.5</v>
      </c>
      <c r="R49">
        <v>100</v>
      </c>
      <c r="S49">
        <v>50</v>
      </c>
      <c r="T49">
        <v>0</v>
      </c>
      <c r="V49" s="2" t="s">
        <v>33</v>
      </c>
      <c r="W49">
        <v>0.05</v>
      </c>
      <c r="X49">
        <v>6000</v>
      </c>
      <c r="Y49">
        <v>23820</v>
      </c>
      <c r="Z49">
        <v>12089</v>
      </c>
      <c r="AA49">
        <v>4445.8750639574901</v>
      </c>
      <c r="AB49">
        <v>-1</v>
      </c>
      <c r="AC49">
        <v>-1</v>
      </c>
      <c r="AD49">
        <v>-1</v>
      </c>
    </row>
    <row r="50" spans="1:30" x14ac:dyDescent="0.25">
      <c r="A50" t="s">
        <v>39</v>
      </c>
      <c r="B50" t="str" cm="1">
        <f t="array" ref="B50:F50">_xlfn.TEXTSPLIT(A50,"_")</f>
        <v>MVPRP</v>
      </c>
      <c r="C50" t="str">
        <v>C10</v>
      </c>
      <c r="D50" t="str">
        <v>P3</v>
      </c>
      <c r="E50" t="str">
        <v>V3</v>
      </c>
      <c r="F50" t="str">
        <v>I1</v>
      </c>
      <c r="G50" t="s">
        <v>75</v>
      </c>
      <c r="H50" t="s">
        <v>31</v>
      </c>
      <c r="I50">
        <v>13310.3697351343</v>
      </c>
      <c r="J50">
        <v>13310.3697351343</v>
      </c>
      <c r="K50">
        <v>0</v>
      </c>
      <c r="L50">
        <v>1.6492121219635001</v>
      </c>
      <c r="M50" t="s">
        <v>83</v>
      </c>
      <c r="N50">
        <v>132</v>
      </c>
      <c r="P50">
        <v>2</v>
      </c>
      <c r="Q50">
        <v>0.5</v>
      </c>
      <c r="R50">
        <v>100</v>
      </c>
      <c r="S50">
        <v>50</v>
      </c>
      <c r="T50">
        <v>0</v>
      </c>
      <c r="V50" s="2" t="s">
        <v>33</v>
      </c>
      <c r="W50">
        <v>0.05</v>
      </c>
      <c r="X50">
        <v>3000</v>
      </c>
      <c r="Y50">
        <v>6390</v>
      </c>
      <c r="Z50">
        <v>2223</v>
      </c>
      <c r="AA50">
        <v>1697.3697351343601</v>
      </c>
      <c r="AB50">
        <v>-1</v>
      </c>
      <c r="AC50">
        <v>-1</v>
      </c>
      <c r="AD50">
        <v>-1</v>
      </c>
    </row>
    <row r="51" spans="1:30" x14ac:dyDescent="0.25">
      <c r="A51" t="s">
        <v>40</v>
      </c>
      <c r="B51" t="str" cm="1">
        <f t="array" ref="B51:F51">_xlfn.TEXTSPLIT(A51,"_")</f>
        <v>MVPRP</v>
      </c>
      <c r="C51" t="str">
        <v>C45</v>
      </c>
      <c r="D51" t="str">
        <v>P3</v>
      </c>
      <c r="E51" t="str">
        <v>V3</v>
      </c>
      <c r="F51" t="str">
        <v>I3</v>
      </c>
      <c r="G51" t="s">
        <v>75</v>
      </c>
      <c r="H51" t="s">
        <v>77</v>
      </c>
      <c r="I51">
        <v>68503.6573462745</v>
      </c>
      <c r="J51">
        <v>60207.194066633303</v>
      </c>
      <c r="K51">
        <v>0.121109785973966</v>
      </c>
      <c r="L51">
        <v>3600.0934727191898</v>
      </c>
      <c r="M51" t="s">
        <v>84</v>
      </c>
      <c r="N51">
        <v>360</v>
      </c>
      <c r="P51">
        <v>2</v>
      </c>
      <c r="Q51">
        <v>0.5</v>
      </c>
      <c r="R51">
        <v>100</v>
      </c>
      <c r="S51">
        <v>50</v>
      </c>
      <c r="T51">
        <v>0</v>
      </c>
      <c r="V51" s="2" t="s">
        <v>33</v>
      </c>
      <c r="W51">
        <v>0.05</v>
      </c>
      <c r="X51">
        <v>3000</v>
      </c>
      <c r="Y51">
        <v>33060</v>
      </c>
      <c r="Z51">
        <v>12243</v>
      </c>
      <c r="AA51">
        <v>20200.6573462745</v>
      </c>
      <c r="AB51">
        <v>-1</v>
      </c>
      <c r="AC51">
        <v>-1</v>
      </c>
      <c r="AD51">
        <v>-1</v>
      </c>
    </row>
    <row r="52" spans="1:30" x14ac:dyDescent="0.25">
      <c r="A52" t="s">
        <v>41</v>
      </c>
      <c r="B52" t="str" cm="1">
        <f t="array" ref="B52:F52">_xlfn.TEXTSPLIT(A52,"_")</f>
        <v>MVPRP</v>
      </c>
      <c r="C52" t="str">
        <v>C20</v>
      </c>
      <c r="D52" t="str">
        <v>P3</v>
      </c>
      <c r="E52" t="str">
        <v>V3</v>
      </c>
      <c r="F52" t="str">
        <v>I1</v>
      </c>
      <c r="G52" t="s">
        <v>75</v>
      </c>
      <c r="H52" t="s">
        <v>31</v>
      </c>
      <c r="I52">
        <v>21378.120408857201</v>
      </c>
      <c r="J52">
        <v>21378.120408857201</v>
      </c>
      <c r="K52">
        <v>0</v>
      </c>
      <c r="L52">
        <v>54.9741306304932</v>
      </c>
      <c r="M52" t="s">
        <v>85</v>
      </c>
      <c r="N52">
        <v>189</v>
      </c>
      <c r="P52">
        <v>2</v>
      </c>
      <c r="Q52">
        <v>0.5</v>
      </c>
      <c r="R52">
        <v>100</v>
      </c>
      <c r="S52">
        <v>50</v>
      </c>
      <c r="T52">
        <v>0</v>
      </c>
      <c r="V52" s="2" t="s">
        <v>33</v>
      </c>
      <c r="W52">
        <v>0.05</v>
      </c>
      <c r="X52">
        <v>3000</v>
      </c>
      <c r="Y52">
        <v>12030</v>
      </c>
      <c r="Z52">
        <v>3827</v>
      </c>
      <c r="AA52">
        <v>2521.1204088572299</v>
      </c>
      <c r="AB52">
        <v>-1</v>
      </c>
      <c r="AC52">
        <v>-1</v>
      </c>
      <c r="AD52">
        <v>-1</v>
      </c>
    </row>
    <row r="53" spans="1:30" x14ac:dyDescent="0.25">
      <c r="A53" t="s">
        <v>42</v>
      </c>
      <c r="B53" t="str" cm="1">
        <f t="array" ref="B53:F53">_xlfn.TEXTSPLIT(A53,"_")</f>
        <v>MVPRP</v>
      </c>
      <c r="C53" t="str">
        <v>C35</v>
      </c>
      <c r="D53" t="str">
        <v>P3</v>
      </c>
      <c r="E53" t="str">
        <v>V3</v>
      </c>
      <c r="F53" t="str">
        <v>I3</v>
      </c>
      <c r="G53" t="s">
        <v>75</v>
      </c>
      <c r="H53" t="s">
        <v>77</v>
      </c>
      <c r="I53">
        <v>46757.813169665103</v>
      </c>
      <c r="J53">
        <v>43252.147205412097</v>
      </c>
      <c r="K53">
        <v>7.4974976941977897E-2</v>
      </c>
      <c r="L53">
        <v>3600.18128275871</v>
      </c>
      <c r="M53" t="s">
        <v>86</v>
      </c>
      <c r="N53">
        <v>276</v>
      </c>
      <c r="P53">
        <v>2</v>
      </c>
      <c r="Q53">
        <v>0.5</v>
      </c>
      <c r="R53">
        <v>100</v>
      </c>
      <c r="S53">
        <v>50</v>
      </c>
      <c r="T53">
        <v>0</v>
      </c>
      <c r="V53" s="2" t="s">
        <v>33</v>
      </c>
      <c r="W53">
        <v>0.05</v>
      </c>
      <c r="X53">
        <v>3000</v>
      </c>
      <c r="Y53">
        <v>21600</v>
      </c>
      <c r="Z53">
        <v>7707</v>
      </c>
      <c r="AA53">
        <v>14450.8131696651</v>
      </c>
      <c r="AB53">
        <v>-1</v>
      </c>
      <c r="AC53">
        <v>-1</v>
      </c>
      <c r="AD53">
        <v>-1</v>
      </c>
    </row>
    <row r="54" spans="1:30" x14ac:dyDescent="0.25">
      <c r="A54" t="s">
        <v>43</v>
      </c>
      <c r="B54" t="str" cm="1">
        <f t="array" ref="B54:F54">_xlfn.TEXTSPLIT(A54,"_")</f>
        <v>MVPRP</v>
      </c>
      <c r="C54" t="str">
        <v>C40</v>
      </c>
      <c r="D54" t="str">
        <v>P6</v>
      </c>
      <c r="E54" t="str">
        <v>V3</v>
      </c>
      <c r="F54" t="str">
        <v>I1</v>
      </c>
      <c r="G54" t="s">
        <v>75</v>
      </c>
      <c r="H54" t="s">
        <v>77</v>
      </c>
      <c r="I54">
        <v>99987.190311141501</v>
      </c>
      <c r="J54">
        <v>92745.055819965404</v>
      </c>
      <c r="K54">
        <v>7.2430623049211607E-2</v>
      </c>
      <c r="L54">
        <v>3600.2684252262102</v>
      </c>
      <c r="M54" t="s">
        <v>87</v>
      </c>
      <c r="N54">
        <v>360</v>
      </c>
      <c r="P54">
        <v>2</v>
      </c>
      <c r="Q54">
        <v>0.5</v>
      </c>
      <c r="R54">
        <v>100</v>
      </c>
      <c r="S54">
        <v>50</v>
      </c>
      <c r="T54">
        <v>0</v>
      </c>
      <c r="V54" s="2" t="s">
        <v>33</v>
      </c>
      <c r="W54">
        <v>0.05</v>
      </c>
      <c r="X54">
        <v>6000</v>
      </c>
      <c r="Y54">
        <v>55170</v>
      </c>
      <c r="Z54">
        <v>27231</v>
      </c>
      <c r="AA54">
        <v>11586.190311141499</v>
      </c>
      <c r="AB54">
        <v>-1</v>
      </c>
      <c r="AC54">
        <v>-1</v>
      </c>
      <c r="AD54">
        <v>-1</v>
      </c>
    </row>
    <row r="55" spans="1:30" x14ac:dyDescent="0.25">
      <c r="A55" t="s">
        <v>44</v>
      </c>
      <c r="B55" t="str" cm="1">
        <f t="array" ref="B55:F55">_xlfn.TEXTSPLIT(A55,"_")</f>
        <v>MVPRP</v>
      </c>
      <c r="C55" t="str">
        <v>C10</v>
      </c>
      <c r="D55" t="str">
        <v>P3</v>
      </c>
      <c r="E55" t="str">
        <v>V3</v>
      </c>
      <c r="F55" t="str">
        <v>I3</v>
      </c>
      <c r="G55" t="s">
        <v>75</v>
      </c>
      <c r="H55" t="s">
        <v>31</v>
      </c>
      <c r="I55">
        <v>18058.295875612901</v>
      </c>
      <c r="J55">
        <v>18058.295875612901</v>
      </c>
      <c r="K55">
        <v>0</v>
      </c>
      <c r="L55">
        <v>2.6474487781524698</v>
      </c>
      <c r="M55" t="s">
        <v>88</v>
      </c>
      <c r="N55">
        <v>132</v>
      </c>
      <c r="P55">
        <v>2</v>
      </c>
      <c r="Q55">
        <v>0.5</v>
      </c>
      <c r="R55">
        <v>100</v>
      </c>
      <c r="S55">
        <v>50</v>
      </c>
      <c r="T55">
        <v>0</v>
      </c>
      <c r="V55" s="2" t="s">
        <v>33</v>
      </c>
      <c r="W55">
        <v>0.05</v>
      </c>
      <c r="X55">
        <v>3000</v>
      </c>
      <c r="Y55">
        <v>6390</v>
      </c>
      <c r="Z55">
        <v>2860</v>
      </c>
      <c r="AA55">
        <v>5808.2958756129101</v>
      </c>
      <c r="AB55">
        <v>-1</v>
      </c>
      <c r="AC55">
        <v>-1</v>
      </c>
      <c r="AD55">
        <v>-1</v>
      </c>
    </row>
    <row r="56" spans="1:30" x14ac:dyDescent="0.25">
      <c r="A56" t="s">
        <v>45</v>
      </c>
      <c r="B56" t="str" cm="1">
        <f t="array" ref="B56:F56">_xlfn.TEXTSPLIT(A56,"_")</f>
        <v>MVPRP</v>
      </c>
      <c r="C56" t="str">
        <v>C30</v>
      </c>
      <c r="D56" t="str">
        <v>P3</v>
      </c>
      <c r="E56" t="str">
        <v>V3</v>
      </c>
      <c r="F56" t="str">
        <v>I3</v>
      </c>
      <c r="G56" t="s">
        <v>75</v>
      </c>
      <c r="H56" t="s">
        <v>77</v>
      </c>
      <c r="I56">
        <v>36515.833673796398</v>
      </c>
      <c r="J56">
        <v>35987.131236411798</v>
      </c>
      <c r="K56">
        <v>1.44787174272826E-2</v>
      </c>
      <c r="L56">
        <v>3600.0739946365402</v>
      </c>
      <c r="M56" t="s">
        <v>89</v>
      </c>
      <c r="N56">
        <v>228</v>
      </c>
      <c r="P56">
        <v>2</v>
      </c>
      <c r="Q56">
        <v>0.5</v>
      </c>
      <c r="R56">
        <v>100</v>
      </c>
      <c r="S56">
        <v>50</v>
      </c>
      <c r="T56">
        <v>0</v>
      </c>
      <c r="V56" s="2" t="s">
        <v>33</v>
      </c>
      <c r="W56">
        <v>0.05</v>
      </c>
      <c r="X56">
        <v>3000</v>
      </c>
      <c r="Y56">
        <v>16680</v>
      </c>
      <c r="Z56">
        <v>6214</v>
      </c>
      <c r="AA56">
        <v>10621.8336737964</v>
      </c>
      <c r="AB56">
        <v>-1</v>
      </c>
      <c r="AC56">
        <v>-1</v>
      </c>
      <c r="AD56">
        <v>-1</v>
      </c>
    </row>
    <row r="57" spans="1:30" x14ac:dyDescent="0.25">
      <c r="A57" t="s">
        <v>46</v>
      </c>
      <c r="B57" t="str" cm="1">
        <f t="array" ref="B57:F57">_xlfn.TEXTSPLIT(A57,"_")</f>
        <v>MVPRP</v>
      </c>
      <c r="C57" t="str">
        <v>C20</v>
      </c>
      <c r="D57" t="str">
        <v>P3</v>
      </c>
      <c r="E57" t="str">
        <v>V3</v>
      </c>
      <c r="F57" t="str">
        <v>I3</v>
      </c>
      <c r="G57" t="s">
        <v>75</v>
      </c>
      <c r="H57" t="s">
        <v>31</v>
      </c>
      <c r="I57">
        <v>29250.8296868258</v>
      </c>
      <c r="J57">
        <v>29250.8296868258</v>
      </c>
      <c r="K57">
        <v>0</v>
      </c>
      <c r="L57">
        <v>132.74919962883001</v>
      </c>
      <c r="M57" t="s">
        <v>90</v>
      </c>
      <c r="N57">
        <v>189</v>
      </c>
      <c r="P57">
        <v>2</v>
      </c>
      <c r="Q57">
        <v>0.5</v>
      </c>
      <c r="R57">
        <v>100</v>
      </c>
      <c r="S57">
        <v>50</v>
      </c>
      <c r="T57">
        <v>0</v>
      </c>
      <c r="V57" s="2" t="s">
        <v>33</v>
      </c>
      <c r="W57">
        <v>0.05</v>
      </c>
      <c r="X57">
        <v>3000</v>
      </c>
      <c r="Y57">
        <v>12030</v>
      </c>
      <c r="Z57">
        <v>4645</v>
      </c>
      <c r="AA57">
        <v>9575.8296868258494</v>
      </c>
      <c r="AB57">
        <v>-1</v>
      </c>
      <c r="AC57">
        <v>-1</v>
      </c>
      <c r="AD57">
        <v>-1</v>
      </c>
    </row>
    <row r="58" spans="1:30" x14ac:dyDescent="0.25">
      <c r="A58" t="s">
        <v>47</v>
      </c>
      <c r="B58" t="str" cm="1">
        <f t="array" ref="B58:F58">_xlfn.TEXTSPLIT(A58,"_")</f>
        <v>MVPRP</v>
      </c>
      <c r="C58" t="str">
        <v>C35</v>
      </c>
      <c r="D58" t="str">
        <v>P6</v>
      </c>
      <c r="E58" t="str">
        <v>V3</v>
      </c>
      <c r="F58" t="str">
        <v>I3</v>
      </c>
      <c r="G58" t="s">
        <v>75</v>
      </c>
      <c r="H58" t="s">
        <v>77</v>
      </c>
      <c r="I58">
        <v>99325.829583081199</v>
      </c>
      <c r="J58">
        <v>87617.019638080907</v>
      </c>
      <c r="K58">
        <v>0.11788283062067401</v>
      </c>
      <c r="L58">
        <v>3600.0582647323599</v>
      </c>
      <c r="M58" t="s">
        <v>91</v>
      </c>
      <c r="N58">
        <v>276</v>
      </c>
      <c r="P58">
        <v>2</v>
      </c>
      <c r="Q58">
        <v>0.5</v>
      </c>
      <c r="R58">
        <v>100</v>
      </c>
      <c r="S58">
        <v>50</v>
      </c>
      <c r="T58">
        <v>0</v>
      </c>
      <c r="V58" s="2" t="s">
        <v>33</v>
      </c>
      <c r="W58">
        <v>0.05</v>
      </c>
      <c r="X58">
        <v>9000</v>
      </c>
      <c r="Y58">
        <v>42900</v>
      </c>
      <c r="Z58">
        <v>22217</v>
      </c>
      <c r="AA58">
        <v>25208.829583081199</v>
      </c>
      <c r="AB58">
        <v>-1</v>
      </c>
      <c r="AC58">
        <v>-1</v>
      </c>
      <c r="AD58">
        <v>-1</v>
      </c>
    </row>
    <row r="59" spans="1:30" x14ac:dyDescent="0.25">
      <c r="A59" t="s">
        <v>48</v>
      </c>
      <c r="B59" t="str" cm="1">
        <f t="array" ref="B59:F59">_xlfn.TEXTSPLIT(A59,"_")</f>
        <v>MVPRP</v>
      </c>
      <c r="C59" t="str">
        <v>C25</v>
      </c>
      <c r="D59" t="str">
        <v>P6</v>
      </c>
      <c r="E59" t="str">
        <v>V3</v>
      </c>
      <c r="F59" t="str">
        <v>I3</v>
      </c>
      <c r="G59" t="s">
        <v>75</v>
      </c>
      <c r="H59" t="s">
        <v>77</v>
      </c>
      <c r="I59">
        <v>72882.669112570497</v>
      </c>
      <c r="J59">
        <v>69010.127646422407</v>
      </c>
      <c r="K59">
        <v>5.31339139098592E-2</v>
      </c>
      <c r="L59">
        <v>3600.0397450923901</v>
      </c>
      <c r="M59" t="s">
        <v>92</v>
      </c>
      <c r="N59">
        <v>189</v>
      </c>
      <c r="P59">
        <v>2</v>
      </c>
      <c r="Q59">
        <v>0.5</v>
      </c>
      <c r="R59">
        <v>100</v>
      </c>
      <c r="S59">
        <v>50</v>
      </c>
      <c r="T59">
        <v>0</v>
      </c>
      <c r="V59" s="2" t="s">
        <v>33</v>
      </c>
      <c r="W59">
        <v>0.05</v>
      </c>
      <c r="X59">
        <v>6000</v>
      </c>
      <c r="Y59">
        <v>28380</v>
      </c>
      <c r="Z59">
        <v>19684</v>
      </c>
      <c r="AA59">
        <v>18818.6691125705</v>
      </c>
      <c r="AB59">
        <v>-1</v>
      </c>
      <c r="AC59">
        <v>-1</v>
      </c>
      <c r="AD59">
        <v>-1</v>
      </c>
    </row>
    <row r="60" spans="1:30" x14ac:dyDescent="0.25">
      <c r="A60" t="s">
        <v>49</v>
      </c>
      <c r="B60" t="str" cm="1">
        <f t="array" ref="B60:F60">_xlfn.TEXTSPLIT(A60,"_")</f>
        <v>MVPRP</v>
      </c>
      <c r="C60" t="str">
        <v>C15</v>
      </c>
      <c r="D60" t="str">
        <v>P6</v>
      </c>
      <c r="E60" t="str">
        <v>V3</v>
      </c>
      <c r="F60" t="str">
        <v>I3</v>
      </c>
      <c r="G60" t="s">
        <v>75</v>
      </c>
      <c r="H60" t="s">
        <v>77</v>
      </c>
      <c r="I60">
        <v>55753.511068026899</v>
      </c>
      <c r="J60">
        <v>54594.489940477302</v>
      </c>
      <c r="K60">
        <v>2.0788307415032899E-2</v>
      </c>
      <c r="L60">
        <v>3600.0532271861998</v>
      </c>
      <c r="M60" t="s">
        <v>93</v>
      </c>
      <c r="N60">
        <v>132</v>
      </c>
      <c r="P60">
        <v>2</v>
      </c>
      <c r="Q60">
        <v>0.5</v>
      </c>
      <c r="R60">
        <v>100</v>
      </c>
      <c r="S60">
        <v>50</v>
      </c>
      <c r="T60">
        <v>0</v>
      </c>
      <c r="V60" s="2" t="s">
        <v>33</v>
      </c>
      <c r="W60">
        <v>0.05</v>
      </c>
      <c r="X60">
        <v>6000</v>
      </c>
      <c r="Y60">
        <v>19800</v>
      </c>
      <c r="Z60">
        <v>12069</v>
      </c>
      <c r="AA60">
        <v>17884.511068026899</v>
      </c>
      <c r="AB60">
        <v>-1</v>
      </c>
      <c r="AC60">
        <v>-1</v>
      </c>
      <c r="AD60">
        <v>-1</v>
      </c>
    </row>
    <row r="61" spans="1:30" x14ac:dyDescent="0.25">
      <c r="A61" t="s">
        <v>50</v>
      </c>
      <c r="B61" t="str" cm="1">
        <f t="array" ref="B61:F61">_xlfn.TEXTSPLIT(A61,"_")</f>
        <v>MVPRP</v>
      </c>
      <c r="C61" t="str">
        <v>C50</v>
      </c>
      <c r="D61" t="str">
        <v>P3</v>
      </c>
      <c r="E61" t="str">
        <v>V3</v>
      </c>
      <c r="F61" t="str">
        <v>I3</v>
      </c>
      <c r="G61" t="s">
        <v>75</v>
      </c>
      <c r="H61" t="s">
        <v>77</v>
      </c>
      <c r="I61">
        <v>62759.488721913804</v>
      </c>
      <c r="J61">
        <v>57039.4868653382</v>
      </c>
      <c r="K61">
        <v>9.1141626120008604E-2</v>
      </c>
      <c r="L61">
        <v>3600.0841708183302</v>
      </c>
      <c r="M61" t="s">
        <v>94</v>
      </c>
      <c r="N61">
        <v>360</v>
      </c>
      <c r="P61">
        <v>2</v>
      </c>
      <c r="Q61">
        <v>0.5</v>
      </c>
      <c r="R61">
        <v>100</v>
      </c>
      <c r="S61">
        <v>50</v>
      </c>
      <c r="T61">
        <v>0</v>
      </c>
      <c r="V61" s="2" t="s">
        <v>33</v>
      </c>
      <c r="W61">
        <v>0.05</v>
      </c>
      <c r="X61">
        <v>3000</v>
      </c>
      <c r="Y61">
        <v>29580</v>
      </c>
      <c r="Z61">
        <v>10547</v>
      </c>
      <c r="AA61">
        <v>19632.4887219138</v>
      </c>
      <c r="AB61">
        <v>-1</v>
      </c>
      <c r="AC61">
        <v>-1</v>
      </c>
      <c r="AD61">
        <v>-1</v>
      </c>
    </row>
    <row r="62" spans="1:30" x14ac:dyDescent="0.25">
      <c r="A62" t="s">
        <v>51</v>
      </c>
      <c r="B62" t="str" cm="1">
        <f t="array" ref="B62:F62">_xlfn.TEXTSPLIT(A62,"_")</f>
        <v>MVPRP</v>
      </c>
      <c r="C62" t="str">
        <v>C30</v>
      </c>
      <c r="D62" t="str">
        <v>P6</v>
      </c>
      <c r="E62" t="str">
        <v>V3</v>
      </c>
      <c r="F62" t="str">
        <v>I3</v>
      </c>
      <c r="G62" t="s">
        <v>75</v>
      </c>
      <c r="H62" t="s">
        <v>77</v>
      </c>
      <c r="I62">
        <v>81327.520434716396</v>
      </c>
      <c r="J62">
        <v>73549.844015917406</v>
      </c>
      <c r="K62">
        <v>9.5634004052077004E-2</v>
      </c>
      <c r="L62">
        <v>3600.1991057395899</v>
      </c>
      <c r="M62" t="s">
        <v>95</v>
      </c>
      <c r="N62">
        <v>228</v>
      </c>
      <c r="P62">
        <v>2</v>
      </c>
      <c r="Q62">
        <v>0.5</v>
      </c>
      <c r="R62">
        <v>100</v>
      </c>
      <c r="S62">
        <v>50</v>
      </c>
      <c r="T62">
        <v>0</v>
      </c>
      <c r="V62" s="2" t="s">
        <v>33</v>
      </c>
      <c r="W62">
        <v>0.05</v>
      </c>
      <c r="X62">
        <v>6000</v>
      </c>
      <c r="Y62">
        <v>33150</v>
      </c>
      <c r="Z62">
        <v>18276</v>
      </c>
      <c r="AA62">
        <v>23901.5204347164</v>
      </c>
      <c r="AB62">
        <v>-1</v>
      </c>
      <c r="AC62">
        <v>-1</v>
      </c>
      <c r="AD62">
        <v>-1</v>
      </c>
    </row>
    <row r="63" spans="1:30" x14ac:dyDescent="0.25">
      <c r="A63" t="s">
        <v>52</v>
      </c>
      <c r="B63" t="str" cm="1">
        <f t="array" ref="B63:F63">_xlfn.TEXTSPLIT(A63,"_")</f>
        <v>MVPRP</v>
      </c>
      <c r="C63" t="str">
        <v>C45</v>
      </c>
      <c r="D63" t="str">
        <v>P3</v>
      </c>
      <c r="E63" t="str">
        <v>V3</v>
      </c>
      <c r="F63" t="str">
        <v>I1</v>
      </c>
      <c r="G63" t="s">
        <v>75</v>
      </c>
      <c r="H63" t="s">
        <v>77</v>
      </c>
      <c r="I63">
        <v>49012.054775515098</v>
      </c>
      <c r="J63">
        <v>48318.6472474275</v>
      </c>
      <c r="K63">
        <v>1.4147693486093099E-2</v>
      </c>
      <c r="L63">
        <v>3600.16135978699</v>
      </c>
      <c r="M63" t="s">
        <v>96</v>
      </c>
      <c r="N63">
        <v>360</v>
      </c>
      <c r="P63">
        <v>2</v>
      </c>
      <c r="Q63">
        <v>0.5</v>
      </c>
      <c r="R63">
        <v>100</v>
      </c>
      <c r="S63">
        <v>50</v>
      </c>
      <c r="T63">
        <v>0</v>
      </c>
      <c r="V63" s="2" t="s">
        <v>33</v>
      </c>
      <c r="W63">
        <v>0.05</v>
      </c>
      <c r="X63">
        <v>6000</v>
      </c>
      <c r="Y63">
        <v>33060</v>
      </c>
      <c r="Z63">
        <v>5021</v>
      </c>
      <c r="AA63">
        <v>4931.0547755151301</v>
      </c>
      <c r="AB63">
        <v>-1</v>
      </c>
      <c r="AC63">
        <v>-1</v>
      </c>
      <c r="AD63">
        <v>-1</v>
      </c>
    </row>
    <row r="64" spans="1:30" x14ac:dyDescent="0.25">
      <c r="A64" t="s">
        <v>53</v>
      </c>
      <c r="B64" t="str" cm="1">
        <f t="array" ref="B64:F64">_xlfn.TEXTSPLIT(A64,"_")</f>
        <v>MVPRP</v>
      </c>
      <c r="C64" t="str">
        <v>C25</v>
      </c>
      <c r="D64" t="str">
        <v>P6</v>
      </c>
      <c r="E64" t="str">
        <v>V3</v>
      </c>
      <c r="F64" t="str">
        <v>I1</v>
      </c>
      <c r="G64" t="s">
        <v>75</v>
      </c>
      <c r="H64" t="s">
        <v>77</v>
      </c>
      <c r="I64">
        <v>55725.301065368498</v>
      </c>
      <c r="J64">
        <v>55488.430761960903</v>
      </c>
      <c r="K64">
        <v>4.25067785869266E-3</v>
      </c>
      <c r="L64">
        <v>3600.0831887722002</v>
      </c>
      <c r="M64" t="s">
        <v>97</v>
      </c>
      <c r="N64">
        <v>189</v>
      </c>
      <c r="P64">
        <v>2</v>
      </c>
      <c r="Q64">
        <v>0.5</v>
      </c>
      <c r="R64">
        <v>100</v>
      </c>
      <c r="S64">
        <v>50</v>
      </c>
      <c r="T64">
        <v>0</v>
      </c>
      <c r="V64" s="2" t="s">
        <v>33</v>
      </c>
      <c r="W64">
        <v>0.05</v>
      </c>
      <c r="X64">
        <v>6000</v>
      </c>
      <c r="Y64">
        <v>28380</v>
      </c>
      <c r="Z64">
        <v>16195</v>
      </c>
      <c r="AA64">
        <v>5150.3010653684596</v>
      </c>
      <c r="AB64">
        <v>-1</v>
      </c>
      <c r="AC64">
        <v>-1</v>
      </c>
      <c r="AD64">
        <v>-1</v>
      </c>
    </row>
    <row r="65" spans="1:30" x14ac:dyDescent="0.25">
      <c r="A65" t="s">
        <v>54</v>
      </c>
      <c r="B65" t="str" cm="1">
        <f t="array" ref="B65:F65">_xlfn.TEXTSPLIT(A65,"_")</f>
        <v>MVPRP</v>
      </c>
      <c r="C65" t="str">
        <v>C35</v>
      </c>
      <c r="D65" t="str">
        <v>P6</v>
      </c>
      <c r="E65" t="str">
        <v>V3</v>
      </c>
      <c r="F65" t="str">
        <v>I1</v>
      </c>
      <c r="G65" t="s">
        <v>75</v>
      </c>
      <c r="H65" t="s">
        <v>77</v>
      </c>
      <c r="I65">
        <v>74655.621031930597</v>
      </c>
      <c r="J65">
        <v>72147.231062062201</v>
      </c>
      <c r="K65">
        <v>3.35994789835787E-2</v>
      </c>
      <c r="L65">
        <v>3600.4885809421498</v>
      </c>
      <c r="M65" t="s">
        <v>98</v>
      </c>
      <c r="N65">
        <v>276</v>
      </c>
      <c r="P65">
        <v>2</v>
      </c>
      <c r="Q65">
        <v>0.5</v>
      </c>
      <c r="R65">
        <v>100</v>
      </c>
      <c r="S65">
        <v>50</v>
      </c>
      <c r="T65">
        <v>0</v>
      </c>
      <c r="V65" s="2" t="s">
        <v>33</v>
      </c>
      <c r="W65">
        <v>0.05</v>
      </c>
      <c r="X65">
        <v>6000</v>
      </c>
      <c r="Y65">
        <v>42900</v>
      </c>
      <c r="Z65">
        <v>18088</v>
      </c>
      <c r="AA65">
        <v>7667.6210319314896</v>
      </c>
      <c r="AB65">
        <v>-1</v>
      </c>
      <c r="AC65">
        <v>-1</v>
      </c>
      <c r="AD65">
        <v>-1</v>
      </c>
    </row>
    <row r="66" spans="1:30" x14ac:dyDescent="0.25">
      <c r="A66" t="s">
        <v>55</v>
      </c>
      <c r="B66" t="str" cm="1">
        <f t="array" ref="B66:F66">_xlfn.TEXTSPLIT(A66,"_")</f>
        <v>MVPRP</v>
      </c>
      <c r="C66" t="str">
        <v>C25</v>
      </c>
      <c r="D66" t="str">
        <v>P3</v>
      </c>
      <c r="E66" t="str">
        <v>V3</v>
      </c>
      <c r="F66" t="str">
        <v>I1</v>
      </c>
      <c r="G66" t="s">
        <v>75</v>
      </c>
      <c r="H66" t="s">
        <v>31</v>
      </c>
      <c r="I66">
        <v>25160.310285837098</v>
      </c>
      <c r="J66">
        <v>25160.310285837098</v>
      </c>
      <c r="K66">
        <v>0</v>
      </c>
      <c r="L66">
        <v>159.57117414474499</v>
      </c>
      <c r="M66" t="s">
        <v>99</v>
      </c>
      <c r="N66">
        <v>189</v>
      </c>
      <c r="P66">
        <v>2</v>
      </c>
      <c r="Q66">
        <v>0.5</v>
      </c>
      <c r="R66">
        <v>100</v>
      </c>
      <c r="S66">
        <v>50</v>
      </c>
      <c r="T66">
        <v>0</v>
      </c>
      <c r="V66" s="2" t="s">
        <v>33</v>
      </c>
      <c r="W66">
        <v>0.05</v>
      </c>
      <c r="X66">
        <v>3000</v>
      </c>
      <c r="Y66">
        <v>14340</v>
      </c>
      <c r="Z66">
        <v>4935</v>
      </c>
      <c r="AA66">
        <v>2885.3102858371199</v>
      </c>
      <c r="AB66">
        <v>-1</v>
      </c>
      <c r="AC66">
        <v>-1</v>
      </c>
      <c r="AD66">
        <v>-1</v>
      </c>
    </row>
    <row r="67" spans="1:30" x14ac:dyDescent="0.25">
      <c r="A67" t="s">
        <v>56</v>
      </c>
      <c r="B67" t="str" cm="1">
        <f t="array" ref="B67:F67">_xlfn.TEXTSPLIT(A67,"_")</f>
        <v>MVPRP</v>
      </c>
      <c r="C67" t="str">
        <v>C10</v>
      </c>
      <c r="D67" t="str">
        <v>P6</v>
      </c>
      <c r="E67" t="str">
        <v>V3</v>
      </c>
      <c r="F67" t="str">
        <v>I1</v>
      </c>
      <c r="G67" t="s">
        <v>75</v>
      </c>
      <c r="H67" t="s">
        <v>31</v>
      </c>
      <c r="I67">
        <v>28912.325360672399</v>
      </c>
      <c r="J67">
        <v>28912.325360672399</v>
      </c>
      <c r="K67">
        <v>0</v>
      </c>
      <c r="L67">
        <v>9.4827632904052699</v>
      </c>
      <c r="M67" t="s">
        <v>100</v>
      </c>
      <c r="N67">
        <v>132</v>
      </c>
      <c r="P67">
        <v>2</v>
      </c>
      <c r="Q67">
        <v>0.5</v>
      </c>
      <c r="R67">
        <v>100</v>
      </c>
      <c r="S67">
        <v>50</v>
      </c>
      <c r="T67">
        <v>0</v>
      </c>
      <c r="V67" s="2" t="s">
        <v>33</v>
      </c>
      <c r="W67">
        <v>0.05</v>
      </c>
      <c r="X67">
        <v>6000</v>
      </c>
      <c r="Y67">
        <v>12690</v>
      </c>
      <c r="Z67">
        <v>7073</v>
      </c>
      <c r="AA67">
        <v>3149.3253606723902</v>
      </c>
      <c r="AB67">
        <v>-1</v>
      </c>
      <c r="AC67">
        <v>-1</v>
      </c>
      <c r="AD67">
        <v>-1</v>
      </c>
    </row>
    <row r="68" spans="1:30" x14ac:dyDescent="0.25">
      <c r="A68" t="s">
        <v>57</v>
      </c>
      <c r="B68" t="str" cm="1">
        <f t="array" ref="B68:F68">_xlfn.TEXTSPLIT(A68,"_")</f>
        <v>MVPRP</v>
      </c>
      <c r="C68" t="str">
        <v>C35</v>
      </c>
      <c r="D68" t="str">
        <v>P3</v>
      </c>
      <c r="E68" t="str">
        <v>V3</v>
      </c>
      <c r="F68" t="str">
        <v>I1</v>
      </c>
      <c r="G68" t="s">
        <v>75</v>
      </c>
      <c r="H68" t="s">
        <v>77</v>
      </c>
      <c r="I68">
        <v>34466.262315235297</v>
      </c>
      <c r="J68">
        <v>34117.230129068899</v>
      </c>
      <c r="K68">
        <v>1.01267779770884E-2</v>
      </c>
      <c r="L68">
        <v>3600.0682177543599</v>
      </c>
      <c r="M68" t="s">
        <v>101</v>
      </c>
      <c r="N68">
        <v>276</v>
      </c>
      <c r="P68">
        <v>2</v>
      </c>
      <c r="Q68">
        <v>0.5</v>
      </c>
      <c r="R68">
        <v>100</v>
      </c>
      <c r="S68">
        <v>50</v>
      </c>
      <c r="T68">
        <v>0</v>
      </c>
      <c r="V68" s="2" t="s">
        <v>33</v>
      </c>
      <c r="W68">
        <v>0.05</v>
      </c>
      <c r="X68">
        <v>3000</v>
      </c>
      <c r="Y68">
        <v>21600</v>
      </c>
      <c r="Z68">
        <v>6452</v>
      </c>
      <c r="AA68">
        <v>3414.2623152353199</v>
      </c>
      <c r="AB68">
        <v>-1</v>
      </c>
      <c r="AC68">
        <v>-1</v>
      </c>
      <c r="AD68">
        <v>-1</v>
      </c>
    </row>
    <row r="69" spans="1:30" x14ac:dyDescent="0.25">
      <c r="A69" t="s">
        <v>58</v>
      </c>
      <c r="B69" t="str" cm="1">
        <f t="array" ref="B69:F69">_xlfn.TEXTSPLIT(A69,"_")</f>
        <v>MVPRP</v>
      </c>
      <c r="C69" t="str">
        <v>C10</v>
      </c>
      <c r="D69" t="str">
        <v>P6</v>
      </c>
      <c r="E69" t="str">
        <v>V3</v>
      </c>
      <c r="F69" t="str">
        <v>I3</v>
      </c>
      <c r="G69" t="s">
        <v>75</v>
      </c>
      <c r="H69" t="s">
        <v>31</v>
      </c>
      <c r="I69">
        <v>37774.950416902298</v>
      </c>
      <c r="J69">
        <v>37774.950416902298</v>
      </c>
      <c r="K69">
        <v>0</v>
      </c>
      <c r="L69">
        <v>46.119750261306798</v>
      </c>
      <c r="M69" t="s">
        <v>102</v>
      </c>
      <c r="N69">
        <v>132</v>
      </c>
      <c r="P69">
        <v>2</v>
      </c>
      <c r="Q69">
        <v>0.5</v>
      </c>
      <c r="R69">
        <v>100</v>
      </c>
      <c r="S69">
        <v>50</v>
      </c>
      <c r="T69">
        <v>0</v>
      </c>
      <c r="V69" s="2" t="s">
        <v>33</v>
      </c>
      <c r="W69">
        <v>0.05</v>
      </c>
      <c r="X69">
        <v>6000</v>
      </c>
      <c r="Y69">
        <v>12690</v>
      </c>
      <c r="Z69">
        <v>8619</v>
      </c>
      <c r="AA69">
        <v>10465.9504169023</v>
      </c>
      <c r="AB69">
        <v>-1</v>
      </c>
      <c r="AC69">
        <v>-1</v>
      </c>
      <c r="AD69">
        <v>-1</v>
      </c>
    </row>
    <row r="70" spans="1:30" x14ac:dyDescent="0.25">
      <c r="A70" t="s">
        <v>59</v>
      </c>
      <c r="B70" t="str" cm="1">
        <f t="array" ref="B70:F70">_xlfn.TEXTSPLIT(A70,"_")</f>
        <v>MVPRP</v>
      </c>
      <c r="C70" t="str">
        <v>C50</v>
      </c>
      <c r="D70" t="str">
        <v>P3</v>
      </c>
      <c r="E70" t="str">
        <v>V3</v>
      </c>
      <c r="F70" t="str">
        <v>I1</v>
      </c>
      <c r="G70" t="s">
        <v>75</v>
      </c>
      <c r="H70" t="s">
        <v>77</v>
      </c>
      <c r="I70">
        <v>45747.905895398297</v>
      </c>
      <c r="J70">
        <v>44651.431294652903</v>
      </c>
      <c r="K70">
        <v>2.3967755010524699E-2</v>
      </c>
      <c r="L70">
        <v>3600.1454582214401</v>
      </c>
      <c r="M70" t="s">
        <v>103</v>
      </c>
      <c r="N70">
        <v>360</v>
      </c>
      <c r="P70">
        <v>2</v>
      </c>
      <c r="Q70">
        <v>0.5</v>
      </c>
      <c r="R70">
        <v>100</v>
      </c>
      <c r="S70">
        <v>50</v>
      </c>
      <c r="T70">
        <v>0</v>
      </c>
      <c r="V70" s="2" t="s">
        <v>33</v>
      </c>
      <c r="W70">
        <v>0.05</v>
      </c>
      <c r="X70">
        <v>6000</v>
      </c>
      <c r="Y70">
        <v>29580</v>
      </c>
      <c r="Z70">
        <v>5523</v>
      </c>
      <c r="AA70">
        <v>4644.9058953983304</v>
      </c>
      <c r="AB70">
        <v>-1</v>
      </c>
      <c r="AC70">
        <v>-1</v>
      </c>
      <c r="AD70">
        <v>-1</v>
      </c>
    </row>
    <row r="71" spans="1:30" x14ac:dyDescent="0.25">
      <c r="A71" t="s">
        <v>60</v>
      </c>
      <c r="B71" t="str" cm="1">
        <f t="array" ref="B71:F71">_xlfn.TEXTSPLIT(A71,"_")</f>
        <v>MVPRP</v>
      </c>
      <c r="C71" t="str">
        <v>C30</v>
      </c>
      <c r="D71" t="str">
        <v>P6</v>
      </c>
      <c r="E71" t="str">
        <v>V3</v>
      </c>
      <c r="F71" t="str">
        <v>I1</v>
      </c>
      <c r="G71" t="s">
        <v>75</v>
      </c>
      <c r="H71" t="s">
        <v>77</v>
      </c>
      <c r="I71">
        <v>59786.768739537103</v>
      </c>
      <c r="J71">
        <v>59210.413966135398</v>
      </c>
      <c r="K71">
        <v>9.6401726594840999E-3</v>
      </c>
      <c r="L71">
        <v>3600.0621676444998</v>
      </c>
      <c r="M71" t="s">
        <v>104</v>
      </c>
      <c r="N71">
        <v>228</v>
      </c>
      <c r="P71">
        <v>2</v>
      </c>
      <c r="Q71">
        <v>0.5</v>
      </c>
      <c r="R71">
        <v>100</v>
      </c>
      <c r="S71">
        <v>50</v>
      </c>
      <c r="T71">
        <v>0</v>
      </c>
      <c r="V71" s="2" t="s">
        <v>33</v>
      </c>
      <c r="W71">
        <v>0.05</v>
      </c>
      <c r="X71">
        <v>6000</v>
      </c>
      <c r="Y71">
        <v>33150</v>
      </c>
      <c r="Z71">
        <v>15190</v>
      </c>
      <c r="AA71">
        <v>5446.7687395371304</v>
      </c>
      <c r="AB71">
        <v>-1</v>
      </c>
      <c r="AC71">
        <v>-1</v>
      </c>
      <c r="AD71">
        <v>-1</v>
      </c>
    </row>
    <row r="72" spans="1:30" x14ac:dyDescent="0.25">
      <c r="A72" t="s">
        <v>61</v>
      </c>
      <c r="B72" t="str" cm="1">
        <f t="array" ref="B72:F72">_xlfn.TEXTSPLIT(A72,"_")</f>
        <v>MVPRP</v>
      </c>
      <c r="C72" t="str">
        <v>C25</v>
      </c>
      <c r="D72" t="str">
        <v>P9</v>
      </c>
      <c r="E72" t="str">
        <v>V3</v>
      </c>
      <c r="F72" t="str">
        <v>I1</v>
      </c>
      <c r="G72" t="s">
        <v>75</v>
      </c>
      <c r="H72" t="s">
        <v>77</v>
      </c>
      <c r="I72">
        <v>100009.872030873</v>
      </c>
      <c r="J72">
        <v>97572.951477217299</v>
      </c>
      <c r="K72">
        <v>2.43668000385317E-2</v>
      </c>
      <c r="L72">
        <v>3600.1429238319402</v>
      </c>
      <c r="M72" t="s">
        <v>105</v>
      </c>
      <c r="N72">
        <v>189</v>
      </c>
      <c r="P72">
        <v>2</v>
      </c>
      <c r="Q72">
        <v>0.5</v>
      </c>
      <c r="R72">
        <v>100</v>
      </c>
      <c r="S72">
        <v>50</v>
      </c>
      <c r="T72">
        <v>0</v>
      </c>
      <c r="V72" s="2" t="s">
        <v>33</v>
      </c>
      <c r="W72">
        <v>0.05</v>
      </c>
      <c r="X72">
        <v>9000</v>
      </c>
      <c r="Y72">
        <v>59880</v>
      </c>
      <c r="Z72">
        <v>20372</v>
      </c>
      <c r="AA72">
        <v>10757.872030872801</v>
      </c>
      <c r="AB72">
        <v>-1</v>
      </c>
      <c r="AC72">
        <v>-1</v>
      </c>
      <c r="AD72">
        <v>-1</v>
      </c>
    </row>
    <row r="73" spans="1:30" x14ac:dyDescent="0.25">
      <c r="A73" t="s">
        <v>62</v>
      </c>
      <c r="B73" t="str" cm="1">
        <f t="array" ref="B73:F73">_xlfn.TEXTSPLIT(A73,"_")</f>
        <v>MVPRP</v>
      </c>
      <c r="C73" t="str">
        <v>C25</v>
      </c>
      <c r="D73" t="str">
        <v>P3</v>
      </c>
      <c r="E73" t="str">
        <v>V3</v>
      </c>
      <c r="F73" t="str">
        <v>I3</v>
      </c>
      <c r="G73" t="s">
        <v>75</v>
      </c>
      <c r="H73" t="s">
        <v>31</v>
      </c>
      <c r="I73">
        <v>34032.056398000197</v>
      </c>
      <c r="J73">
        <v>34028.930519911701</v>
      </c>
      <c r="K73">
        <v>9.1850990487900096E-5</v>
      </c>
      <c r="L73">
        <v>1203.1169180870099</v>
      </c>
      <c r="M73" t="s">
        <v>106</v>
      </c>
      <c r="N73">
        <v>189</v>
      </c>
      <c r="P73">
        <v>2</v>
      </c>
      <c r="Q73">
        <v>0.5</v>
      </c>
      <c r="R73">
        <v>100</v>
      </c>
      <c r="S73">
        <v>50</v>
      </c>
      <c r="T73">
        <v>0</v>
      </c>
      <c r="V73" s="2" t="s">
        <v>33</v>
      </c>
      <c r="W73">
        <v>0.05</v>
      </c>
      <c r="X73">
        <v>3000</v>
      </c>
      <c r="Y73">
        <v>14340</v>
      </c>
      <c r="Z73">
        <v>6199</v>
      </c>
      <c r="AA73">
        <v>10493.056398000201</v>
      </c>
      <c r="AB73">
        <v>-1</v>
      </c>
      <c r="AC73">
        <v>-1</v>
      </c>
      <c r="AD73">
        <v>-1</v>
      </c>
    </row>
    <row r="74" spans="1:30" x14ac:dyDescent="0.25">
      <c r="A74" t="s">
        <v>63</v>
      </c>
      <c r="B74" t="str" cm="1">
        <f t="array" ref="B74:F74">_xlfn.TEXTSPLIT(A74,"_")</f>
        <v>MVPRP</v>
      </c>
      <c r="C74" t="str">
        <v>C15</v>
      </c>
      <c r="D74" t="str">
        <v>P6</v>
      </c>
      <c r="E74" t="str">
        <v>V3</v>
      </c>
      <c r="F74" t="str">
        <v>I1</v>
      </c>
      <c r="G74" t="s">
        <v>75</v>
      </c>
      <c r="H74" t="s">
        <v>77</v>
      </c>
      <c r="I74">
        <v>41262.2486082865</v>
      </c>
      <c r="J74">
        <v>40988.612591177</v>
      </c>
      <c r="K74">
        <v>6.6316312449948202E-3</v>
      </c>
      <c r="L74">
        <v>3600.0509643554701</v>
      </c>
      <c r="M74" t="s">
        <v>107</v>
      </c>
      <c r="N74">
        <v>132</v>
      </c>
      <c r="P74">
        <v>2</v>
      </c>
      <c r="Q74">
        <v>0.5</v>
      </c>
      <c r="R74">
        <v>100</v>
      </c>
      <c r="S74">
        <v>50</v>
      </c>
      <c r="T74">
        <v>0</v>
      </c>
      <c r="V74" s="2" t="s">
        <v>33</v>
      </c>
      <c r="W74">
        <v>0.05</v>
      </c>
      <c r="X74">
        <v>6000</v>
      </c>
      <c r="Y74">
        <v>19799.999915550001</v>
      </c>
      <c r="Z74">
        <v>10321.99997463</v>
      </c>
      <c r="AA74">
        <v>5140.2487181064698</v>
      </c>
      <c r="AB74">
        <v>-1</v>
      </c>
      <c r="AC74">
        <v>-1</v>
      </c>
      <c r="AD74">
        <v>-1</v>
      </c>
    </row>
    <row r="75" spans="1:30" x14ac:dyDescent="0.25">
      <c r="A75" t="s">
        <v>64</v>
      </c>
      <c r="B75" t="str" cm="1">
        <f t="array" ref="B75:F75">_xlfn.TEXTSPLIT(A75,"_")</f>
        <v>MVPRP</v>
      </c>
      <c r="C75" t="str">
        <v>C15</v>
      </c>
      <c r="D75" t="str">
        <v>P3</v>
      </c>
      <c r="E75" t="str">
        <v>V3</v>
      </c>
      <c r="F75" t="str">
        <v>I1</v>
      </c>
      <c r="G75" t="s">
        <v>75</v>
      </c>
      <c r="H75" t="s">
        <v>31</v>
      </c>
      <c r="I75">
        <v>18956.9855368877</v>
      </c>
      <c r="J75">
        <v>18956.9855368877</v>
      </c>
      <c r="K75">
        <v>0</v>
      </c>
      <c r="L75">
        <v>72.067611455917401</v>
      </c>
      <c r="M75" t="s">
        <v>108</v>
      </c>
      <c r="N75">
        <v>132</v>
      </c>
      <c r="P75">
        <v>2</v>
      </c>
      <c r="Q75">
        <v>0.5</v>
      </c>
      <c r="R75">
        <v>100</v>
      </c>
      <c r="S75">
        <v>50</v>
      </c>
      <c r="T75">
        <v>0</v>
      </c>
      <c r="V75" s="2" t="s">
        <v>33</v>
      </c>
      <c r="W75">
        <v>0.05</v>
      </c>
      <c r="X75">
        <v>3000</v>
      </c>
      <c r="Y75">
        <v>9960</v>
      </c>
      <c r="Z75">
        <v>3583</v>
      </c>
      <c r="AA75">
        <v>2413.9855368877302</v>
      </c>
      <c r="AB75">
        <v>-1</v>
      </c>
      <c r="AC75">
        <v>-1</v>
      </c>
      <c r="AD75">
        <v>-1</v>
      </c>
    </row>
    <row r="76" spans="1:30" x14ac:dyDescent="0.25">
      <c r="A76" t="s">
        <v>65</v>
      </c>
      <c r="B76" t="str" cm="1">
        <f t="array" ref="B76:F76">_xlfn.TEXTSPLIT(A76,"_")</f>
        <v>MVPRP</v>
      </c>
      <c r="C76" t="str">
        <v>C20</v>
      </c>
      <c r="D76" t="str">
        <v>P6</v>
      </c>
      <c r="E76" t="str">
        <v>V3</v>
      </c>
      <c r="F76" t="str">
        <v>I3</v>
      </c>
      <c r="G76" t="s">
        <v>75</v>
      </c>
      <c r="H76" t="s">
        <v>77</v>
      </c>
      <c r="I76">
        <v>60849.287344152202</v>
      </c>
      <c r="J76">
        <v>59052.642768488797</v>
      </c>
      <c r="K76">
        <v>2.9526139977646599E-2</v>
      </c>
      <c r="L76">
        <v>3600.0613012313802</v>
      </c>
      <c r="M76" t="s">
        <v>109</v>
      </c>
      <c r="N76">
        <v>189</v>
      </c>
      <c r="P76">
        <v>2</v>
      </c>
      <c r="Q76">
        <v>0.5</v>
      </c>
      <c r="R76">
        <v>100</v>
      </c>
      <c r="S76">
        <v>50</v>
      </c>
      <c r="T76">
        <v>0</v>
      </c>
      <c r="V76" s="2" t="s">
        <v>33</v>
      </c>
      <c r="W76">
        <v>0.05</v>
      </c>
      <c r="X76">
        <v>6000</v>
      </c>
      <c r="Y76">
        <v>23819.999971500001</v>
      </c>
      <c r="Z76">
        <v>13992.9999697066</v>
      </c>
      <c r="AA76">
        <v>17036.2874029456</v>
      </c>
      <c r="AB76">
        <v>-1</v>
      </c>
      <c r="AC76">
        <v>-1</v>
      </c>
      <c r="AD76">
        <v>-1</v>
      </c>
    </row>
    <row r="77" spans="1:30" x14ac:dyDescent="0.25">
      <c r="A77" t="s">
        <v>66</v>
      </c>
      <c r="B77" t="str" cm="1">
        <f t="array" ref="B77:F77">_xlfn.TEXTSPLIT(A77,"_")</f>
        <v>MVPRP</v>
      </c>
      <c r="C77" t="str">
        <v>C20</v>
      </c>
      <c r="D77" t="str">
        <v>P9</v>
      </c>
      <c r="E77" t="str">
        <v>V3</v>
      </c>
      <c r="F77" t="str">
        <v>I3</v>
      </c>
      <c r="G77" t="s">
        <v>75</v>
      </c>
      <c r="H77" t="s">
        <v>77</v>
      </c>
      <c r="I77">
        <v>110207.29372188701</v>
      </c>
      <c r="J77">
        <v>101863.38213030199</v>
      </c>
      <c r="K77">
        <v>7.5711065119167295E-2</v>
      </c>
      <c r="L77">
        <v>3600.06781983376</v>
      </c>
      <c r="M77" t="s">
        <v>110</v>
      </c>
      <c r="N77">
        <v>189</v>
      </c>
      <c r="P77">
        <v>2</v>
      </c>
      <c r="Q77">
        <v>0.5</v>
      </c>
      <c r="R77">
        <v>100</v>
      </c>
      <c r="S77">
        <v>50</v>
      </c>
      <c r="T77">
        <v>0</v>
      </c>
      <c r="V77" s="2" t="s">
        <v>33</v>
      </c>
      <c r="W77">
        <v>0.05</v>
      </c>
      <c r="X77">
        <v>9000</v>
      </c>
      <c r="Y77">
        <v>48120</v>
      </c>
      <c r="Z77">
        <v>23360</v>
      </c>
      <c r="AA77">
        <v>29727.293721886599</v>
      </c>
      <c r="AB77">
        <v>-1</v>
      </c>
      <c r="AC77">
        <v>-1</v>
      </c>
      <c r="AD77">
        <v>-1</v>
      </c>
    </row>
    <row r="78" spans="1:30" x14ac:dyDescent="0.25">
      <c r="A78" t="s">
        <v>67</v>
      </c>
      <c r="B78" t="str" cm="1">
        <f t="array" ref="B78:F78">_xlfn.TEXTSPLIT(A78,"_")</f>
        <v>MVPRP</v>
      </c>
      <c r="C78" t="str">
        <v>C40</v>
      </c>
      <c r="D78" t="str">
        <v>P6</v>
      </c>
      <c r="E78" t="str">
        <v>V3</v>
      </c>
      <c r="F78" t="str">
        <v>I3</v>
      </c>
      <c r="G78" t="s">
        <v>75</v>
      </c>
      <c r="H78" t="s">
        <v>77</v>
      </c>
      <c r="I78">
        <v>126853.990983268</v>
      </c>
      <c r="J78">
        <v>109864.894297905</v>
      </c>
      <c r="K78">
        <v>0.13392638697196799</v>
      </c>
      <c r="L78">
        <v>3600.1987092495001</v>
      </c>
      <c r="M78" t="s">
        <v>111</v>
      </c>
      <c r="N78">
        <v>360</v>
      </c>
      <c r="P78">
        <v>2</v>
      </c>
      <c r="Q78">
        <v>0.5</v>
      </c>
      <c r="R78">
        <v>100</v>
      </c>
      <c r="S78">
        <v>50</v>
      </c>
      <c r="T78">
        <v>0</v>
      </c>
      <c r="V78" s="2" t="s">
        <v>33</v>
      </c>
      <c r="W78">
        <v>0.05</v>
      </c>
      <c r="X78">
        <v>9000</v>
      </c>
      <c r="Y78">
        <v>55170</v>
      </c>
      <c r="Z78">
        <v>31257</v>
      </c>
      <c r="AA78">
        <v>31426.990983268301</v>
      </c>
      <c r="AB78">
        <v>-1</v>
      </c>
      <c r="AC78">
        <v>-1</v>
      </c>
      <c r="AD78">
        <v>-1</v>
      </c>
    </row>
    <row r="79" spans="1:30" x14ac:dyDescent="0.25">
      <c r="A79" t="s">
        <v>68</v>
      </c>
      <c r="B79" t="str" cm="1">
        <f t="array" ref="B79:F79">_xlfn.TEXTSPLIT(A79,"_")</f>
        <v>MVPRP</v>
      </c>
      <c r="C79" t="str">
        <v>C20</v>
      </c>
      <c r="D79" t="str">
        <v>P9</v>
      </c>
      <c r="E79" t="str">
        <v>V3</v>
      </c>
      <c r="F79" t="str">
        <v>I1</v>
      </c>
      <c r="G79" t="s">
        <v>75</v>
      </c>
      <c r="H79" t="s">
        <v>77</v>
      </c>
      <c r="I79">
        <v>81302.077718932502</v>
      </c>
      <c r="J79">
        <v>79769.588477055106</v>
      </c>
      <c r="K79">
        <v>1.88493244560781E-2</v>
      </c>
      <c r="L79">
        <v>3600.03527736664</v>
      </c>
      <c r="M79" t="s">
        <v>112</v>
      </c>
      <c r="N79">
        <v>189</v>
      </c>
      <c r="P79">
        <v>2</v>
      </c>
      <c r="Q79">
        <v>0.5</v>
      </c>
      <c r="R79">
        <v>100</v>
      </c>
      <c r="S79">
        <v>50</v>
      </c>
      <c r="T79">
        <v>0</v>
      </c>
      <c r="V79" s="2" t="s">
        <v>33</v>
      </c>
      <c r="W79">
        <v>0.05</v>
      </c>
      <c r="X79">
        <v>9000</v>
      </c>
      <c r="Y79">
        <v>48120</v>
      </c>
      <c r="Z79">
        <v>15395</v>
      </c>
      <c r="AA79">
        <v>8787.0777189325308</v>
      </c>
      <c r="AB79">
        <v>-1</v>
      </c>
      <c r="AC79">
        <v>-1</v>
      </c>
      <c r="AD79">
        <v>-1</v>
      </c>
    </row>
    <row r="80" spans="1:30" x14ac:dyDescent="0.25">
      <c r="A80" t="s">
        <v>69</v>
      </c>
      <c r="B80" t="str" cm="1">
        <f t="array" ref="B80:F80">_xlfn.TEXTSPLIT(A80,"_")</f>
        <v>MVPRP</v>
      </c>
      <c r="C80" t="str">
        <v>C15</v>
      </c>
      <c r="D80" t="str">
        <v>P9</v>
      </c>
      <c r="E80" t="str">
        <v>V3</v>
      </c>
      <c r="F80" t="str">
        <v>I3</v>
      </c>
      <c r="G80" t="s">
        <v>75</v>
      </c>
      <c r="H80" t="s">
        <v>77</v>
      </c>
      <c r="I80">
        <v>104190.162255156</v>
      </c>
      <c r="J80">
        <v>94372.153593138995</v>
      </c>
      <c r="K80">
        <v>9.4231628490734895E-2</v>
      </c>
      <c r="L80">
        <v>3600.11109733582</v>
      </c>
      <c r="M80" t="s">
        <v>113</v>
      </c>
      <c r="N80">
        <v>132</v>
      </c>
      <c r="P80">
        <v>2</v>
      </c>
      <c r="Q80">
        <v>0.5</v>
      </c>
      <c r="R80">
        <v>100</v>
      </c>
      <c r="S80">
        <v>50</v>
      </c>
      <c r="T80">
        <v>0</v>
      </c>
      <c r="V80" s="2" t="s">
        <v>33</v>
      </c>
      <c r="W80">
        <v>0.05</v>
      </c>
      <c r="X80">
        <v>9000</v>
      </c>
      <c r="Y80">
        <v>40950</v>
      </c>
      <c r="Z80">
        <v>20448</v>
      </c>
      <c r="AA80">
        <v>33792.162255156298</v>
      </c>
      <c r="AB80">
        <v>-1</v>
      </c>
      <c r="AC80">
        <v>-1</v>
      </c>
      <c r="AD80">
        <v>-1</v>
      </c>
    </row>
    <row r="81" spans="1:34" x14ac:dyDescent="0.25">
      <c r="A81" t="s">
        <v>70</v>
      </c>
      <c r="B81" t="str" cm="1">
        <f t="array" ref="B81:F81">_xlfn.TEXTSPLIT(A81,"_")</f>
        <v>MVPRP</v>
      </c>
      <c r="C81" t="str">
        <v>C30</v>
      </c>
      <c r="D81" t="str">
        <v>P9</v>
      </c>
      <c r="E81" t="str">
        <v>V3</v>
      </c>
      <c r="F81" t="str">
        <v>I1</v>
      </c>
      <c r="G81" t="s">
        <v>75</v>
      </c>
      <c r="H81" t="s">
        <v>77</v>
      </c>
      <c r="I81">
        <v>117337.53102633401</v>
      </c>
      <c r="J81">
        <v>105492.498984729</v>
      </c>
      <c r="K81">
        <v>0.100948366119506</v>
      </c>
      <c r="L81">
        <v>3600.8728432655298</v>
      </c>
      <c r="M81" t="s">
        <v>114</v>
      </c>
      <c r="N81">
        <v>228</v>
      </c>
      <c r="P81">
        <v>2</v>
      </c>
      <c r="Q81">
        <v>0.5</v>
      </c>
      <c r="R81">
        <v>100</v>
      </c>
      <c r="S81">
        <v>50</v>
      </c>
      <c r="T81">
        <v>0</v>
      </c>
      <c r="V81" s="2" t="s">
        <v>33</v>
      </c>
      <c r="W81">
        <v>0.05</v>
      </c>
      <c r="X81">
        <v>12000</v>
      </c>
      <c r="Y81">
        <v>67710</v>
      </c>
      <c r="Z81">
        <v>22039</v>
      </c>
      <c r="AA81">
        <v>15588.5310263339</v>
      </c>
      <c r="AB81">
        <v>-1</v>
      </c>
      <c r="AC81">
        <v>-1</v>
      </c>
      <c r="AD81">
        <v>-1</v>
      </c>
    </row>
    <row r="82" spans="1:34" x14ac:dyDescent="0.25">
      <c r="A82" t="s">
        <v>71</v>
      </c>
      <c r="B82" t="str" cm="1">
        <f t="array" ref="B82:F82">_xlfn.TEXTSPLIT(A82,"_")</f>
        <v>MVPRP</v>
      </c>
      <c r="C82" t="str">
        <v>C10</v>
      </c>
      <c r="D82" t="str">
        <v>P9</v>
      </c>
      <c r="E82" t="str">
        <v>V3</v>
      </c>
      <c r="F82" t="str">
        <v>I1</v>
      </c>
      <c r="G82" t="s">
        <v>75</v>
      </c>
      <c r="H82" t="s">
        <v>31</v>
      </c>
      <c r="I82">
        <v>50231.331083236597</v>
      </c>
      <c r="J82">
        <v>50231.331083236597</v>
      </c>
      <c r="K82">
        <v>0</v>
      </c>
      <c r="L82">
        <v>1446.8093454837799</v>
      </c>
      <c r="M82" t="s">
        <v>115</v>
      </c>
      <c r="N82">
        <v>132</v>
      </c>
      <c r="P82">
        <v>2</v>
      </c>
      <c r="Q82">
        <v>0.5</v>
      </c>
      <c r="R82">
        <v>100</v>
      </c>
      <c r="S82">
        <v>50</v>
      </c>
      <c r="T82">
        <v>0</v>
      </c>
      <c r="V82" s="2" t="s">
        <v>33</v>
      </c>
      <c r="W82">
        <v>0.05</v>
      </c>
      <c r="X82">
        <v>9000</v>
      </c>
      <c r="Y82">
        <v>26370</v>
      </c>
      <c r="Z82">
        <v>8932.0000004847698</v>
      </c>
      <c r="AA82">
        <v>5929.3310827517898</v>
      </c>
      <c r="AB82">
        <v>-1</v>
      </c>
      <c r="AC82">
        <v>-1</v>
      </c>
      <c r="AD82">
        <v>-1</v>
      </c>
    </row>
    <row r="83" spans="1:34" x14ac:dyDescent="0.25">
      <c r="A83" t="s">
        <v>72</v>
      </c>
      <c r="B83" t="str" cm="1">
        <f t="array" ref="B83:F83">_xlfn.TEXTSPLIT(A83,"_")</f>
        <v>MVPRP</v>
      </c>
      <c r="C83" t="str">
        <v>C30</v>
      </c>
      <c r="D83" t="str">
        <v>P3</v>
      </c>
      <c r="E83" t="str">
        <v>V3</v>
      </c>
      <c r="F83" t="str">
        <v>I1</v>
      </c>
      <c r="G83" t="s">
        <v>75</v>
      </c>
      <c r="H83" t="s">
        <v>77</v>
      </c>
      <c r="I83">
        <v>27907.462420580101</v>
      </c>
      <c r="J83">
        <v>27751.627459327701</v>
      </c>
      <c r="K83">
        <v>5.5839889311269202E-3</v>
      </c>
      <c r="L83">
        <v>3600.1702923774701</v>
      </c>
      <c r="M83" t="s">
        <v>116</v>
      </c>
      <c r="N83">
        <v>228</v>
      </c>
      <c r="P83">
        <v>2</v>
      </c>
      <c r="Q83">
        <v>0.5</v>
      </c>
      <c r="R83">
        <v>100</v>
      </c>
      <c r="S83">
        <v>50</v>
      </c>
      <c r="T83">
        <v>0</v>
      </c>
      <c r="V83" s="2" t="s">
        <v>33</v>
      </c>
      <c r="W83">
        <v>0.05</v>
      </c>
      <c r="X83">
        <v>3000</v>
      </c>
      <c r="Y83">
        <v>16680</v>
      </c>
      <c r="Z83">
        <v>5240</v>
      </c>
      <c r="AA83">
        <v>2987.4624205800901</v>
      </c>
      <c r="AB83">
        <v>-1</v>
      </c>
      <c r="AC83">
        <v>-1</v>
      </c>
      <c r="AD83">
        <v>-1</v>
      </c>
    </row>
    <row r="84" spans="1:34" x14ac:dyDescent="0.25">
      <c r="A84" t="s">
        <v>73</v>
      </c>
      <c r="B84" t="str" cm="1">
        <f t="array" ref="B84:F84">_xlfn.TEXTSPLIT(A84,"_")</f>
        <v>MVPRP</v>
      </c>
      <c r="C84" t="str">
        <v>C10</v>
      </c>
      <c r="D84" t="str">
        <v>P9</v>
      </c>
      <c r="E84" t="str">
        <v>V3</v>
      </c>
      <c r="F84" t="str">
        <v>I3</v>
      </c>
      <c r="G84" t="s">
        <v>75</v>
      </c>
      <c r="H84" t="s">
        <v>77</v>
      </c>
      <c r="I84">
        <v>68563.336796616495</v>
      </c>
      <c r="J84">
        <v>66581.519238390596</v>
      </c>
      <c r="K84">
        <v>2.89049169836159E-2</v>
      </c>
      <c r="L84">
        <v>3600.0440046787298</v>
      </c>
      <c r="M84" t="s">
        <v>117</v>
      </c>
      <c r="N84">
        <v>132</v>
      </c>
      <c r="P84">
        <v>2</v>
      </c>
      <c r="Q84">
        <v>0.5</v>
      </c>
      <c r="R84">
        <v>100</v>
      </c>
      <c r="S84">
        <v>50</v>
      </c>
      <c r="T84">
        <v>0</v>
      </c>
      <c r="V84" s="2" t="s">
        <v>33</v>
      </c>
      <c r="W84">
        <v>0.05</v>
      </c>
      <c r="X84">
        <v>9000</v>
      </c>
      <c r="Y84">
        <v>26370</v>
      </c>
      <c r="Z84">
        <v>13211.000403140701</v>
      </c>
      <c r="AA84">
        <v>19982.336393475802</v>
      </c>
      <c r="AB84">
        <v>-1</v>
      </c>
      <c r="AC84">
        <v>-1</v>
      </c>
      <c r="AD84">
        <v>-1</v>
      </c>
    </row>
    <row r="85" spans="1:34" x14ac:dyDescent="0.25">
      <c r="A85" t="s">
        <v>74</v>
      </c>
      <c r="B85" t="str" cm="1">
        <f t="array" ref="B85:F85">_xlfn.TEXTSPLIT(A85,"_")</f>
        <v>MVPRP</v>
      </c>
      <c r="C85" t="str">
        <v>C25</v>
      </c>
      <c r="D85" t="str">
        <v>P9</v>
      </c>
      <c r="E85" t="str">
        <v>V3</v>
      </c>
      <c r="F85" t="str">
        <v>I3</v>
      </c>
      <c r="G85" t="s">
        <v>75</v>
      </c>
      <c r="H85" t="s">
        <v>77</v>
      </c>
      <c r="I85">
        <v>140106.60353757499</v>
      </c>
      <c r="J85">
        <v>123257.22692849999</v>
      </c>
      <c r="K85">
        <v>0.12026111677567</v>
      </c>
      <c r="L85">
        <v>3600.2022669315302</v>
      </c>
      <c r="M85" t="s">
        <v>118</v>
      </c>
      <c r="N85">
        <v>189</v>
      </c>
      <c r="P85">
        <v>2</v>
      </c>
      <c r="Q85">
        <v>0.5</v>
      </c>
      <c r="R85">
        <v>100</v>
      </c>
      <c r="S85">
        <v>50</v>
      </c>
      <c r="T85">
        <v>0</v>
      </c>
      <c r="V85" s="2" t="s">
        <v>33</v>
      </c>
      <c r="W85">
        <v>0.05</v>
      </c>
      <c r="X85">
        <v>9000</v>
      </c>
      <c r="Y85">
        <v>59880</v>
      </c>
      <c r="Z85">
        <v>30371</v>
      </c>
      <c r="AA85">
        <v>40855.603537574898</v>
      </c>
      <c r="AB85">
        <v>-1</v>
      </c>
      <c r="AC85">
        <v>-1</v>
      </c>
      <c r="AD85">
        <v>-1</v>
      </c>
    </row>
    <row r="86" spans="1:34" x14ac:dyDescent="0.25">
      <c r="A86" t="s">
        <v>29</v>
      </c>
      <c r="B86" t="str" cm="1">
        <f t="array" ref="B86:F86">_xlfn.TEXTSPLIT(A86,"_")</f>
        <v>MVPRP</v>
      </c>
      <c r="C86" t="str">
        <v>C15</v>
      </c>
      <c r="D86" t="str">
        <v>P3</v>
      </c>
      <c r="E86" t="str">
        <v>V3</v>
      </c>
      <c r="F86" t="str">
        <v>I3</v>
      </c>
      <c r="G86" t="s">
        <v>119</v>
      </c>
      <c r="H86" t="s">
        <v>31</v>
      </c>
      <c r="I86">
        <v>26240.5</v>
      </c>
      <c r="J86">
        <v>26240.4999320594</v>
      </c>
      <c r="K86">
        <v>2.5891516174008001E-9</v>
      </c>
      <c r="L86">
        <v>238.19414281845101</v>
      </c>
      <c r="M86" t="s">
        <v>32</v>
      </c>
      <c r="N86">
        <v>132</v>
      </c>
      <c r="P86">
        <v>2</v>
      </c>
      <c r="Q86">
        <v>0.5</v>
      </c>
      <c r="R86">
        <v>100</v>
      </c>
      <c r="S86">
        <v>50</v>
      </c>
      <c r="T86">
        <v>0</v>
      </c>
      <c r="U86">
        <v>2</v>
      </c>
      <c r="V86" s="1" t="s">
        <v>33</v>
      </c>
      <c r="W86">
        <v>0.05</v>
      </c>
      <c r="X86">
        <v>3000</v>
      </c>
      <c r="Y86">
        <v>9960</v>
      </c>
      <c r="Z86">
        <v>3902</v>
      </c>
      <c r="AA86">
        <v>9378.5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</row>
    <row r="87" spans="1:34" x14ac:dyDescent="0.25">
      <c r="A87" t="s">
        <v>34</v>
      </c>
      <c r="B87" t="str" cm="1">
        <f t="array" ref="B87:F87">_xlfn.TEXTSPLIT(A87,"_")</f>
        <v>MVPRP</v>
      </c>
      <c r="C87" t="str">
        <v>C30</v>
      </c>
      <c r="D87" t="str">
        <v>P9</v>
      </c>
      <c r="E87" t="str">
        <v>V3</v>
      </c>
      <c r="F87" t="str">
        <v>I3</v>
      </c>
      <c r="G87" t="s">
        <v>119</v>
      </c>
      <c r="H87" t="s">
        <v>77</v>
      </c>
      <c r="I87">
        <v>136171.999986562</v>
      </c>
      <c r="J87">
        <v>133302.284555272</v>
      </c>
      <c r="K87">
        <v>2.10741961017923E-2</v>
      </c>
      <c r="L87">
        <v>3600.0624740123799</v>
      </c>
      <c r="M87" t="s">
        <v>32</v>
      </c>
      <c r="N87">
        <v>228</v>
      </c>
      <c r="P87">
        <v>2</v>
      </c>
      <c r="Q87">
        <v>0.5</v>
      </c>
      <c r="R87">
        <v>100</v>
      </c>
      <c r="S87">
        <v>50</v>
      </c>
      <c r="T87">
        <v>0</v>
      </c>
      <c r="U87">
        <v>2</v>
      </c>
      <c r="V87" s="1" t="s">
        <v>33</v>
      </c>
      <c r="W87">
        <v>0.05</v>
      </c>
      <c r="X87">
        <v>12000</v>
      </c>
      <c r="Y87">
        <v>67709.999999999898</v>
      </c>
      <c r="Z87">
        <v>22020.999832142901</v>
      </c>
      <c r="AA87">
        <v>34441.0001544193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</row>
    <row r="88" spans="1:34" x14ac:dyDescent="0.25">
      <c r="A88" t="s">
        <v>35</v>
      </c>
      <c r="B88" t="str" cm="1">
        <f t="array" ref="B88:F88">_xlfn.TEXTSPLIT(A88,"_")</f>
        <v>MVPRP</v>
      </c>
      <c r="C88" t="str">
        <v>C15</v>
      </c>
      <c r="D88" t="str">
        <v>P9</v>
      </c>
      <c r="E88" t="str">
        <v>V3</v>
      </c>
      <c r="F88" t="str">
        <v>I1</v>
      </c>
      <c r="G88" t="s">
        <v>119</v>
      </c>
      <c r="H88" t="s">
        <v>77</v>
      </c>
      <c r="I88">
        <v>72398.999814665207</v>
      </c>
      <c r="J88">
        <v>71861.067706896894</v>
      </c>
      <c r="K88">
        <v>7.4301041332798202E-3</v>
      </c>
      <c r="L88">
        <v>3600.0329861640898</v>
      </c>
      <c r="M88" t="s">
        <v>32</v>
      </c>
      <c r="N88">
        <v>132</v>
      </c>
      <c r="P88">
        <v>2</v>
      </c>
      <c r="Q88">
        <v>0.5</v>
      </c>
      <c r="R88">
        <v>100</v>
      </c>
      <c r="S88">
        <v>50</v>
      </c>
      <c r="T88">
        <v>0</v>
      </c>
      <c r="U88">
        <v>2</v>
      </c>
      <c r="V88" s="1" t="s">
        <v>33</v>
      </c>
      <c r="W88">
        <v>0.05</v>
      </c>
      <c r="X88">
        <v>9000</v>
      </c>
      <c r="Y88">
        <v>40949.999871443702</v>
      </c>
      <c r="Z88">
        <v>13559.999943221501</v>
      </c>
      <c r="AA88">
        <v>8889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</row>
    <row r="89" spans="1:34" x14ac:dyDescent="0.25">
      <c r="A89" t="s">
        <v>36</v>
      </c>
      <c r="B89" t="str" cm="1">
        <f t="array" ref="B89:F89">_xlfn.TEXTSPLIT(A89,"_")</f>
        <v>MVPRP</v>
      </c>
      <c r="C89" t="str">
        <v>C40</v>
      </c>
      <c r="D89" t="str">
        <v>P3</v>
      </c>
      <c r="E89" t="str">
        <v>V3</v>
      </c>
      <c r="F89" t="str">
        <v>I3</v>
      </c>
      <c r="G89" t="s">
        <v>119</v>
      </c>
      <c r="H89" t="s">
        <v>77</v>
      </c>
      <c r="I89">
        <v>54377.998651985297</v>
      </c>
      <c r="J89">
        <v>53634.238078731098</v>
      </c>
      <c r="K89">
        <v>1.3677601083008801E-2</v>
      </c>
      <c r="L89">
        <v>3600.04021906853</v>
      </c>
      <c r="M89" t="s">
        <v>32</v>
      </c>
      <c r="N89">
        <v>360</v>
      </c>
      <c r="P89">
        <v>2</v>
      </c>
      <c r="Q89">
        <v>0.5</v>
      </c>
      <c r="R89">
        <v>100</v>
      </c>
      <c r="S89">
        <v>50</v>
      </c>
      <c r="T89">
        <v>0</v>
      </c>
      <c r="U89">
        <v>2</v>
      </c>
      <c r="V89" s="1" t="s">
        <v>33</v>
      </c>
      <c r="W89">
        <v>0.05</v>
      </c>
      <c r="X89">
        <v>3000</v>
      </c>
      <c r="Y89">
        <v>27659.999999928601</v>
      </c>
      <c r="Z89">
        <v>9704.9993109017305</v>
      </c>
      <c r="AA89">
        <v>14012.999341155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</row>
    <row r="90" spans="1:34" x14ac:dyDescent="0.25">
      <c r="A90" t="s">
        <v>37</v>
      </c>
      <c r="B90" t="str" cm="1">
        <f t="array" ref="B90:F90">_xlfn.TEXTSPLIT(A90,"_")</f>
        <v>MVPRP</v>
      </c>
      <c r="C90" t="str">
        <v>C40</v>
      </c>
      <c r="D90" t="str">
        <v>P3</v>
      </c>
      <c r="E90" t="str">
        <v>V3</v>
      </c>
      <c r="F90" t="str">
        <v>I1</v>
      </c>
      <c r="G90" t="s">
        <v>119</v>
      </c>
      <c r="H90" t="s">
        <v>77</v>
      </c>
      <c r="I90">
        <v>42223.499796775701</v>
      </c>
      <c r="J90">
        <v>42040.333896737699</v>
      </c>
      <c r="K90">
        <v>4.3380084767872702E-3</v>
      </c>
      <c r="L90">
        <v>3600.10026597977</v>
      </c>
      <c r="M90" t="s">
        <v>32</v>
      </c>
      <c r="N90">
        <v>360</v>
      </c>
      <c r="P90">
        <v>2</v>
      </c>
      <c r="Q90">
        <v>0.5</v>
      </c>
      <c r="R90">
        <v>100</v>
      </c>
      <c r="S90">
        <v>50</v>
      </c>
      <c r="T90">
        <v>0</v>
      </c>
      <c r="U90">
        <v>2</v>
      </c>
      <c r="V90" s="1" t="s">
        <v>33</v>
      </c>
      <c r="W90">
        <v>0.05</v>
      </c>
      <c r="X90">
        <v>6000</v>
      </c>
      <c r="Y90">
        <v>27659.999853184199</v>
      </c>
      <c r="Z90">
        <v>4691.9999435915297</v>
      </c>
      <c r="AA90">
        <v>3871.5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</row>
    <row r="91" spans="1:34" x14ac:dyDescent="0.25">
      <c r="A91" t="s">
        <v>38</v>
      </c>
      <c r="B91" t="str" cm="1">
        <f t="array" ref="B91:F91">_xlfn.TEXTSPLIT(A91,"_")</f>
        <v>MVPRP</v>
      </c>
      <c r="C91" t="str">
        <v>C20</v>
      </c>
      <c r="D91" t="str">
        <v>P6</v>
      </c>
      <c r="E91" t="str">
        <v>V3</v>
      </c>
      <c r="F91" t="str">
        <v>I1</v>
      </c>
      <c r="G91" t="s">
        <v>119</v>
      </c>
      <c r="H91" t="s">
        <v>77</v>
      </c>
      <c r="I91">
        <v>46031.499994193699</v>
      </c>
      <c r="J91">
        <v>45971.462731603198</v>
      </c>
      <c r="K91">
        <v>1.30426474475215E-3</v>
      </c>
      <c r="L91">
        <v>3600.04978013039</v>
      </c>
      <c r="M91" t="s">
        <v>32</v>
      </c>
      <c r="N91">
        <v>189</v>
      </c>
      <c r="P91">
        <v>2</v>
      </c>
      <c r="Q91">
        <v>0.5</v>
      </c>
      <c r="R91">
        <v>100</v>
      </c>
      <c r="S91">
        <v>50</v>
      </c>
      <c r="T91">
        <v>0</v>
      </c>
      <c r="U91">
        <v>2</v>
      </c>
      <c r="V91" s="1" t="s">
        <v>33</v>
      </c>
      <c r="W91">
        <v>0.05</v>
      </c>
      <c r="X91">
        <v>6000</v>
      </c>
      <c r="Y91">
        <v>23820</v>
      </c>
      <c r="Z91">
        <v>12077.9999950769</v>
      </c>
      <c r="AA91">
        <v>4133.4999991167897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</row>
    <row r="92" spans="1:34" x14ac:dyDescent="0.25">
      <c r="A92" t="s">
        <v>39</v>
      </c>
      <c r="B92" t="str" cm="1">
        <f t="array" ref="B92:F92">_xlfn.TEXTSPLIT(A92,"_")</f>
        <v>MVPRP</v>
      </c>
      <c r="C92" t="str">
        <v>C10</v>
      </c>
      <c r="D92" t="str">
        <v>P3</v>
      </c>
      <c r="E92" t="str">
        <v>V3</v>
      </c>
      <c r="F92" t="str">
        <v>I1</v>
      </c>
      <c r="G92" t="s">
        <v>119</v>
      </c>
      <c r="H92" t="s">
        <v>31</v>
      </c>
      <c r="I92">
        <v>13261</v>
      </c>
      <c r="J92">
        <v>13261</v>
      </c>
      <c r="K92">
        <v>0</v>
      </c>
      <c r="L92">
        <v>2.5826830863952601</v>
      </c>
      <c r="M92" t="s">
        <v>32</v>
      </c>
      <c r="N92">
        <v>132</v>
      </c>
      <c r="P92">
        <v>2</v>
      </c>
      <c r="Q92">
        <v>0.5</v>
      </c>
      <c r="R92">
        <v>100</v>
      </c>
      <c r="S92">
        <v>50</v>
      </c>
      <c r="T92">
        <v>0</v>
      </c>
      <c r="U92">
        <v>2</v>
      </c>
      <c r="V92" s="1" t="s">
        <v>33</v>
      </c>
      <c r="W92">
        <v>0.05</v>
      </c>
      <c r="X92">
        <v>3000</v>
      </c>
      <c r="Y92">
        <v>6390</v>
      </c>
      <c r="Z92">
        <v>2223</v>
      </c>
      <c r="AA92">
        <v>1648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</row>
    <row r="93" spans="1:34" x14ac:dyDescent="0.25">
      <c r="A93" t="s">
        <v>40</v>
      </c>
      <c r="B93" t="str" cm="1">
        <f t="array" ref="B93:F93">_xlfn.TEXTSPLIT(A93,"_")</f>
        <v>MVPRP</v>
      </c>
      <c r="C93" t="str">
        <v>C45</v>
      </c>
      <c r="D93" t="str">
        <v>P3</v>
      </c>
      <c r="E93" t="str">
        <v>V3</v>
      </c>
      <c r="F93" t="str">
        <v>I3</v>
      </c>
      <c r="G93" t="s">
        <v>119</v>
      </c>
      <c r="H93" t="s">
        <v>77</v>
      </c>
      <c r="I93">
        <v>63308.499966032497</v>
      </c>
      <c r="J93">
        <v>61213.621557050799</v>
      </c>
      <c r="K93">
        <v>3.3090002292041801E-2</v>
      </c>
      <c r="L93">
        <v>3600.1742379665402</v>
      </c>
      <c r="M93" t="s">
        <v>32</v>
      </c>
      <c r="N93">
        <v>360</v>
      </c>
      <c r="P93">
        <v>2</v>
      </c>
      <c r="Q93">
        <v>0.5</v>
      </c>
      <c r="R93">
        <v>100</v>
      </c>
      <c r="S93">
        <v>50</v>
      </c>
      <c r="T93">
        <v>0</v>
      </c>
      <c r="U93">
        <v>2</v>
      </c>
      <c r="V93" s="1" t="s">
        <v>33</v>
      </c>
      <c r="W93">
        <v>0.05</v>
      </c>
      <c r="X93">
        <v>6000</v>
      </c>
      <c r="Y93">
        <v>33060</v>
      </c>
      <c r="Z93">
        <v>7474.0002455903596</v>
      </c>
      <c r="AA93">
        <v>16774.4997204422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</row>
    <row r="94" spans="1:34" x14ac:dyDescent="0.25">
      <c r="A94" t="s">
        <v>41</v>
      </c>
      <c r="B94" t="str" cm="1">
        <f t="array" ref="B94:F94">_xlfn.TEXTSPLIT(A94,"_")</f>
        <v>MVPRP</v>
      </c>
      <c r="C94" t="str">
        <v>C20</v>
      </c>
      <c r="D94" t="str">
        <v>P3</v>
      </c>
      <c r="E94" t="str">
        <v>V3</v>
      </c>
      <c r="F94" t="str">
        <v>I1</v>
      </c>
      <c r="G94" t="s">
        <v>119</v>
      </c>
      <c r="H94" t="s">
        <v>31</v>
      </c>
      <c r="I94">
        <v>21264.5</v>
      </c>
      <c r="J94">
        <v>21264.5</v>
      </c>
      <c r="K94">
        <v>0</v>
      </c>
      <c r="L94">
        <v>63.981189012527501</v>
      </c>
      <c r="M94" t="s">
        <v>32</v>
      </c>
      <c r="N94">
        <v>189</v>
      </c>
      <c r="P94">
        <v>2</v>
      </c>
      <c r="Q94">
        <v>0.5</v>
      </c>
      <c r="R94">
        <v>100</v>
      </c>
      <c r="S94">
        <v>50</v>
      </c>
      <c r="T94">
        <v>0</v>
      </c>
      <c r="U94">
        <v>2</v>
      </c>
      <c r="V94" s="1" t="s">
        <v>33</v>
      </c>
      <c r="W94">
        <v>0.05</v>
      </c>
      <c r="X94">
        <v>3000</v>
      </c>
      <c r="Y94">
        <v>12030</v>
      </c>
      <c r="Z94">
        <v>3827</v>
      </c>
      <c r="AA94">
        <v>2407.5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</row>
    <row r="95" spans="1:34" x14ac:dyDescent="0.25">
      <c r="A95" t="s">
        <v>42</v>
      </c>
      <c r="B95" t="str" cm="1">
        <f t="array" ref="B95:F95">_xlfn.TEXTSPLIT(A95,"_")</f>
        <v>MVPRP</v>
      </c>
      <c r="C95" t="str">
        <v>C35</v>
      </c>
      <c r="D95" t="str">
        <v>P3</v>
      </c>
      <c r="E95" t="str">
        <v>V3</v>
      </c>
      <c r="F95" t="str">
        <v>I3</v>
      </c>
      <c r="G95" t="s">
        <v>119</v>
      </c>
      <c r="H95" t="s">
        <v>77</v>
      </c>
      <c r="I95">
        <v>44185.999043605101</v>
      </c>
      <c r="J95">
        <v>43510.528620756799</v>
      </c>
      <c r="K95">
        <v>1.52869786237405E-2</v>
      </c>
      <c r="L95">
        <v>3600.06271195412</v>
      </c>
      <c r="M95" t="s">
        <v>32</v>
      </c>
      <c r="N95">
        <v>276</v>
      </c>
      <c r="P95">
        <v>2</v>
      </c>
      <c r="Q95">
        <v>0.5</v>
      </c>
      <c r="R95">
        <v>100</v>
      </c>
      <c r="S95">
        <v>50</v>
      </c>
      <c r="T95">
        <v>0</v>
      </c>
      <c r="U95">
        <v>2</v>
      </c>
      <c r="V95" s="1" t="s">
        <v>33</v>
      </c>
      <c r="W95">
        <v>0.05</v>
      </c>
      <c r="X95">
        <v>3000</v>
      </c>
      <c r="Y95">
        <v>21599.9999999992</v>
      </c>
      <c r="Z95">
        <v>7650.9999265340302</v>
      </c>
      <c r="AA95">
        <v>11934.9991170719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</row>
    <row r="96" spans="1:34" x14ac:dyDescent="0.25">
      <c r="A96" t="s">
        <v>43</v>
      </c>
      <c r="B96" t="str" cm="1">
        <f t="array" ref="B96:F96">_xlfn.TEXTSPLIT(A96,"_")</f>
        <v>MVPRP</v>
      </c>
      <c r="C96" t="str">
        <v>C40</v>
      </c>
      <c r="D96" t="str">
        <v>P6</v>
      </c>
      <c r="E96" t="str">
        <v>V3</v>
      </c>
      <c r="F96" t="str">
        <v>I1</v>
      </c>
      <c r="G96" t="s">
        <v>119</v>
      </c>
      <c r="H96" t="s">
        <v>77</v>
      </c>
      <c r="I96">
        <v>93436</v>
      </c>
      <c r="J96">
        <v>92812.185047562205</v>
      </c>
      <c r="K96">
        <v>6.6763876068941901E-3</v>
      </c>
      <c r="L96">
        <v>3600.07370400429</v>
      </c>
      <c r="M96" t="s">
        <v>32</v>
      </c>
      <c r="N96">
        <v>360</v>
      </c>
      <c r="P96">
        <v>2</v>
      </c>
      <c r="Q96">
        <v>0.5</v>
      </c>
      <c r="R96">
        <v>100</v>
      </c>
      <c r="S96">
        <v>50</v>
      </c>
      <c r="T96">
        <v>0</v>
      </c>
      <c r="U96">
        <v>2</v>
      </c>
      <c r="V96" s="1" t="s">
        <v>33</v>
      </c>
      <c r="W96">
        <v>0.05</v>
      </c>
      <c r="X96">
        <v>6000</v>
      </c>
      <c r="Y96">
        <v>55170</v>
      </c>
      <c r="Z96">
        <v>25322</v>
      </c>
      <c r="AA96">
        <v>6944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</row>
    <row r="97" spans="1:34" x14ac:dyDescent="0.25">
      <c r="A97" t="s">
        <v>44</v>
      </c>
      <c r="B97" t="str" cm="1">
        <f t="array" ref="B97:F97">_xlfn.TEXTSPLIT(A97,"_")</f>
        <v>MVPRP</v>
      </c>
      <c r="C97" t="str">
        <v>C10</v>
      </c>
      <c r="D97" t="str">
        <v>P3</v>
      </c>
      <c r="E97" t="str">
        <v>V3</v>
      </c>
      <c r="F97" t="str">
        <v>I3</v>
      </c>
      <c r="G97" t="s">
        <v>119</v>
      </c>
      <c r="H97" t="s">
        <v>31</v>
      </c>
      <c r="I97">
        <v>17835</v>
      </c>
      <c r="J97">
        <v>17835</v>
      </c>
      <c r="K97">
        <v>0</v>
      </c>
      <c r="L97">
        <v>1.38335108757019</v>
      </c>
      <c r="M97" t="s">
        <v>32</v>
      </c>
      <c r="N97">
        <v>132</v>
      </c>
      <c r="P97">
        <v>2</v>
      </c>
      <c r="Q97">
        <v>0.5</v>
      </c>
      <c r="R97">
        <v>100</v>
      </c>
      <c r="S97">
        <v>50</v>
      </c>
      <c r="T97">
        <v>0</v>
      </c>
      <c r="U97">
        <v>2</v>
      </c>
      <c r="V97" s="1" t="s">
        <v>33</v>
      </c>
      <c r="W97">
        <v>0.05</v>
      </c>
      <c r="X97">
        <v>3000</v>
      </c>
      <c r="Y97">
        <v>6390</v>
      </c>
      <c r="Z97">
        <v>2860</v>
      </c>
      <c r="AA97">
        <v>5585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</row>
    <row r="98" spans="1:34" x14ac:dyDescent="0.25">
      <c r="A98" t="s">
        <v>45</v>
      </c>
      <c r="B98" t="str" cm="1">
        <f t="array" ref="B98:F98">_xlfn.TEXTSPLIT(A98,"_")</f>
        <v>MVPRP</v>
      </c>
      <c r="C98" t="str">
        <v>C30</v>
      </c>
      <c r="D98" t="str">
        <v>P3</v>
      </c>
      <c r="E98" t="str">
        <v>V3</v>
      </c>
      <c r="F98" t="str">
        <v>I3</v>
      </c>
      <c r="G98" t="s">
        <v>119</v>
      </c>
      <c r="H98" t="s">
        <v>77</v>
      </c>
      <c r="I98">
        <v>36026</v>
      </c>
      <c r="J98">
        <v>35744.762171535003</v>
      </c>
      <c r="K98">
        <v>7.8065238567977804E-3</v>
      </c>
      <c r="L98">
        <v>3600.05626797676</v>
      </c>
      <c r="M98" t="s">
        <v>32</v>
      </c>
      <c r="N98">
        <v>228</v>
      </c>
      <c r="P98">
        <v>2</v>
      </c>
      <c r="Q98">
        <v>0.5</v>
      </c>
      <c r="R98">
        <v>100</v>
      </c>
      <c r="S98">
        <v>50</v>
      </c>
      <c r="T98">
        <v>0</v>
      </c>
      <c r="U98">
        <v>2</v>
      </c>
      <c r="V98" s="1" t="s">
        <v>33</v>
      </c>
      <c r="W98">
        <v>0.05</v>
      </c>
      <c r="X98">
        <v>3000</v>
      </c>
      <c r="Y98">
        <v>16680</v>
      </c>
      <c r="Z98">
        <v>6549</v>
      </c>
      <c r="AA98">
        <v>9797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</row>
    <row r="99" spans="1:34" x14ac:dyDescent="0.25">
      <c r="A99" t="s">
        <v>46</v>
      </c>
      <c r="B99" t="str" cm="1">
        <f t="array" ref="B99:F99">_xlfn.TEXTSPLIT(A99,"_")</f>
        <v>MVPRP</v>
      </c>
      <c r="C99" t="str">
        <v>C20</v>
      </c>
      <c r="D99" t="str">
        <v>P3</v>
      </c>
      <c r="E99" t="str">
        <v>V3</v>
      </c>
      <c r="F99" t="str">
        <v>I3</v>
      </c>
      <c r="G99" t="s">
        <v>119</v>
      </c>
      <c r="H99" t="s">
        <v>31</v>
      </c>
      <c r="I99">
        <v>28517</v>
      </c>
      <c r="J99">
        <v>28517</v>
      </c>
      <c r="K99">
        <v>0</v>
      </c>
      <c r="L99">
        <v>38.965275049209602</v>
      </c>
      <c r="M99" t="s">
        <v>32</v>
      </c>
      <c r="N99">
        <v>189</v>
      </c>
      <c r="P99">
        <v>2</v>
      </c>
      <c r="Q99">
        <v>0.5</v>
      </c>
      <c r="R99">
        <v>100</v>
      </c>
      <c r="S99">
        <v>50</v>
      </c>
      <c r="T99">
        <v>0</v>
      </c>
      <c r="U99">
        <v>2</v>
      </c>
      <c r="V99" s="1" t="s">
        <v>33</v>
      </c>
      <c r="W99">
        <v>0.05</v>
      </c>
      <c r="X99">
        <v>3000</v>
      </c>
      <c r="Y99">
        <v>12030</v>
      </c>
      <c r="Z99">
        <v>4645</v>
      </c>
      <c r="AA99">
        <v>8842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</row>
    <row r="100" spans="1:34" x14ac:dyDescent="0.25">
      <c r="A100" t="s">
        <v>47</v>
      </c>
      <c r="B100" t="str" cm="1">
        <f t="array" ref="B100:F100">_xlfn.TEXTSPLIT(A100,"_")</f>
        <v>MVPRP</v>
      </c>
      <c r="C100" t="str">
        <v>C35</v>
      </c>
      <c r="D100" t="str">
        <v>P6</v>
      </c>
      <c r="E100" t="str">
        <v>V3</v>
      </c>
      <c r="F100" t="str">
        <v>I3</v>
      </c>
      <c r="G100" t="s">
        <v>119</v>
      </c>
      <c r="H100" t="s">
        <v>77</v>
      </c>
      <c r="I100">
        <v>90834</v>
      </c>
      <c r="J100">
        <v>89349.516171641706</v>
      </c>
      <c r="K100">
        <v>1.63428212823209E-2</v>
      </c>
      <c r="L100">
        <v>3600.0530130863199</v>
      </c>
      <c r="M100" t="s">
        <v>32</v>
      </c>
      <c r="N100">
        <v>276</v>
      </c>
      <c r="P100">
        <v>2</v>
      </c>
      <c r="Q100">
        <v>0.5</v>
      </c>
      <c r="R100">
        <v>100</v>
      </c>
      <c r="S100">
        <v>50</v>
      </c>
      <c r="T100">
        <v>0</v>
      </c>
      <c r="U100">
        <v>2</v>
      </c>
      <c r="V100" s="1" t="s">
        <v>33</v>
      </c>
      <c r="W100">
        <v>0.05</v>
      </c>
      <c r="X100">
        <v>6000</v>
      </c>
      <c r="Y100">
        <v>42900</v>
      </c>
      <c r="Z100">
        <v>20532</v>
      </c>
      <c r="AA100">
        <v>21402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</row>
    <row r="101" spans="1:34" x14ac:dyDescent="0.25">
      <c r="A101" t="s">
        <v>48</v>
      </c>
      <c r="B101" t="str" cm="1">
        <f t="array" ref="B101:F101">_xlfn.TEXTSPLIT(A101,"_")</f>
        <v>MVPRP</v>
      </c>
      <c r="C101" t="str">
        <v>C25</v>
      </c>
      <c r="D101" t="str">
        <v>P6</v>
      </c>
      <c r="E101" t="str">
        <v>V3</v>
      </c>
      <c r="F101" t="str">
        <v>I3</v>
      </c>
      <c r="G101" t="s">
        <v>119</v>
      </c>
      <c r="H101" t="s">
        <v>77</v>
      </c>
      <c r="I101">
        <v>69545.498197501394</v>
      </c>
      <c r="J101">
        <v>68940.450279132099</v>
      </c>
      <c r="K101">
        <v>8.7000299667282701E-3</v>
      </c>
      <c r="L101">
        <v>3600.0907940864599</v>
      </c>
      <c r="M101" t="s">
        <v>32</v>
      </c>
      <c r="N101">
        <v>189</v>
      </c>
      <c r="P101">
        <v>2</v>
      </c>
      <c r="Q101">
        <v>0.5</v>
      </c>
      <c r="R101">
        <v>100</v>
      </c>
      <c r="S101">
        <v>50</v>
      </c>
      <c r="T101">
        <v>0</v>
      </c>
      <c r="U101">
        <v>2</v>
      </c>
      <c r="V101" s="1" t="s">
        <v>33</v>
      </c>
      <c r="W101">
        <v>0.05</v>
      </c>
      <c r="X101">
        <v>6000</v>
      </c>
      <c r="Y101">
        <v>28380</v>
      </c>
      <c r="Z101">
        <v>17844.9981550023</v>
      </c>
      <c r="AA101">
        <v>17320.500042499199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</row>
    <row r="102" spans="1:34" x14ac:dyDescent="0.25">
      <c r="A102" t="s">
        <v>49</v>
      </c>
      <c r="B102" t="str" cm="1">
        <f t="array" ref="B102:F102">_xlfn.TEXTSPLIT(A102,"_")</f>
        <v>MVPRP</v>
      </c>
      <c r="C102" t="str">
        <v>C15</v>
      </c>
      <c r="D102" t="str">
        <v>P6</v>
      </c>
      <c r="E102" t="str">
        <v>V3</v>
      </c>
      <c r="F102" t="str">
        <v>I3</v>
      </c>
      <c r="G102" t="s">
        <v>119</v>
      </c>
      <c r="H102" t="s">
        <v>77</v>
      </c>
      <c r="I102">
        <v>54121</v>
      </c>
      <c r="J102">
        <v>54064.641131386197</v>
      </c>
      <c r="K102">
        <v>1.04134935817579E-3</v>
      </c>
      <c r="L102">
        <v>3600.0338850021399</v>
      </c>
      <c r="M102" t="s">
        <v>32</v>
      </c>
      <c r="N102">
        <v>132</v>
      </c>
      <c r="P102">
        <v>2</v>
      </c>
      <c r="Q102">
        <v>0.5</v>
      </c>
      <c r="R102">
        <v>100</v>
      </c>
      <c r="S102">
        <v>50</v>
      </c>
      <c r="T102">
        <v>0</v>
      </c>
      <c r="U102">
        <v>2</v>
      </c>
      <c r="V102" s="1" t="s">
        <v>33</v>
      </c>
      <c r="W102">
        <v>0.05</v>
      </c>
      <c r="X102">
        <v>6000</v>
      </c>
      <c r="Y102">
        <v>19800</v>
      </c>
      <c r="Z102">
        <v>12105</v>
      </c>
      <c r="AA102">
        <v>16216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</row>
    <row r="103" spans="1:34" x14ac:dyDescent="0.25">
      <c r="A103" t="s">
        <v>50</v>
      </c>
      <c r="B103" t="str" cm="1">
        <f t="array" ref="B103:F103">_xlfn.TEXTSPLIT(A103,"_")</f>
        <v>MVPRP</v>
      </c>
      <c r="C103" t="str">
        <v>C50</v>
      </c>
      <c r="D103" t="str">
        <v>P3</v>
      </c>
      <c r="E103" t="str">
        <v>V3</v>
      </c>
      <c r="F103" t="str">
        <v>I3</v>
      </c>
      <c r="G103" t="s">
        <v>119</v>
      </c>
      <c r="H103" t="s">
        <v>77</v>
      </c>
      <c r="I103">
        <v>59060.999700654</v>
      </c>
      <c r="J103">
        <v>57483.592799488601</v>
      </c>
      <c r="K103">
        <v>2.6708096868668301E-2</v>
      </c>
      <c r="L103">
        <v>3600.1775269508398</v>
      </c>
      <c r="M103" t="s">
        <v>32</v>
      </c>
      <c r="N103">
        <v>360</v>
      </c>
      <c r="P103">
        <v>2</v>
      </c>
      <c r="Q103">
        <v>0.5</v>
      </c>
      <c r="R103">
        <v>100</v>
      </c>
      <c r="S103">
        <v>50</v>
      </c>
      <c r="T103">
        <v>0</v>
      </c>
      <c r="U103">
        <v>2</v>
      </c>
      <c r="V103" s="1" t="s">
        <v>33</v>
      </c>
      <c r="W103">
        <v>0.05</v>
      </c>
      <c r="X103">
        <v>3000.0008600441402</v>
      </c>
      <c r="Y103">
        <v>29579.9999999828</v>
      </c>
      <c r="Z103">
        <v>9778.9988406270695</v>
      </c>
      <c r="AA103">
        <v>16702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</row>
    <row r="104" spans="1:34" x14ac:dyDescent="0.25">
      <c r="A104" t="s">
        <v>51</v>
      </c>
      <c r="B104" t="str" cm="1">
        <f t="array" ref="B104:F104">_xlfn.TEXTSPLIT(A104,"_")</f>
        <v>MVPRP</v>
      </c>
      <c r="C104" t="str">
        <v>C30</v>
      </c>
      <c r="D104" t="str">
        <v>P6</v>
      </c>
      <c r="E104" t="str">
        <v>V3</v>
      </c>
      <c r="F104" t="str">
        <v>I3</v>
      </c>
      <c r="G104" t="s">
        <v>119</v>
      </c>
      <c r="H104" t="s">
        <v>77</v>
      </c>
      <c r="I104">
        <v>74518.499908963393</v>
      </c>
      <c r="J104">
        <v>73724.5142886432</v>
      </c>
      <c r="K104">
        <v>1.06548792754849E-2</v>
      </c>
      <c r="L104">
        <v>3600.07070803642</v>
      </c>
      <c r="M104" t="s">
        <v>32</v>
      </c>
      <c r="N104">
        <v>228</v>
      </c>
      <c r="P104">
        <v>2</v>
      </c>
      <c r="Q104">
        <v>0.5</v>
      </c>
      <c r="R104">
        <v>100</v>
      </c>
      <c r="S104">
        <v>50</v>
      </c>
      <c r="T104">
        <v>0</v>
      </c>
      <c r="U104">
        <v>2</v>
      </c>
      <c r="V104" s="1" t="s">
        <v>33</v>
      </c>
      <c r="W104">
        <v>0.05</v>
      </c>
      <c r="X104">
        <v>6000</v>
      </c>
      <c r="Y104">
        <v>33150</v>
      </c>
      <c r="Z104">
        <v>15987</v>
      </c>
      <c r="AA104">
        <v>19381.4999089634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</row>
    <row r="105" spans="1:34" x14ac:dyDescent="0.25">
      <c r="A105" t="s">
        <v>52</v>
      </c>
      <c r="B105" t="str" cm="1">
        <f t="array" ref="B105:F105">_xlfn.TEXTSPLIT(A105,"_")</f>
        <v>MVPRP</v>
      </c>
      <c r="C105" t="str">
        <v>C45</v>
      </c>
      <c r="D105" t="str">
        <v>P3</v>
      </c>
      <c r="E105" t="str">
        <v>V3</v>
      </c>
      <c r="F105" t="str">
        <v>I1</v>
      </c>
      <c r="G105" t="s">
        <v>119</v>
      </c>
      <c r="H105" t="s">
        <v>77</v>
      </c>
      <c r="I105">
        <v>48258.999980307497</v>
      </c>
      <c r="J105">
        <v>48092.253679702801</v>
      </c>
      <c r="K105">
        <v>3.4552373789921501E-3</v>
      </c>
      <c r="L105">
        <v>3600.0970969200098</v>
      </c>
      <c r="M105" t="s">
        <v>32</v>
      </c>
      <c r="N105">
        <v>360</v>
      </c>
      <c r="P105">
        <v>2</v>
      </c>
      <c r="Q105">
        <v>0.5</v>
      </c>
      <c r="R105">
        <v>100</v>
      </c>
      <c r="S105">
        <v>50</v>
      </c>
      <c r="T105">
        <v>0</v>
      </c>
      <c r="U105">
        <v>2</v>
      </c>
      <c r="V105" s="1" t="s">
        <v>33</v>
      </c>
      <c r="W105">
        <v>0.05</v>
      </c>
      <c r="X105">
        <v>6000</v>
      </c>
      <c r="Y105">
        <v>33060</v>
      </c>
      <c r="Z105">
        <v>5021.0000027061596</v>
      </c>
      <c r="AA105">
        <v>4177.9999776013501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</row>
    <row r="106" spans="1:34" x14ac:dyDescent="0.25">
      <c r="A106" t="s">
        <v>53</v>
      </c>
      <c r="B106" t="str" cm="1">
        <f t="array" ref="B106:F106">_xlfn.TEXTSPLIT(A106,"_")</f>
        <v>MVPRP</v>
      </c>
      <c r="C106" t="str">
        <v>C25</v>
      </c>
      <c r="D106" t="str">
        <v>P6</v>
      </c>
      <c r="E106" t="str">
        <v>V3</v>
      </c>
      <c r="F106" t="str">
        <v>I1</v>
      </c>
      <c r="G106" t="s">
        <v>119</v>
      </c>
      <c r="H106" t="s">
        <v>77</v>
      </c>
      <c r="I106">
        <v>55278.999990389297</v>
      </c>
      <c r="J106">
        <v>55182.0376204192</v>
      </c>
      <c r="K106">
        <v>1.7540543422810599E-3</v>
      </c>
      <c r="L106">
        <v>3600.05472517014</v>
      </c>
      <c r="M106" t="s">
        <v>32</v>
      </c>
      <c r="N106">
        <v>189</v>
      </c>
      <c r="P106">
        <v>2</v>
      </c>
      <c r="Q106">
        <v>0.5</v>
      </c>
      <c r="R106">
        <v>100</v>
      </c>
      <c r="S106">
        <v>50</v>
      </c>
      <c r="T106">
        <v>0</v>
      </c>
      <c r="U106">
        <v>2</v>
      </c>
      <c r="V106" s="1" t="s">
        <v>33</v>
      </c>
      <c r="W106">
        <v>0.05</v>
      </c>
      <c r="X106">
        <v>6000</v>
      </c>
      <c r="Y106">
        <v>28380</v>
      </c>
      <c r="Z106">
        <v>16368.9999903893</v>
      </c>
      <c r="AA106">
        <v>4530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</row>
    <row r="107" spans="1:34" x14ac:dyDescent="0.25">
      <c r="A107" t="s">
        <v>54</v>
      </c>
      <c r="B107" t="str" cm="1">
        <f t="array" ref="B107:F107">_xlfn.TEXTSPLIT(A107,"_")</f>
        <v>MVPRP</v>
      </c>
      <c r="C107" t="str">
        <v>C35</v>
      </c>
      <c r="D107" t="str">
        <v>P6</v>
      </c>
      <c r="E107" t="str">
        <v>V3</v>
      </c>
      <c r="F107" t="str">
        <v>I1</v>
      </c>
      <c r="G107" t="s">
        <v>119</v>
      </c>
      <c r="H107" t="s">
        <v>77</v>
      </c>
      <c r="I107">
        <v>72384.999967396303</v>
      </c>
      <c r="J107">
        <v>72002.368161820996</v>
      </c>
      <c r="K107">
        <v>5.2860648718336904E-3</v>
      </c>
      <c r="L107">
        <v>3600.1030459404001</v>
      </c>
      <c r="M107" t="s">
        <v>32</v>
      </c>
      <c r="N107">
        <v>276</v>
      </c>
      <c r="P107">
        <v>2</v>
      </c>
      <c r="Q107">
        <v>0.5</v>
      </c>
      <c r="R107">
        <v>100</v>
      </c>
      <c r="S107">
        <v>50</v>
      </c>
      <c r="T107">
        <v>0</v>
      </c>
      <c r="U107">
        <v>2</v>
      </c>
      <c r="V107" s="1" t="s">
        <v>33</v>
      </c>
      <c r="W107">
        <v>0.05</v>
      </c>
      <c r="X107">
        <v>6000</v>
      </c>
      <c r="Y107">
        <v>42900</v>
      </c>
      <c r="Z107">
        <v>17483</v>
      </c>
      <c r="AA107">
        <v>6001.9999673963403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</row>
    <row r="108" spans="1:34" x14ac:dyDescent="0.25">
      <c r="A108" t="s">
        <v>55</v>
      </c>
      <c r="B108" t="str" cm="1">
        <f t="array" ref="B108:F108">_xlfn.TEXTSPLIT(A108,"_")</f>
        <v>MVPRP</v>
      </c>
      <c r="C108" t="str">
        <v>C25</v>
      </c>
      <c r="D108" t="str">
        <v>P3</v>
      </c>
      <c r="E108" t="str">
        <v>V3</v>
      </c>
      <c r="F108" t="str">
        <v>I1</v>
      </c>
      <c r="G108" t="s">
        <v>119</v>
      </c>
      <c r="H108" t="s">
        <v>31</v>
      </c>
      <c r="I108">
        <v>24924</v>
      </c>
      <c r="J108">
        <v>24924</v>
      </c>
      <c r="K108">
        <v>0</v>
      </c>
      <c r="L108">
        <v>83.338111877441406</v>
      </c>
      <c r="M108" t="s">
        <v>32</v>
      </c>
      <c r="N108">
        <v>189</v>
      </c>
      <c r="P108">
        <v>2</v>
      </c>
      <c r="Q108">
        <v>0.5</v>
      </c>
      <c r="R108">
        <v>100</v>
      </c>
      <c r="S108">
        <v>50</v>
      </c>
      <c r="T108">
        <v>0</v>
      </c>
      <c r="U108">
        <v>2</v>
      </c>
      <c r="V108" s="1" t="s">
        <v>33</v>
      </c>
      <c r="W108">
        <v>0.05</v>
      </c>
      <c r="X108">
        <v>3000</v>
      </c>
      <c r="Y108">
        <v>14340</v>
      </c>
      <c r="Z108">
        <v>4915</v>
      </c>
      <c r="AA108">
        <v>2669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</row>
    <row r="109" spans="1:34" x14ac:dyDescent="0.25">
      <c r="A109" t="s">
        <v>56</v>
      </c>
      <c r="B109" t="str" cm="1">
        <f t="array" ref="B109:F109">_xlfn.TEXTSPLIT(A109,"_")</f>
        <v>MVPRP</v>
      </c>
      <c r="C109" t="str">
        <v>C10</v>
      </c>
      <c r="D109" t="str">
        <v>P6</v>
      </c>
      <c r="E109" t="str">
        <v>V3</v>
      </c>
      <c r="F109" t="str">
        <v>I1</v>
      </c>
      <c r="G109" t="s">
        <v>119</v>
      </c>
      <c r="H109" t="s">
        <v>31</v>
      </c>
      <c r="I109">
        <v>28808.5</v>
      </c>
      <c r="J109">
        <v>28808.5</v>
      </c>
      <c r="K109">
        <v>0</v>
      </c>
      <c r="L109">
        <v>109.88926386833199</v>
      </c>
      <c r="M109" t="s">
        <v>32</v>
      </c>
      <c r="N109">
        <v>132</v>
      </c>
      <c r="P109">
        <v>2</v>
      </c>
      <c r="Q109">
        <v>0.5</v>
      </c>
      <c r="R109">
        <v>100</v>
      </c>
      <c r="S109">
        <v>50</v>
      </c>
      <c r="T109">
        <v>0</v>
      </c>
      <c r="U109">
        <v>2</v>
      </c>
      <c r="V109" s="1" t="s">
        <v>33</v>
      </c>
      <c r="W109">
        <v>0.05</v>
      </c>
      <c r="X109">
        <v>6000</v>
      </c>
      <c r="Y109">
        <v>12690</v>
      </c>
      <c r="Z109">
        <v>7073</v>
      </c>
      <c r="AA109">
        <v>3045.5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</row>
    <row r="110" spans="1:34" x14ac:dyDescent="0.25">
      <c r="A110" t="s">
        <v>57</v>
      </c>
      <c r="B110" t="str" cm="1">
        <f t="array" ref="B110:F110">_xlfn.TEXTSPLIT(A110,"_")</f>
        <v>MVPRP</v>
      </c>
      <c r="C110" t="str">
        <v>C35</v>
      </c>
      <c r="D110" t="str">
        <v>P3</v>
      </c>
      <c r="E110" t="str">
        <v>V3</v>
      </c>
      <c r="F110" t="str">
        <v>I1</v>
      </c>
      <c r="G110" t="s">
        <v>119</v>
      </c>
      <c r="H110" t="s">
        <v>77</v>
      </c>
      <c r="I110">
        <v>34131.4999023825</v>
      </c>
      <c r="J110">
        <v>33951.488507069902</v>
      </c>
      <c r="K110">
        <v>5.2740546365498799E-3</v>
      </c>
      <c r="L110">
        <v>3600.21579194069</v>
      </c>
      <c r="M110" t="s">
        <v>32</v>
      </c>
      <c r="N110">
        <v>276</v>
      </c>
      <c r="P110">
        <v>2</v>
      </c>
      <c r="Q110">
        <v>0.5</v>
      </c>
      <c r="R110">
        <v>100</v>
      </c>
      <c r="S110">
        <v>50</v>
      </c>
      <c r="T110">
        <v>0</v>
      </c>
      <c r="U110">
        <v>2</v>
      </c>
      <c r="V110" s="1" t="s">
        <v>33</v>
      </c>
      <c r="W110">
        <v>0.05</v>
      </c>
      <c r="X110">
        <v>3000</v>
      </c>
      <c r="Y110">
        <v>21599.999939907098</v>
      </c>
      <c r="Z110">
        <v>6374.9999604741997</v>
      </c>
      <c r="AA110">
        <v>3156.5000020011198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</row>
    <row r="111" spans="1:34" x14ac:dyDescent="0.25">
      <c r="A111" t="s">
        <v>58</v>
      </c>
      <c r="B111" t="str" cm="1">
        <f t="array" ref="B111:F111">_xlfn.TEXTSPLIT(A111,"_")</f>
        <v>MVPRP</v>
      </c>
      <c r="C111" t="str">
        <v>C10</v>
      </c>
      <c r="D111" t="str">
        <v>P6</v>
      </c>
      <c r="E111" t="str">
        <v>V3</v>
      </c>
      <c r="F111" t="str">
        <v>I3</v>
      </c>
      <c r="G111" t="s">
        <v>119</v>
      </c>
      <c r="H111" t="s">
        <v>31</v>
      </c>
      <c r="I111">
        <v>37316.5</v>
      </c>
      <c r="J111">
        <v>37316.498822320304</v>
      </c>
      <c r="K111">
        <v>3.1559221890780703E-8</v>
      </c>
      <c r="L111">
        <v>162.77340507507299</v>
      </c>
      <c r="M111" t="s">
        <v>32</v>
      </c>
      <c r="N111">
        <v>132</v>
      </c>
      <c r="P111">
        <v>2</v>
      </c>
      <c r="Q111">
        <v>0.5</v>
      </c>
      <c r="R111">
        <v>100</v>
      </c>
      <c r="S111">
        <v>50</v>
      </c>
      <c r="T111">
        <v>0</v>
      </c>
      <c r="U111">
        <v>2</v>
      </c>
      <c r="V111" s="1" t="s">
        <v>33</v>
      </c>
      <c r="W111">
        <v>0.05</v>
      </c>
      <c r="X111">
        <v>6000</v>
      </c>
      <c r="Y111">
        <v>12690</v>
      </c>
      <c r="Z111">
        <v>7881</v>
      </c>
      <c r="AA111">
        <v>10745.5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</row>
    <row r="112" spans="1:34" x14ac:dyDescent="0.25">
      <c r="A112" t="s">
        <v>59</v>
      </c>
      <c r="B112" t="str" cm="1">
        <f t="array" ref="B112:F112">_xlfn.TEXTSPLIT(A112,"_")</f>
        <v>MVPRP</v>
      </c>
      <c r="C112" t="str">
        <v>C50</v>
      </c>
      <c r="D112" t="str">
        <v>P3</v>
      </c>
      <c r="E112" t="str">
        <v>V3</v>
      </c>
      <c r="F112" t="str">
        <v>I1</v>
      </c>
      <c r="G112" t="s">
        <v>119</v>
      </c>
      <c r="H112" t="s">
        <v>77</v>
      </c>
      <c r="I112">
        <v>44632.9997904212</v>
      </c>
      <c r="J112">
        <v>44344.516036604</v>
      </c>
      <c r="K112">
        <v>6.46346324853256E-3</v>
      </c>
      <c r="L112">
        <v>3600.1724021434802</v>
      </c>
      <c r="M112" t="s">
        <v>32</v>
      </c>
      <c r="N112">
        <v>360</v>
      </c>
      <c r="P112">
        <v>2</v>
      </c>
      <c r="Q112">
        <v>0.5</v>
      </c>
      <c r="R112">
        <v>100</v>
      </c>
      <c r="S112">
        <v>50</v>
      </c>
      <c r="T112">
        <v>0</v>
      </c>
      <c r="U112">
        <v>2</v>
      </c>
      <c r="V112" s="1" t="s">
        <v>33</v>
      </c>
      <c r="W112">
        <v>0.05</v>
      </c>
      <c r="X112">
        <v>6000</v>
      </c>
      <c r="Y112">
        <v>29580</v>
      </c>
      <c r="Z112">
        <v>4550</v>
      </c>
      <c r="AA112">
        <v>4502.9997904211796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</row>
    <row r="113" spans="1:34" x14ac:dyDescent="0.25">
      <c r="A113" t="s">
        <v>60</v>
      </c>
      <c r="B113" t="str" cm="1">
        <f t="array" ref="B113:F113">_xlfn.TEXTSPLIT(A113,"_")</f>
        <v>MVPRP</v>
      </c>
      <c r="C113" t="str">
        <v>C30</v>
      </c>
      <c r="D113" t="str">
        <v>P6</v>
      </c>
      <c r="E113" t="str">
        <v>V3</v>
      </c>
      <c r="F113" t="str">
        <v>I1</v>
      </c>
      <c r="G113" t="s">
        <v>119</v>
      </c>
      <c r="H113" t="s">
        <v>77</v>
      </c>
      <c r="I113">
        <v>59081.5</v>
      </c>
      <c r="J113">
        <v>58997.2614388281</v>
      </c>
      <c r="K113">
        <v>1.42580268225938E-3</v>
      </c>
      <c r="L113">
        <v>3600.04789113998</v>
      </c>
      <c r="M113" t="s">
        <v>32</v>
      </c>
      <c r="N113">
        <v>228</v>
      </c>
      <c r="P113">
        <v>2</v>
      </c>
      <c r="Q113">
        <v>0.5</v>
      </c>
      <c r="R113">
        <v>100</v>
      </c>
      <c r="S113">
        <v>50</v>
      </c>
      <c r="T113">
        <v>0</v>
      </c>
      <c r="U113">
        <v>2</v>
      </c>
      <c r="V113" s="1" t="s">
        <v>33</v>
      </c>
      <c r="W113">
        <v>0.05</v>
      </c>
      <c r="X113">
        <v>6000</v>
      </c>
      <c r="Y113">
        <v>33150</v>
      </c>
      <c r="Z113">
        <v>15210</v>
      </c>
      <c r="AA113">
        <v>4721.5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</row>
    <row r="114" spans="1:34" x14ac:dyDescent="0.25">
      <c r="A114" t="s">
        <v>61</v>
      </c>
      <c r="B114" t="str" cm="1">
        <f t="array" ref="B114:F114">_xlfn.TEXTSPLIT(A114,"_")</f>
        <v>MVPRP</v>
      </c>
      <c r="C114" t="str">
        <v>C25</v>
      </c>
      <c r="D114" t="str">
        <v>P9</v>
      </c>
      <c r="E114" t="str">
        <v>V3</v>
      </c>
      <c r="F114" t="str">
        <v>I1</v>
      </c>
      <c r="G114" t="s">
        <v>119</v>
      </c>
      <c r="H114" t="s">
        <v>77</v>
      </c>
      <c r="I114">
        <v>97573.499990081604</v>
      </c>
      <c r="J114">
        <v>97183.542108072099</v>
      </c>
      <c r="K114">
        <v>3.99655523322596E-3</v>
      </c>
      <c r="L114">
        <v>3600.09210920334</v>
      </c>
      <c r="M114" t="s">
        <v>32</v>
      </c>
      <c r="N114">
        <v>189</v>
      </c>
      <c r="P114">
        <v>2</v>
      </c>
      <c r="Q114">
        <v>0.5</v>
      </c>
      <c r="R114">
        <v>100</v>
      </c>
      <c r="S114">
        <v>50</v>
      </c>
      <c r="T114">
        <v>0</v>
      </c>
      <c r="U114">
        <v>2</v>
      </c>
      <c r="V114" s="1" t="s">
        <v>33</v>
      </c>
      <c r="W114">
        <v>0.05</v>
      </c>
      <c r="X114">
        <v>9000</v>
      </c>
      <c r="Y114">
        <v>59880</v>
      </c>
      <c r="Z114">
        <v>19727.999971335801</v>
      </c>
      <c r="AA114">
        <v>8965.5000187458299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</row>
    <row r="115" spans="1:34" x14ac:dyDescent="0.25">
      <c r="A115" t="s">
        <v>62</v>
      </c>
      <c r="B115" t="str" cm="1">
        <f t="array" ref="B115:F115">_xlfn.TEXTSPLIT(A115,"_")</f>
        <v>MVPRP</v>
      </c>
      <c r="C115" t="str">
        <v>C25</v>
      </c>
      <c r="D115" t="str">
        <v>P3</v>
      </c>
      <c r="E115" t="str">
        <v>V3</v>
      </c>
      <c r="F115" t="str">
        <v>I3</v>
      </c>
      <c r="G115" t="s">
        <v>119</v>
      </c>
      <c r="H115" t="s">
        <v>31</v>
      </c>
      <c r="I115">
        <v>33049</v>
      </c>
      <c r="J115">
        <v>33049</v>
      </c>
      <c r="K115">
        <v>0</v>
      </c>
      <c r="L115">
        <v>227.94780611991899</v>
      </c>
      <c r="M115" t="s">
        <v>32</v>
      </c>
      <c r="N115">
        <v>189</v>
      </c>
      <c r="P115">
        <v>2</v>
      </c>
      <c r="Q115">
        <v>0.5</v>
      </c>
      <c r="R115">
        <v>100</v>
      </c>
      <c r="S115">
        <v>50</v>
      </c>
      <c r="T115">
        <v>0</v>
      </c>
      <c r="U115">
        <v>2</v>
      </c>
      <c r="V115" s="1" t="s">
        <v>33</v>
      </c>
      <c r="W115">
        <v>0.05</v>
      </c>
      <c r="X115">
        <v>3000</v>
      </c>
      <c r="Y115">
        <v>14340</v>
      </c>
      <c r="Z115">
        <v>6199</v>
      </c>
      <c r="AA115">
        <v>9510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</row>
    <row r="116" spans="1:34" x14ac:dyDescent="0.25">
      <c r="A116" t="s">
        <v>63</v>
      </c>
      <c r="B116" t="str" cm="1">
        <f t="array" ref="B116:F116">_xlfn.TEXTSPLIT(A116,"_")</f>
        <v>MVPRP</v>
      </c>
      <c r="C116" t="str">
        <v>C15</v>
      </c>
      <c r="D116" t="str">
        <v>P6</v>
      </c>
      <c r="E116" t="str">
        <v>V3</v>
      </c>
      <c r="F116" t="str">
        <v>I1</v>
      </c>
      <c r="G116" t="s">
        <v>119</v>
      </c>
      <c r="H116" t="s">
        <v>77</v>
      </c>
      <c r="I116">
        <v>40840.999735390396</v>
      </c>
      <c r="J116">
        <v>40657.559437697601</v>
      </c>
      <c r="K116">
        <v>4.4915721672193001E-3</v>
      </c>
      <c r="L116">
        <v>3600.0269849300398</v>
      </c>
      <c r="M116" t="s">
        <v>32</v>
      </c>
      <c r="N116">
        <v>132</v>
      </c>
      <c r="P116">
        <v>2</v>
      </c>
      <c r="Q116">
        <v>0.5</v>
      </c>
      <c r="R116">
        <v>100</v>
      </c>
      <c r="S116">
        <v>50</v>
      </c>
      <c r="T116">
        <v>0</v>
      </c>
      <c r="U116">
        <v>2</v>
      </c>
      <c r="V116" s="1" t="s">
        <v>33</v>
      </c>
      <c r="W116">
        <v>0.05</v>
      </c>
      <c r="X116">
        <v>6000</v>
      </c>
      <c r="Y116">
        <v>19799.9998177038</v>
      </c>
      <c r="Z116">
        <v>10347.9999176867</v>
      </c>
      <c r="AA116">
        <v>4693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</row>
    <row r="117" spans="1:34" x14ac:dyDescent="0.25">
      <c r="A117" t="s">
        <v>64</v>
      </c>
      <c r="B117" t="str" cm="1">
        <f t="array" ref="B117:F117">_xlfn.TEXTSPLIT(A117,"_")</f>
        <v>MVPRP</v>
      </c>
      <c r="C117" t="str">
        <v>C15</v>
      </c>
      <c r="D117" t="str">
        <v>P3</v>
      </c>
      <c r="E117" t="str">
        <v>V3</v>
      </c>
      <c r="F117" t="str">
        <v>I1</v>
      </c>
      <c r="G117" t="s">
        <v>119</v>
      </c>
      <c r="H117" t="s">
        <v>31</v>
      </c>
      <c r="I117">
        <v>18787</v>
      </c>
      <c r="J117">
        <v>18787</v>
      </c>
      <c r="K117">
        <v>0</v>
      </c>
      <c r="L117">
        <v>65.541598081588802</v>
      </c>
      <c r="M117" t="s">
        <v>32</v>
      </c>
      <c r="N117">
        <v>132</v>
      </c>
      <c r="P117">
        <v>2</v>
      </c>
      <c r="Q117">
        <v>0.5</v>
      </c>
      <c r="R117">
        <v>100</v>
      </c>
      <c r="S117">
        <v>50</v>
      </c>
      <c r="T117">
        <v>0</v>
      </c>
      <c r="U117">
        <v>2</v>
      </c>
      <c r="V117" s="1" t="s">
        <v>33</v>
      </c>
      <c r="W117">
        <v>0.05</v>
      </c>
      <c r="X117">
        <v>3000</v>
      </c>
      <c r="Y117">
        <v>9960</v>
      </c>
      <c r="Z117">
        <v>3341</v>
      </c>
      <c r="AA117">
        <v>2486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</row>
    <row r="118" spans="1:34" x14ac:dyDescent="0.25">
      <c r="A118" t="s">
        <v>65</v>
      </c>
      <c r="B118" t="str" cm="1">
        <f t="array" ref="B118:F118">_xlfn.TEXTSPLIT(A118,"_")</f>
        <v>MVPRP</v>
      </c>
      <c r="C118" t="str">
        <v>C20</v>
      </c>
      <c r="D118" t="str">
        <v>P6</v>
      </c>
      <c r="E118" t="str">
        <v>V3</v>
      </c>
      <c r="F118" t="str">
        <v>I3</v>
      </c>
      <c r="G118" t="s">
        <v>119</v>
      </c>
      <c r="H118" t="s">
        <v>77</v>
      </c>
      <c r="I118">
        <v>59032.496323716499</v>
      </c>
      <c r="J118">
        <v>58537.4155821116</v>
      </c>
      <c r="K118">
        <v>8.3865798066542208E-3</v>
      </c>
      <c r="L118">
        <v>3600.0313742160802</v>
      </c>
      <c r="M118" t="s">
        <v>32</v>
      </c>
      <c r="N118">
        <v>189</v>
      </c>
      <c r="P118">
        <v>2</v>
      </c>
      <c r="Q118">
        <v>0.5</v>
      </c>
      <c r="R118">
        <v>100</v>
      </c>
      <c r="S118">
        <v>50</v>
      </c>
      <c r="T118">
        <v>0</v>
      </c>
      <c r="U118">
        <v>2</v>
      </c>
      <c r="V118" s="1" t="s">
        <v>33</v>
      </c>
      <c r="W118">
        <v>0.05</v>
      </c>
      <c r="X118">
        <v>6000</v>
      </c>
      <c r="Y118">
        <v>23820</v>
      </c>
      <c r="Z118">
        <v>13369.9951575904</v>
      </c>
      <c r="AA118">
        <v>15842.5011661261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</row>
    <row r="119" spans="1:34" x14ac:dyDescent="0.25">
      <c r="A119" t="s">
        <v>66</v>
      </c>
      <c r="B119" t="str" cm="1">
        <f t="array" ref="B119:F119">_xlfn.TEXTSPLIT(A119,"_")</f>
        <v>MVPRP</v>
      </c>
      <c r="C119" t="str">
        <v>C20</v>
      </c>
      <c r="D119" t="str">
        <v>P9</v>
      </c>
      <c r="E119" t="str">
        <v>V3</v>
      </c>
      <c r="F119" t="str">
        <v>I3</v>
      </c>
      <c r="G119" t="s">
        <v>119</v>
      </c>
      <c r="H119" t="s">
        <v>77</v>
      </c>
      <c r="I119">
        <v>106168.999353237</v>
      </c>
      <c r="J119">
        <v>103926.153194074</v>
      </c>
      <c r="K119">
        <v>2.1125245343043501E-2</v>
      </c>
      <c r="L119">
        <v>3600.1596698761</v>
      </c>
      <c r="M119" t="s">
        <v>32</v>
      </c>
      <c r="N119">
        <v>189</v>
      </c>
      <c r="P119">
        <v>2</v>
      </c>
      <c r="Q119">
        <v>0.5</v>
      </c>
      <c r="R119">
        <v>100</v>
      </c>
      <c r="S119">
        <v>50</v>
      </c>
      <c r="T119">
        <v>0</v>
      </c>
      <c r="U119">
        <v>2</v>
      </c>
      <c r="V119" s="1" t="s">
        <v>33</v>
      </c>
      <c r="W119">
        <v>0.05</v>
      </c>
      <c r="X119">
        <v>12000</v>
      </c>
      <c r="Y119">
        <v>48120</v>
      </c>
      <c r="Z119">
        <v>17449.999966208499</v>
      </c>
      <c r="AA119">
        <v>28598.9993870283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</row>
    <row r="120" spans="1:34" x14ac:dyDescent="0.25">
      <c r="A120" t="s">
        <v>67</v>
      </c>
      <c r="B120" t="str" cm="1">
        <f t="array" ref="B120:F120">_xlfn.TEXTSPLIT(A120,"_")</f>
        <v>MVPRP</v>
      </c>
      <c r="C120" t="str">
        <v>C40</v>
      </c>
      <c r="D120" t="str">
        <v>P6</v>
      </c>
      <c r="E120" t="str">
        <v>V3</v>
      </c>
      <c r="F120" t="str">
        <v>I3</v>
      </c>
      <c r="G120" t="s">
        <v>119</v>
      </c>
      <c r="H120" t="s">
        <v>77</v>
      </c>
      <c r="I120">
        <v>114580.499510803</v>
      </c>
      <c r="J120">
        <v>112321.893269849</v>
      </c>
      <c r="K120">
        <v>1.9711960155501002E-2</v>
      </c>
      <c r="L120">
        <v>3600.0457360744499</v>
      </c>
      <c r="M120" t="s">
        <v>32</v>
      </c>
      <c r="N120">
        <v>360</v>
      </c>
      <c r="P120">
        <v>2</v>
      </c>
      <c r="Q120">
        <v>0.5</v>
      </c>
      <c r="R120">
        <v>100</v>
      </c>
      <c r="S120">
        <v>50</v>
      </c>
      <c r="T120">
        <v>0</v>
      </c>
      <c r="U120">
        <v>2</v>
      </c>
      <c r="V120" s="1" t="s">
        <v>33</v>
      </c>
      <c r="W120">
        <v>0.05</v>
      </c>
      <c r="X120">
        <v>6000</v>
      </c>
      <c r="Y120">
        <v>55170</v>
      </c>
      <c r="Z120">
        <v>28397.0000946</v>
      </c>
      <c r="AA120">
        <v>25013.4994162031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</row>
    <row r="121" spans="1:34" x14ac:dyDescent="0.25">
      <c r="A121" t="s">
        <v>68</v>
      </c>
      <c r="B121" t="str" cm="1">
        <f t="array" ref="B121:F121">_xlfn.TEXTSPLIT(A121,"_")</f>
        <v>MVPRP</v>
      </c>
      <c r="C121" t="str">
        <v>C20</v>
      </c>
      <c r="D121" t="str">
        <v>P9</v>
      </c>
      <c r="E121" t="str">
        <v>V3</v>
      </c>
      <c r="F121" t="str">
        <v>I1</v>
      </c>
      <c r="G121" t="s">
        <v>119</v>
      </c>
      <c r="H121" t="s">
        <v>77</v>
      </c>
      <c r="I121">
        <v>79898.499787247696</v>
      </c>
      <c r="J121">
        <v>79681.443479395995</v>
      </c>
      <c r="K121">
        <v>2.7166506058261602E-3</v>
      </c>
      <c r="L121">
        <v>3600.1542019844101</v>
      </c>
      <c r="M121" t="s">
        <v>32</v>
      </c>
      <c r="N121">
        <v>189</v>
      </c>
      <c r="P121">
        <v>2</v>
      </c>
      <c r="Q121">
        <v>0.5</v>
      </c>
      <c r="R121">
        <v>100</v>
      </c>
      <c r="S121">
        <v>50</v>
      </c>
      <c r="T121">
        <v>0</v>
      </c>
      <c r="U121">
        <v>2</v>
      </c>
      <c r="V121" s="1" t="s">
        <v>33</v>
      </c>
      <c r="W121">
        <v>0.05</v>
      </c>
      <c r="X121">
        <v>9000</v>
      </c>
      <c r="Y121">
        <v>48120</v>
      </c>
      <c r="Z121">
        <v>15214</v>
      </c>
      <c r="AA121">
        <v>7564.4997872476497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</row>
    <row r="122" spans="1:34" x14ac:dyDescent="0.25">
      <c r="A122" t="s">
        <v>69</v>
      </c>
      <c r="B122" t="str" cm="1">
        <f t="array" ref="B122:F122">_xlfn.TEXTSPLIT(A122,"_")</f>
        <v>MVPRP</v>
      </c>
      <c r="C122" t="str">
        <v>C15</v>
      </c>
      <c r="D122" t="str">
        <v>P9</v>
      </c>
      <c r="E122" t="str">
        <v>V3</v>
      </c>
      <c r="F122" t="str">
        <v>I3</v>
      </c>
      <c r="G122" t="s">
        <v>119</v>
      </c>
      <c r="H122" t="s">
        <v>77</v>
      </c>
      <c r="I122">
        <v>99897.499815615898</v>
      </c>
      <c r="J122">
        <v>98544.457483100996</v>
      </c>
      <c r="K122">
        <v>1.3544306264042599E-2</v>
      </c>
      <c r="L122">
        <v>3600.0566389560699</v>
      </c>
      <c r="M122" t="s">
        <v>32</v>
      </c>
      <c r="N122">
        <v>132</v>
      </c>
      <c r="P122">
        <v>2</v>
      </c>
      <c r="Q122">
        <v>0.5</v>
      </c>
      <c r="R122">
        <v>100</v>
      </c>
      <c r="S122">
        <v>50</v>
      </c>
      <c r="T122">
        <v>0</v>
      </c>
      <c r="U122">
        <v>2</v>
      </c>
      <c r="V122" s="1" t="s">
        <v>33</v>
      </c>
      <c r="W122">
        <v>0.05</v>
      </c>
      <c r="X122">
        <v>12000</v>
      </c>
      <c r="Y122">
        <v>40949.9998823075</v>
      </c>
      <c r="Z122">
        <v>15543.9999333083</v>
      </c>
      <c r="AA122">
        <v>31403.5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</row>
    <row r="123" spans="1:34" x14ac:dyDescent="0.25">
      <c r="A123" t="s">
        <v>70</v>
      </c>
      <c r="B123" t="str" cm="1">
        <f t="array" ref="B123:F123">_xlfn.TEXTSPLIT(A123,"_")</f>
        <v>MVPRP</v>
      </c>
      <c r="C123" t="str">
        <v>C30</v>
      </c>
      <c r="D123" t="str">
        <v>P9</v>
      </c>
      <c r="E123" t="str">
        <v>V3</v>
      </c>
      <c r="F123" t="str">
        <v>I1</v>
      </c>
      <c r="G123" t="s">
        <v>119</v>
      </c>
      <c r="H123" t="s">
        <v>77</v>
      </c>
      <c r="I123">
        <v>106059.5</v>
      </c>
      <c r="J123">
        <v>105374.008452761</v>
      </c>
      <c r="K123">
        <v>6.4632734195350103E-3</v>
      </c>
      <c r="L123">
        <v>3600.3483009338402</v>
      </c>
      <c r="M123" t="s">
        <v>32</v>
      </c>
      <c r="N123">
        <v>228</v>
      </c>
      <c r="P123">
        <v>2</v>
      </c>
      <c r="Q123">
        <v>0.5</v>
      </c>
      <c r="R123">
        <v>100</v>
      </c>
      <c r="S123">
        <v>50</v>
      </c>
      <c r="T123">
        <v>0</v>
      </c>
      <c r="U123">
        <v>2</v>
      </c>
      <c r="V123" s="1" t="s">
        <v>33</v>
      </c>
      <c r="W123">
        <v>0.05</v>
      </c>
      <c r="X123">
        <v>12000</v>
      </c>
      <c r="Y123">
        <v>67710</v>
      </c>
      <c r="Z123">
        <v>16127</v>
      </c>
      <c r="AA123">
        <v>10222.5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</row>
    <row r="124" spans="1:34" x14ac:dyDescent="0.25">
      <c r="A124" t="s">
        <v>71</v>
      </c>
      <c r="B124" t="str" cm="1">
        <f t="array" ref="B124:F124">_xlfn.TEXTSPLIT(A124,"_")</f>
        <v>MVPRP</v>
      </c>
      <c r="C124" t="str">
        <v>C10</v>
      </c>
      <c r="D124" t="str">
        <v>P9</v>
      </c>
      <c r="E124" t="str">
        <v>V3</v>
      </c>
      <c r="F124" t="str">
        <v>I1</v>
      </c>
      <c r="G124" t="s">
        <v>119</v>
      </c>
      <c r="H124" t="s">
        <v>31</v>
      </c>
      <c r="I124">
        <v>49829.5</v>
      </c>
      <c r="J124">
        <v>49829.031330077101</v>
      </c>
      <c r="K124">
        <v>9.4054711137442401E-6</v>
      </c>
      <c r="L124">
        <v>707.30213308334396</v>
      </c>
      <c r="M124" t="s">
        <v>32</v>
      </c>
      <c r="N124">
        <v>132</v>
      </c>
      <c r="P124">
        <v>2</v>
      </c>
      <c r="Q124">
        <v>0.5</v>
      </c>
      <c r="R124">
        <v>100</v>
      </c>
      <c r="S124">
        <v>50</v>
      </c>
      <c r="T124">
        <v>0</v>
      </c>
      <c r="U124">
        <v>2</v>
      </c>
      <c r="V124" s="1" t="s">
        <v>33</v>
      </c>
      <c r="W124">
        <v>0.05</v>
      </c>
      <c r="X124">
        <v>9000</v>
      </c>
      <c r="Y124">
        <v>26370</v>
      </c>
      <c r="Z124">
        <v>8932</v>
      </c>
      <c r="AA124">
        <v>5527.5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</row>
    <row r="125" spans="1:34" x14ac:dyDescent="0.25">
      <c r="A125" t="s">
        <v>72</v>
      </c>
      <c r="B125" t="str" cm="1">
        <f t="array" ref="B125:F125">_xlfn.TEXTSPLIT(A125,"_")</f>
        <v>MVPRP</v>
      </c>
      <c r="C125" t="str">
        <v>C30</v>
      </c>
      <c r="D125" t="str">
        <v>P3</v>
      </c>
      <c r="E125" t="str">
        <v>V3</v>
      </c>
      <c r="F125" t="str">
        <v>I1</v>
      </c>
      <c r="G125" t="s">
        <v>119</v>
      </c>
      <c r="H125" t="s">
        <v>77</v>
      </c>
      <c r="I125">
        <v>27692.9996937326</v>
      </c>
      <c r="J125">
        <v>27620.413750298601</v>
      </c>
      <c r="K125">
        <v>2.62109357010183E-3</v>
      </c>
      <c r="L125">
        <v>3600.0521810054802</v>
      </c>
      <c r="M125" t="s">
        <v>32</v>
      </c>
      <c r="N125">
        <v>228</v>
      </c>
      <c r="P125">
        <v>2</v>
      </c>
      <c r="Q125">
        <v>0.5</v>
      </c>
      <c r="R125">
        <v>100</v>
      </c>
      <c r="S125">
        <v>50</v>
      </c>
      <c r="T125">
        <v>0</v>
      </c>
      <c r="U125">
        <v>2</v>
      </c>
      <c r="V125" s="1" t="s">
        <v>33</v>
      </c>
      <c r="W125">
        <v>0.05</v>
      </c>
      <c r="X125">
        <v>3000</v>
      </c>
      <c r="Y125">
        <v>16679.9997735992</v>
      </c>
      <c r="Z125">
        <v>5125.9999201334203</v>
      </c>
      <c r="AA125">
        <v>2887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</row>
    <row r="126" spans="1:34" x14ac:dyDescent="0.25">
      <c r="A126" t="s">
        <v>73</v>
      </c>
      <c r="B126" t="str" cm="1">
        <f t="array" ref="B126:F126">_xlfn.TEXTSPLIT(A126,"_")</f>
        <v>MVPRP</v>
      </c>
      <c r="C126" t="str">
        <v>C10</v>
      </c>
      <c r="D126" t="str">
        <v>P9</v>
      </c>
      <c r="E126" t="str">
        <v>V3</v>
      </c>
      <c r="F126" t="str">
        <v>I3</v>
      </c>
      <c r="G126" t="s">
        <v>119</v>
      </c>
      <c r="H126" t="s">
        <v>77</v>
      </c>
      <c r="I126">
        <v>66834.994197344393</v>
      </c>
      <c r="J126">
        <v>66574.279362295594</v>
      </c>
      <c r="K126">
        <v>3.9008731605327698E-3</v>
      </c>
      <c r="L126">
        <v>3600.0266900062602</v>
      </c>
      <c r="M126" t="s">
        <v>32</v>
      </c>
      <c r="N126">
        <v>132</v>
      </c>
      <c r="P126">
        <v>2</v>
      </c>
      <c r="Q126">
        <v>0.5</v>
      </c>
      <c r="R126">
        <v>100</v>
      </c>
      <c r="S126">
        <v>50</v>
      </c>
      <c r="T126">
        <v>0</v>
      </c>
      <c r="U126">
        <v>2</v>
      </c>
      <c r="V126" s="1" t="s">
        <v>33</v>
      </c>
      <c r="W126">
        <v>0.05</v>
      </c>
      <c r="X126">
        <v>9000</v>
      </c>
      <c r="Y126">
        <v>26369.999999999902</v>
      </c>
      <c r="Z126">
        <v>12572.994000013599</v>
      </c>
      <c r="AA126">
        <v>18892.000197330901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</row>
    <row r="127" spans="1:34" x14ac:dyDescent="0.25">
      <c r="A127" t="s">
        <v>74</v>
      </c>
      <c r="B127" t="str" cm="1">
        <f t="array" ref="B127:F127">_xlfn.TEXTSPLIT(A127,"_")</f>
        <v>MVPRP</v>
      </c>
      <c r="C127" t="str">
        <v>C25</v>
      </c>
      <c r="D127" t="str">
        <v>P9</v>
      </c>
      <c r="E127" t="str">
        <v>V3</v>
      </c>
      <c r="F127" t="str">
        <v>I3</v>
      </c>
      <c r="G127" t="s">
        <v>119</v>
      </c>
      <c r="H127" t="s">
        <v>77</v>
      </c>
      <c r="I127">
        <v>126859</v>
      </c>
      <c r="J127">
        <v>124734.5805699</v>
      </c>
      <c r="K127">
        <v>1.6746304401739302E-2</v>
      </c>
      <c r="L127">
        <v>3600.06720685959</v>
      </c>
      <c r="M127" t="s">
        <v>32</v>
      </c>
      <c r="N127">
        <v>189</v>
      </c>
      <c r="P127">
        <v>2</v>
      </c>
      <c r="Q127">
        <v>0.5</v>
      </c>
      <c r="R127">
        <v>100</v>
      </c>
      <c r="S127">
        <v>50</v>
      </c>
      <c r="T127">
        <v>0</v>
      </c>
      <c r="U127">
        <v>2</v>
      </c>
      <c r="V127" s="1" t="s">
        <v>33</v>
      </c>
      <c r="W127">
        <v>0.05</v>
      </c>
      <c r="X127">
        <v>9000</v>
      </c>
      <c r="Y127">
        <v>59880</v>
      </c>
      <c r="Z127">
        <v>22756</v>
      </c>
      <c r="AA127">
        <v>35223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</row>
    <row r="128" spans="1:34" x14ac:dyDescent="0.25">
      <c r="A128" t="s">
        <v>29</v>
      </c>
      <c r="B128" t="str" cm="1">
        <f t="array" ref="B128:F128">_xlfn.TEXTSPLIT(A128,"_")</f>
        <v>MVPRP</v>
      </c>
      <c r="C128" t="str">
        <v>C15</v>
      </c>
      <c r="D128" t="str">
        <v>P3</v>
      </c>
      <c r="E128" t="str">
        <v>V3</v>
      </c>
      <c r="F128" t="str">
        <v>I3</v>
      </c>
      <c r="G128" t="s">
        <v>120</v>
      </c>
      <c r="H128" t="s">
        <v>31</v>
      </c>
      <c r="I128">
        <v>30676</v>
      </c>
      <c r="J128">
        <v>30676</v>
      </c>
      <c r="K128">
        <v>0</v>
      </c>
      <c r="L128">
        <v>23.045698881149299</v>
      </c>
      <c r="M128" t="s">
        <v>32</v>
      </c>
      <c r="N128">
        <v>132</v>
      </c>
      <c r="P128">
        <v>2</v>
      </c>
      <c r="Q128">
        <v>0.5</v>
      </c>
      <c r="R128">
        <v>100</v>
      </c>
      <c r="S128">
        <v>50</v>
      </c>
      <c r="T128">
        <v>0</v>
      </c>
      <c r="U128">
        <v>1</v>
      </c>
      <c r="V128" s="1" t="s">
        <v>126</v>
      </c>
      <c r="W128">
        <v>0</v>
      </c>
      <c r="X128">
        <v>3000</v>
      </c>
      <c r="Y128">
        <v>9960</v>
      </c>
      <c r="Z128">
        <v>4874</v>
      </c>
      <c r="AA128">
        <v>12842</v>
      </c>
      <c r="AB128">
        <v>0</v>
      </c>
      <c r="AC128">
        <v>0</v>
      </c>
      <c r="AD128">
        <v>0</v>
      </c>
      <c r="AE128">
        <v>187</v>
      </c>
      <c r="AF128">
        <v>0</v>
      </c>
      <c r="AG128">
        <v>25</v>
      </c>
      <c r="AH128">
        <v>0</v>
      </c>
    </row>
    <row r="129" spans="1:34" x14ac:dyDescent="0.25">
      <c r="A129" t="s">
        <v>34</v>
      </c>
      <c r="B129" t="str" cm="1">
        <f t="array" ref="B129:F129">_xlfn.TEXTSPLIT(A129,"_")</f>
        <v>MVPRP</v>
      </c>
      <c r="C129" t="str">
        <v>C30</v>
      </c>
      <c r="D129" t="str">
        <v>P9</v>
      </c>
      <c r="E129" t="str">
        <v>V3</v>
      </c>
      <c r="F129" t="str">
        <v>I3</v>
      </c>
      <c r="G129" t="s">
        <v>120</v>
      </c>
      <c r="H129" t="s">
        <v>77</v>
      </c>
      <c r="I129">
        <v>154135</v>
      </c>
      <c r="J129">
        <v>146428.66490523101</v>
      </c>
      <c r="K129">
        <v>4.9997308169909799E-2</v>
      </c>
      <c r="L129">
        <v>3600.0424265861502</v>
      </c>
      <c r="M129" t="s">
        <v>32</v>
      </c>
      <c r="N129">
        <v>228</v>
      </c>
      <c r="P129">
        <v>2</v>
      </c>
      <c r="Q129">
        <v>0.5</v>
      </c>
      <c r="R129">
        <v>100</v>
      </c>
      <c r="S129">
        <v>50</v>
      </c>
      <c r="T129">
        <v>0</v>
      </c>
      <c r="U129">
        <v>1</v>
      </c>
      <c r="V129" s="1" t="s">
        <v>126</v>
      </c>
      <c r="W129">
        <v>0</v>
      </c>
      <c r="X129">
        <v>12000</v>
      </c>
      <c r="Y129">
        <v>67710</v>
      </c>
      <c r="Z129">
        <v>24957</v>
      </c>
      <c r="AA129">
        <v>49468</v>
      </c>
      <c r="AB129">
        <v>0</v>
      </c>
      <c r="AC129">
        <v>0</v>
      </c>
      <c r="AD129">
        <v>0</v>
      </c>
      <c r="AE129">
        <v>3719</v>
      </c>
      <c r="AF129">
        <v>0</v>
      </c>
      <c r="AG129">
        <v>382</v>
      </c>
      <c r="AH129">
        <v>0</v>
      </c>
    </row>
    <row r="130" spans="1:34" x14ac:dyDescent="0.25">
      <c r="A130" t="s">
        <v>36</v>
      </c>
      <c r="B130" t="str" cm="1">
        <f t="array" ref="B130:F130">_xlfn.TEXTSPLIT(A130,"_")</f>
        <v>MVPRP</v>
      </c>
      <c r="C130" t="str">
        <v>C40</v>
      </c>
      <c r="D130" t="str">
        <v>P3</v>
      </c>
      <c r="E130" t="str">
        <v>V3</v>
      </c>
      <c r="F130" t="str">
        <v>I3</v>
      </c>
      <c r="G130" t="s">
        <v>120</v>
      </c>
      <c r="H130" t="s">
        <v>31</v>
      </c>
      <c r="I130">
        <v>61830</v>
      </c>
      <c r="J130">
        <v>61827.609761093801</v>
      </c>
      <c r="K130">
        <v>3.8658238819792197E-5</v>
      </c>
      <c r="L130">
        <v>2714.9084372520401</v>
      </c>
      <c r="M130" t="s">
        <v>32</v>
      </c>
      <c r="N130">
        <v>360</v>
      </c>
      <c r="P130">
        <v>2</v>
      </c>
      <c r="Q130">
        <v>0.5</v>
      </c>
      <c r="R130">
        <v>100</v>
      </c>
      <c r="S130">
        <v>50</v>
      </c>
      <c r="T130">
        <v>0</v>
      </c>
      <c r="U130">
        <v>1</v>
      </c>
      <c r="V130" s="1" t="s">
        <v>126</v>
      </c>
      <c r="W130">
        <v>0</v>
      </c>
      <c r="X130">
        <v>3000</v>
      </c>
      <c r="Y130">
        <v>27660</v>
      </c>
      <c r="Z130">
        <v>12624</v>
      </c>
      <c r="AA130">
        <v>18546</v>
      </c>
      <c r="AB130">
        <v>0</v>
      </c>
      <c r="AC130">
        <v>0</v>
      </c>
      <c r="AD130">
        <v>0</v>
      </c>
      <c r="AE130">
        <v>925</v>
      </c>
      <c r="AF130">
        <v>0</v>
      </c>
      <c r="AG130">
        <v>122</v>
      </c>
      <c r="AH130">
        <v>0</v>
      </c>
    </row>
    <row r="131" spans="1:34" x14ac:dyDescent="0.25">
      <c r="A131" t="s">
        <v>40</v>
      </c>
      <c r="B131" t="str" cm="1">
        <f t="array" ref="B131:F131">_xlfn.TEXTSPLIT(A131,"_")</f>
        <v>MVPRP</v>
      </c>
      <c r="C131" t="str">
        <v>C45</v>
      </c>
      <c r="D131" t="str">
        <v>P3</v>
      </c>
      <c r="E131" t="str">
        <v>V3</v>
      </c>
      <c r="F131" t="str">
        <v>I3</v>
      </c>
      <c r="G131" t="s">
        <v>120</v>
      </c>
      <c r="H131" t="s">
        <v>31</v>
      </c>
      <c r="I131">
        <v>70029</v>
      </c>
      <c r="J131">
        <v>70029</v>
      </c>
      <c r="K131">
        <v>0</v>
      </c>
      <c r="L131">
        <v>1626.2620828151701</v>
      </c>
      <c r="M131" t="s">
        <v>32</v>
      </c>
      <c r="N131">
        <v>360</v>
      </c>
      <c r="P131">
        <v>2</v>
      </c>
      <c r="Q131">
        <v>0.5</v>
      </c>
      <c r="R131">
        <v>100</v>
      </c>
      <c r="S131">
        <v>50</v>
      </c>
      <c r="T131">
        <v>0</v>
      </c>
      <c r="U131">
        <v>1</v>
      </c>
      <c r="V131" s="1" t="s">
        <v>126</v>
      </c>
      <c r="W131">
        <v>0</v>
      </c>
      <c r="X131">
        <v>3000</v>
      </c>
      <c r="Y131">
        <v>33060</v>
      </c>
      <c r="Z131">
        <v>14204</v>
      </c>
      <c r="AA131">
        <v>19765</v>
      </c>
      <c r="AB131">
        <v>0</v>
      </c>
      <c r="AC131">
        <v>0</v>
      </c>
      <c r="AD131">
        <v>0</v>
      </c>
      <c r="AE131">
        <v>708</v>
      </c>
      <c r="AF131">
        <v>0</v>
      </c>
      <c r="AG131">
        <v>107</v>
      </c>
      <c r="AH131">
        <v>0</v>
      </c>
    </row>
    <row r="132" spans="1:34" x14ac:dyDescent="0.25">
      <c r="A132" t="s">
        <v>42</v>
      </c>
      <c r="B132" t="str" cm="1">
        <f t="array" ref="B132:F132">_xlfn.TEXTSPLIT(A132,"_")</f>
        <v>MVPRP</v>
      </c>
      <c r="C132" t="str">
        <v>C35</v>
      </c>
      <c r="D132" t="str">
        <v>P3</v>
      </c>
      <c r="E132" t="str">
        <v>V3</v>
      </c>
      <c r="F132" t="str">
        <v>I3</v>
      </c>
      <c r="G132" t="s">
        <v>120</v>
      </c>
      <c r="H132" t="s">
        <v>31</v>
      </c>
      <c r="I132">
        <v>49960</v>
      </c>
      <c r="J132">
        <v>49958.861801242201</v>
      </c>
      <c r="K132">
        <v>2.2782200915835899E-5</v>
      </c>
      <c r="L132">
        <v>111.026981592178</v>
      </c>
      <c r="M132" t="s">
        <v>32</v>
      </c>
      <c r="N132">
        <v>276</v>
      </c>
      <c r="P132">
        <v>2</v>
      </c>
      <c r="Q132">
        <v>0.5</v>
      </c>
      <c r="R132">
        <v>100</v>
      </c>
      <c r="S132">
        <v>50</v>
      </c>
      <c r="T132">
        <v>0</v>
      </c>
      <c r="U132">
        <v>1</v>
      </c>
      <c r="V132" s="1" t="s">
        <v>126</v>
      </c>
      <c r="W132">
        <v>0</v>
      </c>
      <c r="X132">
        <v>3000</v>
      </c>
      <c r="Y132">
        <v>21600</v>
      </c>
      <c r="Z132">
        <v>8870</v>
      </c>
      <c r="AA132">
        <v>16490</v>
      </c>
      <c r="AB132">
        <v>0</v>
      </c>
      <c r="AC132">
        <v>0</v>
      </c>
      <c r="AD132">
        <v>0</v>
      </c>
      <c r="AE132">
        <v>271</v>
      </c>
      <c r="AF132">
        <v>0</v>
      </c>
      <c r="AG132">
        <v>73</v>
      </c>
      <c r="AH132">
        <v>0</v>
      </c>
    </row>
    <row r="133" spans="1:34" x14ac:dyDescent="0.25">
      <c r="A133" t="s">
        <v>44</v>
      </c>
      <c r="B133" t="str" cm="1">
        <f t="array" ref="B133:F133">_xlfn.TEXTSPLIT(A133,"_")</f>
        <v>MVPRP</v>
      </c>
      <c r="C133" t="str">
        <v>C10</v>
      </c>
      <c r="D133" t="str">
        <v>P3</v>
      </c>
      <c r="E133" t="str">
        <v>V3</v>
      </c>
      <c r="F133" t="str">
        <v>I3</v>
      </c>
      <c r="G133" t="s">
        <v>120</v>
      </c>
      <c r="H133" t="s">
        <v>31</v>
      </c>
      <c r="I133">
        <v>20750</v>
      </c>
      <c r="J133">
        <v>20750</v>
      </c>
      <c r="K133">
        <v>0</v>
      </c>
      <c r="L133">
        <v>1.7461397647857699</v>
      </c>
      <c r="M133" t="s">
        <v>32</v>
      </c>
      <c r="N133">
        <v>132</v>
      </c>
      <c r="P133">
        <v>2</v>
      </c>
      <c r="Q133">
        <v>0.5</v>
      </c>
      <c r="R133">
        <v>100</v>
      </c>
      <c r="S133">
        <v>50</v>
      </c>
      <c r="T133">
        <v>0</v>
      </c>
      <c r="U133">
        <v>1</v>
      </c>
      <c r="V133" s="1" t="s">
        <v>126</v>
      </c>
      <c r="W133">
        <v>0</v>
      </c>
      <c r="X133">
        <v>3000</v>
      </c>
      <c r="Y133">
        <v>6390</v>
      </c>
      <c r="Z133">
        <v>3082</v>
      </c>
      <c r="AA133">
        <v>8278</v>
      </c>
      <c r="AB133">
        <v>0</v>
      </c>
      <c r="AC133">
        <v>0</v>
      </c>
      <c r="AD133">
        <v>0</v>
      </c>
      <c r="AE133">
        <v>25</v>
      </c>
      <c r="AF133">
        <v>0</v>
      </c>
      <c r="AG133">
        <v>3</v>
      </c>
      <c r="AH133">
        <v>0</v>
      </c>
    </row>
    <row r="134" spans="1:34" x14ac:dyDescent="0.25">
      <c r="A134" t="s">
        <v>45</v>
      </c>
      <c r="B134" t="str" cm="1">
        <f t="array" ref="B134:F134">_xlfn.TEXTSPLIT(A134,"_")</f>
        <v>MVPRP</v>
      </c>
      <c r="C134" t="str">
        <v>C30</v>
      </c>
      <c r="D134" t="str">
        <v>P3</v>
      </c>
      <c r="E134" t="str">
        <v>V3</v>
      </c>
      <c r="F134" t="str">
        <v>I3</v>
      </c>
      <c r="G134" t="s">
        <v>120</v>
      </c>
      <c r="H134" t="s">
        <v>31</v>
      </c>
      <c r="I134">
        <v>41464</v>
      </c>
      <c r="J134">
        <v>41464</v>
      </c>
      <c r="K134">
        <v>0</v>
      </c>
      <c r="L134">
        <v>12.4477450847626</v>
      </c>
      <c r="M134" t="s">
        <v>32</v>
      </c>
      <c r="N134">
        <v>228</v>
      </c>
      <c r="P134">
        <v>2</v>
      </c>
      <c r="Q134">
        <v>0.5</v>
      </c>
      <c r="R134">
        <v>100</v>
      </c>
      <c r="S134">
        <v>50</v>
      </c>
      <c r="T134">
        <v>0</v>
      </c>
      <c r="U134">
        <v>1</v>
      </c>
      <c r="V134" s="1" t="s">
        <v>126</v>
      </c>
      <c r="W134">
        <v>0</v>
      </c>
      <c r="X134">
        <v>3000</v>
      </c>
      <c r="Y134">
        <v>16680</v>
      </c>
      <c r="Z134">
        <v>6562</v>
      </c>
      <c r="AA134">
        <v>15222</v>
      </c>
      <c r="AB134">
        <v>0</v>
      </c>
      <c r="AC134">
        <v>0</v>
      </c>
      <c r="AD134">
        <v>0</v>
      </c>
      <c r="AE134">
        <v>276</v>
      </c>
      <c r="AF134">
        <v>0</v>
      </c>
      <c r="AG134">
        <v>37</v>
      </c>
      <c r="AH134">
        <v>0</v>
      </c>
    </row>
    <row r="135" spans="1:34" x14ac:dyDescent="0.25">
      <c r="A135" t="s">
        <v>46</v>
      </c>
      <c r="B135" t="str" cm="1">
        <f t="array" ref="B135:F135">_xlfn.TEXTSPLIT(A135,"_")</f>
        <v>MVPRP</v>
      </c>
      <c r="C135" t="str">
        <v>C20</v>
      </c>
      <c r="D135" t="str">
        <v>P3</v>
      </c>
      <c r="E135" t="str">
        <v>V3</v>
      </c>
      <c r="F135" t="str">
        <v>I3</v>
      </c>
      <c r="G135" t="s">
        <v>120</v>
      </c>
      <c r="H135" t="s">
        <v>31</v>
      </c>
      <c r="I135">
        <v>33151</v>
      </c>
      <c r="J135">
        <v>33151</v>
      </c>
      <c r="K135">
        <v>0</v>
      </c>
      <c r="L135">
        <v>16.105900287628199</v>
      </c>
      <c r="M135" t="s">
        <v>32</v>
      </c>
      <c r="N135">
        <v>189</v>
      </c>
      <c r="P135">
        <v>2</v>
      </c>
      <c r="Q135">
        <v>0.5</v>
      </c>
      <c r="R135">
        <v>100</v>
      </c>
      <c r="S135">
        <v>50</v>
      </c>
      <c r="T135">
        <v>0</v>
      </c>
      <c r="U135">
        <v>1</v>
      </c>
      <c r="V135" s="1" t="s">
        <v>126</v>
      </c>
      <c r="W135">
        <v>0</v>
      </c>
      <c r="X135">
        <v>3000</v>
      </c>
      <c r="Y135">
        <v>12030</v>
      </c>
      <c r="Z135">
        <v>5961</v>
      </c>
      <c r="AA135">
        <v>12160</v>
      </c>
      <c r="AB135">
        <v>0</v>
      </c>
      <c r="AC135">
        <v>0</v>
      </c>
      <c r="AD135">
        <v>0</v>
      </c>
      <c r="AE135">
        <v>133</v>
      </c>
      <c r="AF135">
        <v>0</v>
      </c>
      <c r="AG135">
        <v>19</v>
      </c>
      <c r="AH135">
        <v>0</v>
      </c>
    </row>
    <row r="136" spans="1:34" x14ac:dyDescent="0.25">
      <c r="A136" t="s">
        <v>47</v>
      </c>
      <c r="B136" t="str" cm="1">
        <f t="array" ref="B136:F136">_xlfn.TEXTSPLIT(A136,"_")</f>
        <v>MVPRP</v>
      </c>
      <c r="C136" t="str">
        <v>C35</v>
      </c>
      <c r="D136" t="str">
        <v>P6</v>
      </c>
      <c r="E136" t="str">
        <v>V3</v>
      </c>
      <c r="F136" t="str">
        <v>I3</v>
      </c>
      <c r="G136" t="s">
        <v>120</v>
      </c>
      <c r="H136" t="s">
        <v>77</v>
      </c>
      <c r="I136">
        <v>99886</v>
      </c>
      <c r="J136">
        <v>98851.925147300106</v>
      </c>
      <c r="K136">
        <v>1.03525504344943E-2</v>
      </c>
      <c r="L136">
        <v>3601.8449048995999</v>
      </c>
      <c r="M136" t="s">
        <v>32</v>
      </c>
      <c r="N136">
        <v>276</v>
      </c>
      <c r="P136">
        <v>2</v>
      </c>
      <c r="Q136">
        <v>0.5</v>
      </c>
      <c r="R136">
        <v>100</v>
      </c>
      <c r="S136">
        <v>50</v>
      </c>
      <c r="T136">
        <v>0</v>
      </c>
      <c r="U136">
        <v>1</v>
      </c>
      <c r="V136" s="1" t="s">
        <v>126</v>
      </c>
      <c r="W136">
        <v>0</v>
      </c>
      <c r="X136">
        <v>6000</v>
      </c>
      <c r="Y136">
        <v>42900</v>
      </c>
      <c r="Z136">
        <v>22352</v>
      </c>
      <c r="AA136">
        <v>28634</v>
      </c>
      <c r="AB136">
        <v>0</v>
      </c>
      <c r="AC136">
        <v>0</v>
      </c>
      <c r="AD136">
        <v>0</v>
      </c>
      <c r="AE136">
        <v>1326</v>
      </c>
      <c r="AF136">
        <v>0</v>
      </c>
      <c r="AG136">
        <v>221</v>
      </c>
      <c r="AH136">
        <v>0</v>
      </c>
    </row>
    <row r="137" spans="1:34" x14ac:dyDescent="0.25">
      <c r="A137" t="s">
        <v>48</v>
      </c>
      <c r="B137" t="str" cm="1">
        <f t="array" ref="B137:F137">_xlfn.TEXTSPLIT(A137,"_")</f>
        <v>MVPRP</v>
      </c>
      <c r="C137" t="str">
        <v>C25</v>
      </c>
      <c r="D137" t="str">
        <v>P6</v>
      </c>
      <c r="E137" t="str">
        <v>V3</v>
      </c>
      <c r="F137" t="str">
        <v>I3</v>
      </c>
      <c r="G137" t="s">
        <v>120</v>
      </c>
      <c r="H137" t="s">
        <v>77</v>
      </c>
      <c r="I137">
        <v>76711.999283793804</v>
      </c>
      <c r="J137">
        <v>76416.527816995702</v>
      </c>
      <c r="K137">
        <v>3.8516981639992801E-3</v>
      </c>
      <c r="L137">
        <v>3600.0264861583701</v>
      </c>
      <c r="M137" t="s">
        <v>32</v>
      </c>
      <c r="N137">
        <v>189</v>
      </c>
      <c r="P137">
        <v>2</v>
      </c>
      <c r="Q137">
        <v>0.5</v>
      </c>
      <c r="R137">
        <v>100</v>
      </c>
      <c r="S137">
        <v>50</v>
      </c>
      <c r="T137">
        <v>0</v>
      </c>
      <c r="U137">
        <v>1</v>
      </c>
      <c r="V137" s="1" t="s">
        <v>126</v>
      </c>
      <c r="W137">
        <v>0</v>
      </c>
      <c r="X137">
        <v>6000</v>
      </c>
      <c r="Y137">
        <v>28379.999999990301</v>
      </c>
      <c r="Z137">
        <v>19686.999970307599</v>
      </c>
      <c r="AA137">
        <v>22644.9993134959</v>
      </c>
      <c r="AB137">
        <v>0</v>
      </c>
      <c r="AC137">
        <v>0</v>
      </c>
      <c r="AD137">
        <v>0</v>
      </c>
      <c r="AE137">
        <v>1021</v>
      </c>
      <c r="AF137">
        <v>0</v>
      </c>
      <c r="AG137">
        <v>91</v>
      </c>
      <c r="AH137">
        <v>0</v>
      </c>
    </row>
    <row r="138" spans="1:34" x14ac:dyDescent="0.25">
      <c r="A138" t="s">
        <v>49</v>
      </c>
      <c r="B138" t="str" cm="1">
        <f t="array" ref="B138:F138">_xlfn.TEXTSPLIT(A138,"_")</f>
        <v>MVPRP</v>
      </c>
      <c r="C138" t="str">
        <v>C15</v>
      </c>
      <c r="D138" t="str">
        <v>P6</v>
      </c>
      <c r="E138" t="str">
        <v>V3</v>
      </c>
      <c r="F138" t="str">
        <v>I3</v>
      </c>
      <c r="G138" t="s">
        <v>120</v>
      </c>
      <c r="H138" t="s">
        <v>31</v>
      </c>
      <c r="I138">
        <v>60686.999585325299</v>
      </c>
      <c r="J138">
        <v>60686.999585325299</v>
      </c>
      <c r="K138">
        <v>0</v>
      </c>
      <c r="L138">
        <v>867.94262433052097</v>
      </c>
      <c r="M138" t="s">
        <v>32</v>
      </c>
      <c r="N138">
        <v>132</v>
      </c>
      <c r="P138">
        <v>2</v>
      </c>
      <c r="Q138">
        <v>0.5</v>
      </c>
      <c r="R138">
        <v>100</v>
      </c>
      <c r="S138">
        <v>50</v>
      </c>
      <c r="T138">
        <v>0</v>
      </c>
      <c r="U138">
        <v>1</v>
      </c>
      <c r="V138" s="1" t="s">
        <v>126</v>
      </c>
      <c r="W138">
        <v>0</v>
      </c>
      <c r="X138">
        <v>6000</v>
      </c>
      <c r="Y138">
        <v>19800</v>
      </c>
      <c r="Z138">
        <v>12042.0007707271</v>
      </c>
      <c r="AA138">
        <v>22844.998812239399</v>
      </c>
      <c r="AB138">
        <v>0</v>
      </c>
      <c r="AC138">
        <v>0</v>
      </c>
      <c r="AD138">
        <v>0</v>
      </c>
      <c r="AE138">
        <v>604</v>
      </c>
      <c r="AF138">
        <v>0</v>
      </c>
      <c r="AG138">
        <v>26</v>
      </c>
      <c r="AH138">
        <v>0</v>
      </c>
    </row>
    <row r="139" spans="1:34" x14ac:dyDescent="0.25">
      <c r="A139" t="s">
        <v>50</v>
      </c>
      <c r="B139" t="str" cm="1">
        <f t="array" ref="B139:F139">_xlfn.TEXTSPLIT(A139,"_")</f>
        <v>MVPRP</v>
      </c>
      <c r="C139" t="str">
        <v>C50</v>
      </c>
      <c r="D139" t="str">
        <v>P3</v>
      </c>
      <c r="E139" t="str">
        <v>V3</v>
      </c>
      <c r="F139" t="str">
        <v>I3</v>
      </c>
      <c r="G139" t="s">
        <v>120</v>
      </c>
      <c r="H139" t="s">
        <v>77</v>
      </c>
      <c r="I139">
        <v>65560</v>
      </c>
      <c r="J139">
        <v>65319.653853376803</v>
      </c>
      <c r="K139">
        <v>3.6660486062108301E-3</v>
      </c>
      <c r="L139">
        <v>3602.6810309886901</v>
      </c>
      <c r="M139" t="s">
        <v>32</v>
      </c>
      <c r="N139">
        <v>360</v>
      </c>
      <c r="P139">
        <v>2</v>
      </c>
      <c r="Q139">
        <v>0.5</v>
      </c>
      <c r="R139">
        <v>100</v>
      </c>
      <c r="S139">
        <v>50</v>
      </c>
      <c r="T139">
        <v>0</v>
      </c>
      <c r="U139">
        <v>1</v>
      </c>
      <c r="V139" s="1" t="s">
        <v>126</v>
      </c>
      <c r="W139">
        <v>0</v>
      </c>
      <c r="X139">
        <v>3000</v>
      </c>
      <c r="Y139">
        <v>29580</v>
      </c>
      <c r="Z139">
        <v>12059</v>
      </c>
      <c r="AA139">
        <v>20921</v>
      </c>
      <c r="AB139">
        <v>0</v>
      </c>
      <c r="AC139">
        <v>0</v>
      </c>
      <c r="AD139">
        <v>0</v>
      </c>
      <c r="AE139">
        <v>1523</v>
      </c>
      <c r="AF139">
        <v>0</v>
      </c>
      <c r="AG139">
        <v>171</v>
      </c>
      <c r="AH139">
        <v>0</v>
      </c>
    </row>
    <row r="140" spans="1:34" x14ac:dyDescent="0.25">
      <c r="A140" t="s">
        <v>51</v>
      </c>
      <c r="B140" t="str" cm="1">
        <f t="array" ref="B140:F140">_xlfn.TEXTSPLIT(A140,"_")</f>
        <v>MVPRP</v>
      </c>
      <c r="C140" t="str">
        <v>C30</v>
      </c>
      <c r="D140" t="str">
        <v>P6</v>
      </c>
      <c r="E140" t="str">
        <v>V3</v>
      </c>
      <c r="F140" t="str">
        <v>I3</v>
      </c>
      <c r="G140" t="s">
        <v>120</v>
      </c>
      <c r="H140" t="s">
        <v>77</v>
      </c>
      <c r="I140">
        <v>82749</v>
      </c>
      <c r="J140">
        <v>82465.450241958504</v>
      </c>
      <c r="K140">
        <v>3.4266245881103001E-3</v>
      </c>
      <c r="L140">
        <v>3600.7795357704199</v>
      </c>
      <c r="M140" t="s">
        <v>32</v>
      </c>
      <c r="N140">
        <v>228</v>
      </c>
      <c r="P140">
        <v>2</v>
      </c>
      <c r="Q140">
        <v>0.5</v>
      </c>
      <c r="R140">
        <v>100</v>
      </c>
      <c r="S140">
        <v>50</v>
      </c>
      <c r="T140">
        <v>0</v>
      </c>
      <c r="U140">
        <v>1</v>
      </c>
      <c r="V140" s="1" t="s">
        <v>126</v>
      </c>
      <c r="W140">
        <v>0</v>
      </c>
      <c r="X140">
        <v>6000</v>
      </c>
      <c r="Y140">
        <v>33150</v>
      </c>
      <c r="Z140">
        <v>17740</v>
      </c>
      <c r="AA140">
        <v>25859</v>
      </c>
      <c r="AB140">
        <v>0</v>
      </c>
      <c r="AC140">
        <v>0</v>
      </c>
      <c r="AD140">
        <v>0</v>
      </c>
      <c r="AE140">
        <v>1316</v>
      </c>
      <c r="AF140">
        <v>0</v>
      </c>
      <c r="AG140">
        <v>130</v>
      </c>
      <c r="AH140">
        <v>0</v>
      </c>
    </row>
    <row r="141" spans="1:34" x14ac:dyDescent="0.25">
      <c r="A141" t="s">
        <v>58</v>
      </c>
      <c r="B141" t="str" cm="1">
        <f t="array" ref="B141:F141">_xlfn.TEXTSPLIT(A141,"_")</f>
        <v>MVPRP</v>
      </c>
      <c r="C141" t="str">
        <v>C10</v>
      </c>
      <c r="D141" t="str">
        <v>P6</v>
      </c>
      <c r="E141" t="str">
        <v>V3</v>
      </c>
      <c r="F141" t="str">
        <v>I3</v>
      </c>
      <c r="G141" t="s">
        <v>120</v>
      </c>
      <c r="H141" t="s">
        <v>31</v>
      </c>
      <c r="I141">
        <v>42067.999985979397</v>
      </c>
      <c r="J141">
        <v>42067.999985979397</v>
      </c>
      <c r="K141">
        <v>0</v>
      </c>
      <c r="L141">
        <v>11.096104145050001</v>
      </c>
      <c r="M141" t="s">
        <v>32</v>
      </c>
      <c r="N141">
        <v>132</v>
      </c>
      <c r="P141">
        <v>2</v>
      </c>
      <c r="Q141">
        <v>0.5</v>
      </c>
      <c r="R141">
        <v>100</v>
      </c>
      <c r="S141">
        <v>50</v>
      </c>
      <c r="T141">
        <v>0</v>
      </c>
      <c r="U141">
        <v>1</v>
      </c>
      <c r="V141" s="1" t="s">
        <v>126</v>
      </c>
      <c r="W141">
        <v>0</v>
      </c>
      <c r="X141">
        <v>6000</v>
      </c>
      <c r="Y141">
        <v>12690</v>
      </c>
      <c r="Z141">
        <v>8493</v>
      </c>
      <c r="AA141">
        <v>14884.999985979401</v>
      </c>
      <c r="AB141">
        <v>0</v>
      </c>
      <c r="AC141">
        <v>0</v>
      </c>
      <c r="AD141">
        <v>0</v>
      </c>
      <c r="AE141">
        <v>96</v>
      </c>
      <c r="AF141">
        <v>0</v>
      </c>
      <c r="AG141">
        <v>12</v>
      </c>
      <c r="AH141">
        <v>0</v>
      </c>
    </row>
    <row r="142" spans="1:34" x14ac:dyDescent="0.25">
      <c r="A142" t="s">
        <v>62</v>
      </c>
      <c r="B142" t="str" cm="1">
        <f t="array" ref="B142:F142">_xlfn.TEXTSPLIT(A142,"_")</f>
        <v>MVPRP</v>
      </c>
      <c r="C142" t="str">
        <v>C25</v>
      </c>
      <c r="D142" t="str">
        <v>P3</v>
      </c>
      <c r="E142" t="str">
        <v>V3</v>
      </c>
      <c r="F142" t="str">
        <v>I3</v>
      </c>
      <c r="G142" t="s">
        <v>120</v>
      </c>
      <c r="H142" t="s">
        <v>31</v>
      </c>
      <c r="I142">
        <v>38054</v>
      </c>
      <c r="J142">
        <v>38054</v>
      </c>
      <c r="K142">
        <v>0</v>
      </c>
      <c r="L142">
        <v>28.681736707687399</v>
      </c>
      <c r="M142" t="s">
        <v>32</v>
      </c>
      <c r="N142">
        <v>189</v>
      </c>
      <c r="P142">
        <v>2</v>
      </c>
      <c r="Q142">
        <v>0.5</v>
      </c>
      <c r="R142">
        <v>100</v>
      </c>
      <c r="S142">
        <v>50</v>
      </c>
      <c r="T142">
        <v>0</v>
      </c>
      <c r="U142">
        <v>1</v>
      </c>
      <c r="V142" s="1" t="s">
        <v>126</v>
      </c>
      <c r="W142">
        <v>0</v>
      </c>
      <c r="X142">
        <v>3000</v>
      </c>
      <c r="Y142">
        <v>14340</v>
      </c>
      <c r="Z142">
        <v>7653</v>
      </c>
      <c r="AA142">
        <v>13061</v>
      </c>
      <c r="AB142">
        <v>0</v>
      </c>
      <c r="AC142">
        <v>0</v>
      </c>
      <c r="AD142">
        <v>0</v>
      </c>
      <c r="AE142">
        <v>183</v>
      </c>
      <c r="AF142">
        <v>0</v>
      </c>
      <c r="AG142">
        <v>39</v>
      </c>
      <c r="AH142">
        <v>0</v>
      </c>
    </row>
    <row r="143" spans="1:34" x14ac:dyDescent="0.25">
      <c r="A143" t="s">
        <v>65</v>
      </c>
      <c r="B143" t="str" cm="1">
        <f t="array" ref="B143:F143">_xlfn.TEXTSPLIT(A143,"_")</f>
        <v>MVPRP</v>
      </c>
      <c r="C143" t="str">
        <v>C20</v>
      </c>
      <c r="D143" t="str">
        <v>P6</v>
      </c>
      <c r="E143" t="str">
        <v>V3</v>
      </c>
      <c r="F143" t="str">
        <v>I3</v>
      </c>
      <c r="G143" t="s">
        <v>120</v>
      </c>
      <c r="H143" t="s">
        <v>31</v>
      </c>
      <c r="I143">
        <v>66288.999920291695</v>
      </c>
      <c r="J143">
        <v>66288.999920291695</v>
      </c>
      <c r="K143">
        <v>0</v>
      </c>
      <c r="L143">
        <v>2472.0361132621802</v>
      </c>
      <c r="M143" t="s">
        <v>32</v>
      </c>
      <c r="N143">
        <v>189</v>
      </c>
      <c r="P143">
        <v>2</v>
      </c>
      <c r="Q143">
        <v>0.5</v>
      </c>
      <c r="R143">
        <v>100</v>
      </c>
      <c r="S143">
        <v>50</v>
      </c>
      <c r="T143">
        <v>0</v>
      </c>
      <c r="U143">
        <v>1</v>
      </c>
      <c r="V143" s="1" t="s">
        <v>126</v>
      </c>
      <c r="W143">
        <v>0</v>
      </c>
      <c r="X143">
        <v>6000</v>
      </c>
      <c r="Y143">
        <v>23819.999967546901</v>
      </c>
      <c r="Z143">
        <v>15462.9999525648</v>
      </c>
      <c r="AA143">
        <v>21006</v>
      </c>
      <c r="AB143">
        <v>0</v>
      </c>
      <c r="AC143">
        <v>0</v>
      </c>
      <c r="AD143">
        <v>0</v>
      </c>
      <c r="AE143">
        <v>901</v>
      </c>
      <c r="AF143">
        <v>0</v>
      </c>
      <c r="AG143">
        <v>56</v>
      </c>
      <c r="AH143">
        <v>0</v>
      </c>
    </row>
    <row r="144" spans="1:34" x14ac:dyDescent="0.25">
      <c r="A144" t="s">
        <v>66</v>
      </c>
      <c r="B144" t="str" cm="1">
        <f t="array" ref="B144:F144">_xlfn.TEXTSPLIT(A144,"_")</f>
        <v>MVPRP</v>
      </c>
      <c r="C144" t="str">
        <v>C20</v>
      </c>
      <c r="D144" t="str">
        <v>P9</v>
      </c>
      <c r="E144" t="str">
        <v>V3</v>
      </c>
      <c r="F144" t="str">
        <v>I3</v>
      </c>
      <c r="G144" t="s">
        <v>120</v>
      </c>
      <c r="H144" t="s">
        <v>77</v>
      </c>
      <c r="I144">
        <v>116181.999595663</v>
      </c>
      <c r="J144">
        <v>115809.362405917</v>
      </c>
      <c r="K144">
        <v>3.2073573448852099E-3</v>
      </c>
      <c r="L144">
        <v>3600.1263711452498</v>
      </c>
      <c r="M144" t="s">
        <v>32</v>
      </c>
      <c r="N144">
        <v>189</v>
      </c>
      <c r="P144">
        <v>2</v>
      </c>
      <c r="Q144">
        <v>0.5</v>
      </c>
      <c r="R144">
        <v>100</v>
      </c>
      <c r="S144">
        <v>50</v>
      </c>
      <c r="T144">
        <v>0</v>
      </c>
      <c r="U144">
        <v>1</v>
      </c>
      <c r="V144" s="1" t="s">
        <v>126</v>
      </c>
      <c r="W144">
        <v>0</v>
      </c>
      <c r="X144">
        <v>9000</v>
      </c>
      <c r="Y144">
        <v>48119.9997550021</v>
      </c>
      <c r="Z144">
        <v>21360.9998407245</v>
      </c>
      <c r="AA144">
        <v>37701</v>
      </c>
      <c r="AB144">
        <v>0</v>
      </c>
      <c r="AC144">
        <v>0</v>
      </c>
      <c r="AD144">
        <v>0</v>
      </c>
      <c r="AE144">
        <v>1115</v>
      </c>
      <c r="AF144">
        <v>0</v>
      </c>
      <c r="AG144">
        <v>77</v>
      </c>
      <c r="AH144">
        <v>0</v>
      </c>
    </row>
    <row r="145" spans="1:34" x14ac:dyDescent="0.25">
      <c r="A145" t="s">
        <v>67</v>
      </c>
      <c r="B145" t="str" cm="1">
        <f t="array" ref="B145:F145">_xlfn.TEXTSPLIT(A145,"_")</f>
        <v>MVPRP</v>
      </c>
      <c r="C145" t="str">
        <v>C40</v>
      </c>
      <c r="D145" t="str">
        <v>P6</v>
      </c>
      <c r="E145" t="str">
        <v>V3</v>
      </c>
      <c r="F145" t="str">
        <v>I3</v>
      </c>
      <c r="G145" t="s">
        <v>120</v>
      </c>
      <c r="H145" t="s">
        <v>77</v>
      </c>
      <c r="I145">
        <v>126608</v>
      </c>
      <c r="J145">
        <v>121582.536354082</v>
      </c>
      <c r="K145">
        <v>3.9693097165408898E-2</v>
      </c>
      <c r="L145">
        <v>3605.21713376045</v>
      </c>
      <c r="M145" t="s">
        <v>32</v>
      </c>
      <c r="N145">
        <v>360</v>
      </c>
      <c r="P145">
        <v>2</v>
      </c>
      <c r="Q145">
        <v>0.5</v>
      </c>
      <c r="R145">
        <v>100</v>
      </c>
      <c r="S145">
        <v>50</v>
      </c>
      <c r="T145">
        <v>0</v>
      </c>
      <c r="U145">
        <v>1</v>
      </c>
      <c r="V145" s="1" t="s">
        <v>126</v>
      </c>
      <c r="W145">
        <v>0</v>
      </c>
      <c r="X145">
        <v>6000</v>
      </c>
      <c r="Y145">
        <v>55170</v>
      </c>
      <c r="Z145">
        <v>30041</v>
      </c>
      <c r="AA145">
        <v>35397</v>
      </c>
      <c r="AB145">
        <v>0</v>
      </c>
      <c r="AC145">
        <v>0</v>
      </c>
      <c r="AD145">
        <v>0</v>
      </c>
      <c r="AE145">
        <v>2057</v>
      </c>
      <c r="AF145">
        <v>0</v>
      </c>
      <c r="AG145">
        <v>789</v>
      </c>
      <c r="AH145">
        <v>0</v>
      </c>
    </row>
    <row r="146" spans="1:34" x14ac:dyDescent="0.25">
      <c r="A146" t="s">
        <v>69</v>
      </c>
      <c r="B146" t="str" cm="1">
        <f t="array" ref="B146:F146">_xlfn.TEXTSPLIT(A146,"_")</f>
        <v>MVPRP</v>
      </c>
      <c r="C146" t="str">
        <v>C15</v>
      </c>
      <c r="D146" t="str">
        <v>P9</v>
      </c>
      <c r="E146" t="str">
        <v>V3</v>
      </c>
      <c r="F146" t="str">
        <v>I3</v>
      </c>
      <c r="G146" t="s">
        <v>120</v>
      </c>
      <c r="H146" t="s">
        <v>77</v>
      </c>
      <c r="I146">
        <v>109246</v>
      </c>
      <c r="J146">
        <v>108534.871643727</v>
      </c>
      <c r="K146">
        <v>6.5094223703681797E-3</v>
      </c>
      <c r="L146">
        <v>3600.0643427372001</v>
      </c>
      <c r="M146" t="s">
        <v>32</v>
      </c>
      <c r="N146">
        <v>132</v>
      </c>
      <c r="P146">
        <v>2</v>
      </c>
      <c r="Q146">
        <v>0.5</v>
      </c>
      <c r="R146">
        <v>100</v>
      </c>
      <c r="S146">
        <v>50</v>
      </c>
      <c r="T146">
        <v>0</v>
      </c>
      <c r="U146">
        <v>1</v>
      </c>
      <c r="V146" s="1" t="s">
        <v>126</v>
      </c>
      <c r="W146">
        <v>0</v>
      </c>
      <c r="X146">
        <v>9000</v>
      </c>
      <c r="Y146">
        <v>40950</v>
      </c>
      <c r="Z146">
        <v>22165</v>
      </c>
      <c r="AA146">
        <v>37131</v>
      </c>
      <c r="AB146">
        <v>0</v>
      </c>
      <c r="AC146">
        <v>0</v>
      </c>
      <c r="AD146">
        <v>0</v>
      </c>
      <c r="AE146">
        <v>1045</v>
      </c>
      <c r="AF146">
        <v>0</v>
      </c>
      <c r="AG146">
        <v>30</v>
      </c>
      <c r="AH146">
        <v>0</v>
      </c>
    </row>
    <row r="147" spans="1:34" x14ac:dyDescent="0.25">
      <c r="A147" t="s">
        <v>73</v>
      </c>
      <c r="B147" t="str" cm="1">
        <f t="array" ref="B147:F147">_xlfn.TEXTSPLIT(A147,"_")</f>
        <v>MVPRP</v>
      </c>
      <c r="C147" t="str">
        <v>C10</v>
      </c>
      <c r="D147" t="str">
        <v>P9</v>
      </c>
      <c r="E147" t="str">
        <v>V3</v>
      </c>
      <c r="F147" t="str">
        <v>I3</v>
      </c>
      <c r="G147" t="s">
        <v>120</v>
      </c>
      <c r="H147" t="s">
        <v>31</v>
      </c>
      <c r="I147">
        <v>72847.999958617205</v>
      </c>
      <c r="J147">
        <v>72847.999958617205</v>
      </c>
      <c r="K147">
        <v>0</v>
      </c>
      <c r="L147">
        <v>22.308111429214499</v>
      </c>
      <c r="M147" t="s">
        <v>32</v>
      </c>
      <c r="N147">
        <v>132</v>
      </c>
      <c r="P147">
        <v>2</v>
      </c>
      <c r="Q147">
        <v>0.5</v>
      </c>
      <c r="R147">
        <v>100</v>
      </c>
      <c r="S147">
        <v>50</v>
      </c>
      <c r="T147">
        <v>0</v>
      </c>
      <c r="U147">
        <v>1</v>
      </c>
      <c r="V147" s="1" t="s">
        <v>126</v>
      </c>
      <c r="W147">
        <v>0</v>
      </c>
      <c r="X147">
        <v>9000</v>
      </c>
      <c r="Y147">
        <v>26370</v>
      </c>
      <c r="Z147">
        <v>14132.9999374242</v>
      </c>
      <c r="AA147">
        <v>23345.000021192998</v>
      </c>
      <c r="AB147">
        <v>0</v>
      </c>
      <c r="AC147">
        <v>0</v>
      </c>
      <c r="AD147">
        <v>0</v>
      </c>
      <c r="AE147">
        <v>128</v>
      </c>
      <c r="AF147">
        <v>0</v>
      </c>
      <c r="AG147">
        <v>10</v>
      </c>
      <c r="AH147">
        <v>0</v>
      </c>
    </row>
    <row r="148" spans="1:34" x14ac:dyDescent="0.25">
      <c r="A148" t="s">
        <v>74</v>
      </c>
      <c r="B148" t="str" cm="1">
        <f t="array" ref="B148:F148">_xlfn.TEXTSPLIT(A148,"_")</f>
        <v>MVPRP</v>
      </c>
      <c r="C148" t="str">
        <v>C25</v>
      </c>
      <c r="D148" t="str">
        <v>P9</v>
      </c>
      <c r="E148" t="str">
        <v>V3</v>
      </c>
      <c r="F148" t="str">
        <v>I3</v>
      </c>
      <c r="G148" t="s">
        <v>120</v>
      </c>
      <c r="H148" t="s">
        <v>77</v>
      </c>
      <c r="I148">
        <v>140566</v>
      </c>
      <c r="J148">
        <v>137113.438898578</v>
      </c>
      <c r="K148">
        <v>2.4561850671019299E-2</v>
      </c>
      <c r="L148">
        <v>3600.6079318523398</v>
      </c>
      <c r="M148" t="s">
        <v>32</v>
      </c>
      <c r="N148">
        <v>189</v>
      </c>
      <c r="P148">
        <v>2</v>
      </c>
      <c r="Q148">
        <v>0.5</v>
      </c>
      <c r="R148">
        <v>100</v>
      </c>
      <c r="S148">
        <v>50</v>
      </c>
      <c r="T148">
        <v>0</v>
      </c>
      <c r="U148">
        <v>1</v>
      </c>
      <c r="V148" s="1" t="s">
        <v>126</v>
      </c>
      <c r="W148">
        <v>0</v>
      </c>
      <c r="X148">
        <v>12000</v>
      </c>
      <c r="Y148">
        <v>59880</v>
      </c>
      <c r="Z148">
        <v>25707</v>
      </c>
      <c r="AA148">
        <v>42979</v>
      </c>
      <c r="AB148">
        <v>0</v>
      </c>
      <c r="AC148">
        <v>0</v>
      </c>
      <c r="AD148">
        <v>0</v>
      </c>
      <c r="AE148">
        <v>2812</v>
      </c>
      <c r="AF148">
        <v>0</v>
      </c>
      <c r="AG148">
        <v>96</v>
      </c>
      <c r="AH148">
        <v>0</v>
      </c>
    </row>
    <row r="149" spans="1:34" x14ac:dyDescent="0.25">
      <c r="A149" t="s">
        <v>35</v>
      </c>
      <c r="B149" t="str" cm="1">
        <f t="array" ref="B149:F149">_xlfn.TEXTSPLIT(A149,"_")</f>
        <v>MVPRP</v>
      </c>
      <c r="C149" t="str">
        <v>C15</v>
      </c>
      <c r="D149" t="str">
        <v>P9</v>
      </c>
      <c r="E149" t="str">
        <v>V3</v>
      </c>
      <c r="F149" t="str">
        <v>I1</v>
      </c>
      <c r="G149" t="s">
        <v>120</v>
      </c>
      <c r="H149" t="s">
        <v>77</v>
      </c>
      <c r="I149">
        <v>75988</v>
      </c>
      <c r="J149">
        <v>75255.136008802001</v>
      </c>
      <c r="K149">
        <v>9.64447006366774E-3</v>
      </c>
      <c r="L149">
        <v>3601.1645689010602</v>
      </c>
      <c r="M149" t="s">
        <v>32</v>
      </c>
      <c r="N149">
        <v>132</v>
      </c>
      <c r="P149">
        <v>2</v>
      </c>
      <c r="Q149">
        <v>0.5</v>
      </c>
      <c r="R149">
        <v>100</v>
      </c>
      <c r="S149">
        <v>50</v>
      </c>
      <c r="T149">
        <v>0</v>
      </c>
      <c r="U149">
        <v>1</v>
      </c>
      <c r="V149" s="1" t="s">
        <v>126</v>
      </c>
      <c r="W149">
        <v>0</v>
      </c>
      <c r="X149">
        <v>9000</v>
      </c>
      <c r="Y149">
        <v>40950</v>
      </c>
      <c r="Z149">
        <v>14725</v>
      </c>
      <c r="AA149">
        <v>11313</v>
      </c>
      <c r="AB149">
        <v>0</v>
      </c>
      <c r="AC149">
        <v>0</v>
      </c>
      <c r="AD149">
        <v>0</v>
      </c>
      <c r="AE149">
        <v>1613</v>
      </c>
      <c r="AF149">
        <v>0</v>
      </c>
      <c r="AG149">
        <v>49</v>
      </c>
      <c r="AH149">
        <v>0</v>
      </c>
    </row>
    <row r="150" spans="1:34" x14ac:dyDescent="0.25">
      <c r="A150" t="s">
        <v>37</v>
      </c>
      <c r="B150" t="str" cm="1">
        <f t="array" ref="B150:F150">_xlfn.TEXTSPLIT(A150,"_")</f>
        <v>MVPRP</v>
      </c>
      <c r="C150" t="str">
        <v>C40</v>
      </c>
      <c r="D150" t="str">
        <v>P3</v>
      </c>
      <c r="E150" t="str">
        <v>V3</v>
      </c>
      <c r="F150" t="str">
        <v>I1</v>
      </c>
      <c r="G150" t="s">
        <v>120</v>
      </c>
      <c r="H150" t="s">
        <v>31</v>
      </c>
      <c r="I150">
        <v>44822</v>
      </c>
      <c r="J150">
        <v>44822</v>
      </c>
      <c r="K150">
        <v>0</v>
      </c>
      <c r="L150">
        <v>107.950572729111</v>
      </c>
      <c r="M150" t="s">
        <v>32</v>
      </c>
      <c r="N150">
        <v>360</v>
      </c>
      <c r="P150">
        <v>2</v>
      </c>
      <c r="Q150">
        <v>0.5</v>
      </c>
      <c r="R150">
        <v>100</v>
      </c>
      <c r="S150">
        <v>50</v>
      </c>
      <c r="T150">
        <v>0</v>
      </c>
      <c r="U150">
        <v>1</v>
      </c>
      <c r="V150" s="1" t="s">
        <v>126</v>
      </c>
      <c r="W150">
        <v>0</v>
      </c>
      <c r="X150">
        <v>6000</v>
      </c>
      <c r="Y150">
        <v>27660</v>
      </c>
      <c r="Z150">
        <v>5480</v>
      </c>
      <c r="AA150">
        <v>5682</v>
      </c>
      <c r="AB150">
        <v>0</v>
      </c>
      <c r="AC150">
        <v>0</v>
      </c>
      <c r="AD150">
        <v>0</v>
      </c>
      <c r="AE150">
        <v>324</v>
      </c>
      <c r="AF150">
        <v>0</v>
      </c>
      <c r="AG150">
        <v>82</v>
      </c>
      <c r="AH150">
        <v>0</v>
      </c>
    </row>
    <row r="151" spans="1:34" x14ac:dyDescent="0.25">
      <c r="A151" t="s">
        <v>38</v>
      </c>
      <c r="B151" t="str" cm="1">
        <f t="array" ref="B151:F151">_xlfn.TEXTSPLIT(A151,"_")</f>
        <v>MVPRP</v>
      </c>
      <c r="C151" t="str">
        <v>C20</v>
      </c>
      <c r="D151" t="str">
        <v>P6</v>
      </c>
      <c r="E151" t="str">
        <v>V3</v>
      </c>
      <c r="F151" t="str">
        <v>I1</v>
      </c>
      <c r="G151" t="s">
        <v>120</v>
      </c>
      <c r="H151" t="s">
        <v>31</v>
      </c>
      <c r="I151">
        <v>48181</v>
      </c>
      <c r="J151">
        <v>48181</v>
      </c>
      <c r="K151">
        <v>0</v>
      </c>
      <c r="L151">
        <v>27.982041597366301</v>
      </c>
      <c r="M151" t="s">
        <v>32</v>
      </c>
      <c r="N151">
        <v>189</v>
      </c>
      <c r="P151">
        <v>2</v>
      </c>
      <c r="Q151">
        <v>0.5</v>
      </c>
      <c r="R151">
        <v>100</v>
      </c>
      <c r="S151">
        <v>50</v>
      </c>
      <c r="T151">
        <v>0</v>
      </c>
      <c r="U151">
        <v>1</v>
      </c>
      <c r="V151" s="1" t="s">
        <v>126</v>
      </c>
      <c r="W151">
        <v>0</v>
      </c>
      <c r="X151">
        <v>6000</v>
      </c>
      <c r="Y151">
        <v>23820</v>
      </c>
      <c r="Z151">
        <v>12552</v>
      </c>
      <c r="AA151">
        <v>5809</v>
      </c>
      <c r="AB151">
        <v>0</v>
      </c>
      <c r="AC151">
        <v>0</v>
      </c>
      <c r="AD151">
        <v>0</v>
      </c>
      <c r="AE151">
        <v>201</v>
      </c>
      <c r="AF151">
        <v>0</v>
      </c>
      <c r="AG151">
        <v>52</v>
      </c>
      <c r="AH151">
        <v>0</v>
      </c>
    </row>
    <row r="152" spans="1:34" x14ac:dyDescent="0.25">
      <c r="A152" t="s">
        <v>39</v>
      </c>
      <c r="B152" t="str" cm="1">
        <f t="array" ref="B152:F152">_xlfn.TEXTSPLIT(A152,"_")</f>
        <v>MVPRP</v>
      </c>
      <c r="C152" t="str">
        <v>C10</v>
      </c>
      <c r="D152" t="str">
        <v>P3</v>
      </c>
      <c r="E152" t="str">
        <v>V3</v>
      </c>
      <c r="F152" t="str">
        <v>I1</v>
      </c>
      <c r="G152" t="s">
        <v>120</v>
      </c>
      <c r="H152" t="s">
        <v>31</v>
      </c>
      <c r="I152">
        <v>14236</v>
      </c>
      <c r="J152">
        <v>14236</v>
      </c>
      <c r="K152">
        <v>0</v>
      </c>
      <c r="L152">
        <v>2.5246286392211901</v>
      </c>
      <c r="M152" t="s">
        <v>32</v>
      </c>
      <c r="N152">
        <v>132</v>
      </c>
      <c r="P152">
        <v>2</v>
      </c>
      <c r="Q152">
        <v>0.5</v>
      </c>
      <c r="R152">
        <v>100</v>
      </c>
      <c r="S152">
        <v>50</v>
      </c>
      <c r="T152">
        <v>0</v>
      </c>
      <c r="U152">
        <v>1</v>
      </c>
      <c r="V152" s="1" t="s">
        <v>126</v>
      </c>
      <c r="W152">
        <v>0</v>
      </c>
      <c r="X152">
        <v>3000</v>
      </c>
      <c r="Y152">
        <v>6390</v>
      </c>
      <c r="Z152">
        <v>2845</v>
      </c>
      <c r="AA152">
        <v>2001</v>
      </c>
      <c r="AB152">
        <v>0</v>
      </c>
      <c r="AC152">
        <v>0</v>
      </c>
      <c r="AD152">
        <v>0</v>
      </c>
      <c r="AE152">
        <v>39</v>
      </c>
      <c r="AF152">
        <v>0</v>
      </c>
      <c r="AG152">
        <v>9</v>
      </c>
      <c r="AH152">
        <v>0</v>
      </c>
    </row>
    <row r="153" spans="1:34" x14ac:dyDescent="0.25">
      <c r="A153" t="s">
        <v>41</v>
      </c>
      <c r="B153" t="str" cm="1">
        <f t="array" ref="B153:F153">_xlfn.TEXTSPLIT(A153,"_")</f>
        <v>MVPRP</v>
      </c>
      <c r="C153" t="str">
        <v>C20</v>
      </c>
      <c r="D153" t="str">
        <v>P3</v>
      </c>
      <c r="E153" t="str">
        <v>V3</v>
      </c>
      <c r="F153" t="str">
        <v>I1</v>
      </c>
      <c r="G153" t="s">
        <v>120</v>
      </c>
      <c r="H153" t="s">
        <v>31</v>
      </c>
      <c r="I153">
        <v>22675</v>
      </c>
      <c r="J153">
        <v>22675</v>
      </c>
      <c r="K153">
        <v>0</v>
      </c>
      <c r="L153">
        <v>7.94667267799377</v>
      </c>
      <c r="M153" t="s">
        <v>32</v>
      </c>
      <c r="N153">
        <v>189</v>
      </c>
      <c r="P153">
        <v>2</v>
      </c>
      <c r="Q153">
        <v>0.5</v>
      </c>
      <c r="R153">
        <v>100</v>
      </c>
      <c r="S153">
        <v>50</v>
      </c>
      <c r="T153">
        <v>0</v>
      </c>
      <c r="U153">
        <v>1</v>
      </c>
      <c r="V153" s="1" t="s">
        <v>126</v>
      </c>
      <c r="W153">
        <v>0</v>
      </c>
      <c r="X153">
        <v>3000</v>
      </c>
      <c r="Y153">
        <v>12030</v>
      </c>
      <c r="Z153">
        <v>4455</v>
      </c>
      <c r="AA153">
        <v>3190</v>
      </c>
      <c r="AB153">
        <v>0</v>
      </c>
      <c r="AC153">
        <v>0</v>
      </c>
      <c r="AD153">
        <v>0</v>
      </c>
      <c r="AE153">
        <v>154</v>
      </c>
      <c r="AF153">
        <v>0</v>
      </c>
      <c r="AG153">
        <v>33</v>
      </c>
      <c r="AH153">
        <v>0</v>
      </c>
    </row>
    <row r="154" spans="1:34" x14ac:dyDescent="0.25">
      <c r="A154" t="s">
        <v>43</v>
      </c>
      <c r="B154" t="str" cm="1">
        <f t="array" ref="B154:F154">_xlfn.TEXTSPLIT(A154,"_")</f>
        <v>MVPRP</v>
      </c>
      <c r="C154" t="str">
        <v>C40</v>
      </c>
      <c r="D154" t="str">
        <v>P6</v>
      </c>
      <c r="E154" t="str">
        <v>V3</v>
      </c>
      <c r="F154" t="str">
        <v>I1</v>
      </c>
      <c r="G154" t="s">
        <v>120</v>
      </c>
      <c r="H154" t="s">
        <v>77</v>
      </c>
      <c r="I154">
        <v>96993</v>
      </c>
      <c r="J154">
        <v>96752.303220362606</v>
      </c>
      <c r="K154">
        <v>2.4815891831102099E-3</v>
      </c>
      <c r="L154">
        <v>3601.67462682724</v>
      </c>
      <c r="M154" t="s">
        <v>32</v>
      </c>
      <c r="N154">
        <v>360</v>
      </c>
      <c r="P154">
        <v>2</v>
      </c>
      <c r="Q154">
        <v>0.5</v>
      </c>
      <c r="R154">
        <v>100</v>
      </c>
      <c r="S154">
        <v>50</v>
      </c>
      <c r="T154">
        <v>0</v>
      </c>
      <c r="U154">
        <v>1</v>
      </c>
      <c r="V154" s="1" t="s">
        <v>126</v>
      </c>
      <c r="W154">
        <v>0</v>
      </c>
      <c r="X154">
        <v>6000</v>
      </c>
      <c r="Y154">
        <v>55170</v>
      </c>
      <c r="Z154">
        <v>26811</v>
      </c>
      <c r="AA154">
        <v>9012</v>
      </c>
      <c r="AB154">
        <v>0</v>
      </c>
      <c r="AC154">
        <v>0</v>
      </c>
      <c r="AD154">
        <v>0</v>
      </c>
      <c r="AE154">
        <v>843</v>
      </c>
      <c r="AF154">
        <v>0</v>
      </c>
      <c r="AG154">
        <v>2681</v>
      </c>
      <c r="AH154">
        <v>0</v>
      </c>
    </row>
    <row r="155" spans="1:34" x14ac:dyDescent="0.25">
      <c r="A155" t="s">
        <v>52</v>
      </c>
      <c r="B155" t="str" cm="1">
        <f t="array" ref="B155:F155">_xlfn.TEXTSPLIT(A155,"_")</f>
        <v>MVPRP</v>
      </c>
      <c r="C155" t="str">
        <v>C45</v>
      </c>
      <c r="D155" t="str">
        <v>P3</v>
      </c>
      <c r="E155" t="str">
        <v>V3</v>
      </c>
      <c r="F155" t="str">
        <v>I1</v>
      </c>
      <c r="G155" t="s">
        <v>120</v>
      </c>
      <c r="H155" t="s">
        <v>31</v>
      </c>
      <c r="I155">
        <v>50846</v>
      </c>
      <c r="J155">
        <v>50846</v>
      </c>
      <c r="K155">
        <v>0</v>
      </c>
      <c r="L155">
        <v>68.337500810623197</v>
      </c>
      <c r="M155" t="s">
        <v>32</v>
      </c>
      <c r="N155">
        <v>360</v>
      </c>
      <c r="P155">
        <v>2</v>
      </c>
      <c r="Q155">
        <v>0.5</v>
      </c>
      <c r="R155">
        <v>100</v>
      </c>
      <c r="S155">
        <v>50</v>
      </c>
      <c r="T155">
        <v>0</v>
      </c>
      <c r="U155">
        <v>1</v>
      </c>
      <c r="V155" s="1" t="s">
        <v>126</v>
      </c>
      <c r="W155">
        <v>0</v>
      </c>
      <c r="X155">
        <v>6000</v>
      </c>
      <c r="Y155">
        <v>33060</v>
      </c>
      <c r="Z155">
        <v>5021</v>
      </c>
      <c r="AA155">
        <v>6765</v>
      </c>
      <c r="AB155">
        <v>0</v>
      </c>
      <c r="AC155">
        <v>0</v>
      </c>
      <c r="AD155">
        <v>0</v>
      </c>
      <c r="AE155">
        <v>296</v>
      </c>
      <c r="AF155">
        <v>0</v>
      </c>
      <c r="AG155">
        <v>181</v>
      </c>
      <c r="AH155">
        <v>0</v>
      </c>
    </row>
    <row r="156" spans="1:34" x14ac:dyDescent="0.25">
      <c r="A156" t="s">
        <v>53</v>
      </c>
      <c r="B156" t="str" cm="1">
        <f t="array" ref="B156:F156">_xlfn.TEXTSPLIT(A156,"_")</f>
        <v>MVPRP</v>
      </c>
      <c r="C156" t="str">
        <v>C25</v>
      </c>
      <c r="D156" t="str">
        <v>P6</v>
      </c>
      <c r="E156" t="str">
        <v>V3</v>
      </c>
      <c r="F156" t="str">
        <v>I1</v>
      </c>
      <c r="G156" t="s">
        <v>120</v>
      </c>
      <c r="H156" t="s">
        <v>31</v>
      </c>
      <c r="I156">
        <v>57677</v>
      </c>
      <c r="J156">
        <v>57671.304179105799</v>
      </c>
      <c r="K156">
        <v>9.8753764832643705E-5</v>
      </c>
      <c r="L156">
        <v>189.830693244934</v>
      </c>
      <c r="M156" t="s">
        <v>32</v>
      </c>
      <c r="N156">
        <v>189</v>
      </c>
      <c r="P156">
        <v>2</v>
      </c>
      <c r="Q156">
        <v>0.5</v>
      </c>
      <c r="R156">
        <v>100</v>
      </c>
      <c r="S156">
        <v>50</v>
      </c>
      <c r="T156">
        <v>0</v>
      </c>
      <c r="U156">
        <v>1</v>
      </c>
      <c r="V156" s="1" t="s">
        <v>126</v>
      </c>
      <c r="W156">
        <v>0</v>
      </c>
      <c r="X156">
        <v>6000</v>
      </c>
      <c r="Y156">
        <v>28380</v>
      </c>
      <c r="Z156">
        <v>17248</v>
      </c>
      <c r="AA156">
        <v>6049</v>
      </c>
      <c r="AB156">
        <v>0</v>
      </c>
      <c r="AC156">
        <v>0</v>
      </c>
      <c r="AD156">
        <v>0</v>
      </c>
      <c r="AE156">
        <v>465</v>
      </c>
      <c r="AF156">
        <v>0</v>
      </c>
      <c r="AG156">
        <v>96</v>
      </c>
      <c r="AH156">
        <v>0</v>
      </c>
    </row>
    <row r="157" spans="1:34" x14ac:dyDescent="0.25">
      <c r="A157" t="s">
        <v>54</v>
      </c>
      <c r="B157" t="str" cm="1">
        <f t="array" ref="B157:F157">_xlfn.TEXTSPLIT(A157,"_")</f>
        <v>MVPRP</v>
      </c>
      <c r="C157" t="str">
        <v>C35</v>
      </c>
      <c r="D157" t="str">
        <v>P6</v>
      </c>
      <c r="E157" t="str">
        <v>V3</v>
      </c>
      <c r="F157" t="str">
        <v>I1</v>
      </c>
      <c r="G157" t="s">
        <v>120</v>
      </c>
      <c r="H157" t="s">
        <v>77</v>
      </c>
      <c r="I157">
        <v>75538.9998224054</v>
      </c>
      <c r="J157">
        <v>75433.2378964089</v>
      </c>
      <c r="K157">
        <v>1.40009698625977E-3</v>
      </c>
      <c r="L157">
        <v>3601.5368080139201</v>
      </c>
      <c r="M157" t="s">
        <v>32</v>
      </c>
      <c r="N157">
        <v>276</v>
      </c>
      <c r="P157">
        <v>2</v>
      </c>
      <c r="Q157">
        <v>0.5</v>
      </c>
      <c r="R157">
        <v>100</v>
      </c>
      <c r="S157">
        <v>50</v>
      </c>
      <c r="T157">
        <v>0</v>
      </c>
      <c r="U157">
        <v>1</v>
      </c>
      <c r="V157" s="1" t="s">
        <v>126</v>
      </c>
      <c r="W157">
        <v>0</v>
      </c>
      <c r="X157">
        <v>6000</v>
      </c>
      <c r="Y157">
        <v>42900</v>
      </c>
      <c r="Z157">
        <v>18867.999802736598</v>
      </c>
      <c r="AA157">
        <v>7771.0000196688097</v>
      </c>
      <c r="AB157">
        <v>0</v>
      </c>
      <c r="AC157">
        <v>0</v>
      </c>
      <c r="AD157">
        <v>0</v>
      </c>
      <c r="AE157">
        <v>1284</v>
      </c>
      <c r="AF157">
        <v>0</v>
      </c>
      <c r="AG157">
        <v>160</v>
      </c>
      <c r="AH157">
        <v>0</v>
      </c>
    </row>
    <row r="158" spans="1:34" x14ac:dyDescent="0.25">
      <c r="A158" t="s">
        <v>55</v>
      </c>
      <c r="B158" t="str" cm="1">
        <f t="array" ref="B158:F158">_xlfn.TEXTSPLIT(A158,"_")</f>
        <v>MVPRP</v>
      </c>
      <c r="C158" t="str">
        <v>C25</v>
      </c>
      <c r="D158" t="str">
        <v>P3</v>
      </c>
      <c r="E158" t="str">
        <v>V3</v>
      </c>
      <c r="F158" t="str">
        <v>I1</v>
      </c>
      <c r="G158" t="s">
        <v>120</v>
      </c>
      <c r="H158" t="s">
        <v>31</v>
      </c>
      <c r="I158">
        <v>26569</v>
      </c>
      <c r="J158">
        <v>26569</v>
      </c>
      <c r="K158">
        <v>0</v>
      </c>
      <c r="L158">
        <v>15.451955080032301</v>
      </c>
      <c r="M158" t="s">
        <v>32</v>
      </c>
      <c r="N158">
        <v>189</v>
      </c>
      <c r="P158">
        <v>2</v>
      </c>
      <c r="Q158">
        <v>0.5</v>
      </c>
      <c r="R158">
        <v>100</v>
      </c>
      <c r="S158">
        <v>50</v>
      </c>
      <c r="T158">
        <v>0</v>
      </c>
      <c r="U158">
        <v>1</v>
      </c>
      <c r="V158" s="1" t="s">
        <v>126</v>
      </c>
      <c r="W158">
        <v>0</v>
      </c>
      <c r="X158">
        <v>3000</v>
      </c>
      <c r="Y158">
        <v>14340</v>
      </c>
      <c r="Z158">
        <v>5405</v>
      </c>
      <c r="AA158">
        <v>3824</v>
      </c>
      <c r="AB158">
        <v>0</v>
      </c>
      <c r="AC158">
        <v>0</v>
      </c>
      <c r="AD158">
        <v>0</v>
      </c>
      <c r="AE158">
        <v>307</v>
      </c>
      <c r="AF158">
        <v>0</v>
      </c>
      <c r="AG158">
        <v>48</v>
      </c>
      <c r="AH158">
        <v>0</v>
      </c>
    </row>
    <row r="159" spans="1:34" x14ac:dyDescent="0.25">
      <c r="A159" t="s">
        <v>56</v>
      </c>
      <c r="B159" t="str" cm="1">
        <f t="array" ref="B159:F159">_xlfn.TEXTSPLIT(A159,"_")</f>
        <v>MVPRP</v>
      </c>
      <c r="C159" t="str">
        <v>C10</v>
      </c>
      <c r="D159" t="str">
        <v>P6</v>
      </c>
      <c r="E159" t="str">
        <v>V3</v>
      </c>
      <c r="F159" t="str">
        <v>I1</v>
      </c>
      <c r="G159" t="s">
        <v>120</v>
      </c>
      <c r="H159" t="s">
        <v>31</v>
      </c>
      <c r="I159">
        <v>30297</v>
      </c>
      <c r="J159">
        <v>30297</v>
      </c>
      <c r="K159">
        <v>0</v>
      </c>
      <c r="L159">
        <v>6.7486011981964102</v>
      </c>
      <c r="M159" t="s">
        <v>32</v>
      </c>
      <c r="N159">
        <v>132</v>
      </c>
      <c r="P159">
        <v>2</v>
      </c>
      <c r="Q159">
        <v>0.5</v>
      </c>
      <c r="R159">
        <v>100</v>
      </c>
      <c r="S159">
        <v>50</v>
      </c>
      <c r="T159">
        <v>0</v>
      </c>
      <c r="U159">
        <v>1</v>
      </c>
      <c r="V159" s="1" t="s">
        <v>126</v>
      </c>
      <c r="W159">
        <v>0</v>
      </c>
      <c r="X159">
        <v>6000</v>
      </c>
      <c r="Y159">
        <v>12690</v>
      </c>
      <c r="Z159">
        <v>8103</v>
      </c>
      <c r="AA159">
        <v>3504</v>
      </c>
      <c r="AB159">
        <v>0</v>
      </c>
      <c r="AC159">
        <v>0</v>
      </c>
      <c r="AD159">
        <v>0</v>
      </c>
      <c r="AE159">
        <v>81</v>
      </c>
      <c r="AF159">
        <v>0</v>
      </c>
      <c r="AG159">
        <v>11</v>
      </c>
      <c r="AH159">
        <v>0</v>
      </c>
    </row>
    <row r="160" spans="1:34" x14ac:dyDescent="0.25">
      <c r="A160" t="s">
        <v>57</v>
      </c>
      <c r="B160" t="str" cm="1">
        <f t="array" ref="B160:F160">_xlfn.TEXTSPLIT(A160,"_")</f>
        <v>MVPRP</v>
      </c>
      <c r="C160" t="str">
        <v>C35</v>
      </c>
      <c r="D160" t="str">
        <v>P3</v>
      </c>
      <c r="E160" t="str">
        <v>V3</v>
      </c>
      <c r="F160" t="str">
        <v>I1</v>
      </c>
      <c r="G160" t="s">
        <v>120</v>
      </c>
      <c r="H160" t="s">
        <v>31</v>
      </c>
      <c r="I160">
        <v>35803</v>
      </c>
      <c r="J160">
        <v>35803</v>
      </c>
      <c r="K160">
        <v>0</v>
      </c>
      <c r="L160">
        <v>26.064972877502399</v>
      </c>
      <c r="M160" t="s">
        <v>32</v>
      </c>
      <c r="N160">
        <v>276</v>
      </c>
      <c r="P160">
        <v>2</v>
      </c>
      <c r="Q160">
        <v>0.5</v>
      </c>
      <c r="R160">
        <v>100</v>
      </c>
      <c r="S160">
        <v>50</v>
      </c>
      <c r="T160">
        <v>0</v>
      </c>
      <c r="U160">
        <v>1</v>
      </c>
      <c r="V160" s="1" t="s">
        <v>126</v>
      </c>
      <c r="W160">
        <v>0</v>
      </c>
      <c r="X160">
        <v>3000</v>
      </c>
      <c r="Y160">
        <v>21600</v>
      </c>
      <c r="Z160">
        <v>6964</v>
      </c>
      <c r="AA160">
        <v>4239</v>
      </c>
      <c r="AB160">
        <v>0</v>
      </c>
      <c r="AC160">
        <v>0</v>
      </c>
      <c r="AD160">
        <v>0</v>
      </c>
      <c r="AE160">
        <v>271</v>
      </c>
      <c r="AF160">
        <v>0</v>
      </c>
      <c r="AG160">
        <v>61</v>
      </c>
      <c r="AH160">
        <v>0</v>
      </c>
    </row>
    <row r="161" spans="1:34" x14ac:dyDescent="0.25">
      <c r="A161" t="s">
        <v>59</v>
      </c>
      <c r="B161" t="str" cm="1">
        <f t="array" ref="B161:F161">_xlfn.TEXTSPLIT(A161,"_")</f>
        <v>MVPRP</v>
      </c>
      <c r="C161" t="str">
        <v>C50</v>
      </c>
      <c r="D161" t="str">
        <v>P3</v>
      </c>
      <c r="E161" t="str">
        <v>V3</v>
      </c>
      <c r="F161" t="str">
        <v>I1</v>
      </c>
      <c r="G161" t="s">
        <v>120</v>
      </c>
      <c r="H161" t="s">
        <v>31</v>
      </c>
      <c r="I161">
        <v>47126</v>
      </c>
      <c r="J161">
        <v>47126</v>
      </c>
      <c r="K161">
        <v>0</v>
      </c>
      <c r="L161">
        <v>169.300560951233</v>
      </c>
      <c r="M161" t="s">
        <v>32</v>
      </c>
      <c r="N161">
        <v>360</v>
      </c>
      <c r="P161">
        <v>2</v>
      </c>
      <c r="Q161">
        <v>0.5</v>
      </c>
      <c r="R161">
        <v>100</v>
      </c>
      <c r="S161">
        <v>50</v>
      </c>
      <c r="T161">
        <v>0</v>
      </c>
      <c r="U161">
        <v>1</v>
      </c>
      <c r="V161" s="1" t="s">
        <v>126</v>
      </c>
      <c r="W161">
        <v>0</v>
      </c>
      <c r="X161">
        <v>6000</v>
      </c>
      <c r="Y161">
        <v>29580</v>
      </c>
      <c r="Z161">
        <v>4839</v>
      </c>
      <c r="AA161">
        <v>6707</v>
      </c>
      <c r="AB161">
        <v>0</v>
      </c>
      <c r="AC161">
        <v>0</v>
      </c>
      <c r="AD161">
        <v>0</v>
      </c>
      <c r="AE161">
        <v>374</v>
      </c>
      <c r="AF161">
        <v>0</v>
      </c>
      <c r="AG161">
        <v>192</v>
      </c>
      <c r="AH161">
        <v>0</v>
      </c>
    </row>
    <row r="162" spans="1:34" x14ac:dyDescent="0.25">
      <c r="A162" t="s">
        <v>60</v>
      </c>
      <c r="B162" t="str" cm="1">
        <f t="array" ref="B162:F162">_xlfn.TEXTSPLIT(A162,"_")</f>
        <v>MVPRP</v>
      </c>
      <c r="C162" t="str">
        <v>C30</v>
      </c>
      <c r="D162" t="str">
        <v>P6</v>
      </c>
      <c r="E162" t="str">
        <v>V3</v>
      </c>
      <c r="F162" t="str">
        <v>I1</v>
      </c>
      <c r="G162" t="s">
        <v>120</v>
      </c>
      <c r="H162" t="s">
        <v>31</v>
      </c>
      <c r="I162">
        <v>61786.999969999997</v>
      </c>
      <c r="J162">
        <v>61782.695040581501</v>
      </c>
      <c r="K162">
        <v>6.96737083947566E-5</v>
      </c>
      <c r="L162">
        <v>1727.2135601043699</v>
      </c>
      <c r="M162" t="s">
        <v>32</v>
      </c>
      <c r="N162">
        <v>228</v>
      </c>
      <c r="P162">
        <v>2</v>
      </c>
      <c r="Q162">
        <v>0.5</v>
      </c>
      <c r="R162">
        <v>100</v>
      </c>
      <c r="S162">
        <v>50</v>
      </c>
      <c r="T162">
        <v>0</v>
      </c>
      <c r="U162">
        <v>1</v>
      </c>
      <c r="V162" s="1" t="s">
        <v>126</v>
      </c>
      <c r="W162">
        <v>0</v>
      </c>
      <c r="X162">
        <v>6000</v>
      </c>
      <c r="Y162">
        <v>33150</v>
      </c>
      <c r="Z162">
        <v>16439.999970000001</v>
      </c>
      <c r="AA162">
        <v>6197</v>
      </c>
      <c r="AB162">
        <v>0</v>
      </c>
      <c r="AC162">
        <v>0</v>
      </c>
      <c r="AD162">
        <v>0</v>
      </c>
      <c r="AE162">
        <v>748</v>
      </c>
      <c r="AF162">
        <v>0</v>
      </c>
      <c r="AG162">
        <v>129</v>
      </c>
      <c r="AH162">
        <v>0</v>
      </c>
    </row>
    <row r="163" spans="1:34" x14ac:dyDescent="0.25">
      <c r="A163" t="s">
        <v>61</v>
      </c>
      <c r="B163" t="str" cm="1">
        <f t="array" ref="B163:F163">_xlfn.TEXTSPLIT(A163,"_")</f>
        <v>MVPRP</v>
      </c>
      <c r="C163" t="str">
        <v>C25</v>
      </c>
      <c r="D163" t="str">
        <v>P9</v>
      </c>
      <c r="E163" t="str">
        <v>V3</v>
      </c>
      <c r="F163" t="str">
        <v>I1</v>
      </c>
      <c r="G163" t="s">
        <v>120</v>
      </c>
      <c r="H163" t="s">
        <v>77</v>
      </c>
      <c r="I163">
        <v>101897.9996581</v>
      </c>
      <c r="J163">
        <v>101701.50339873599</v>
      </c>
      <c r="K163">
        <v>1.9283622840831501E-3</v>
      </c>
      <c r="L163">
        <v>3603.4120757579799</v>
      </c>
      <c r="M163" t="s">
        <v>32</v>
      </c>
      <c r="N163">
        <v>189</v>
      </c>
      <c r="P163">
        <v>2</v>
      </c>
      <c r="Q163">
        <v>0.5</v>
      </c>
      <c r="R163">
        <v>100</v>
      </c>
      <c r="S163">
        <v>50</v>
      </c>
      <c r="T163">
        <v>0</v>
      </c>
      <c r="U163">
        <v>1</v>
      </c>
      <c r="V163" s="1" t="s">
        <v>126</v>
      </c>
      <c r="W163">
        <v>0</v>
      </c>
      <c r="X163">
        <v>9000</v>
      </c>
      <c r="Y163">
        <v>59879.999969712801</v>
      </c>
      <c r="Z163">
        <v>20857.000013471701</v>
      </c>
      <c r="AA163">
        <v>12160.9996749288</v>
      </c>
      <c r="AB163">
        <v>0</v>
      </c>
      <c r="AC163">
        <v>0</v>
      </c>
      <c r="AD163">
        <v>0</v>
      </c>
      <c r="AE163">
        <v>1519</v>
      </c>
      <c r="AF163">
        <v>0</v>
      </c>
      <c r="AG163">
        <v>93</v>
      </c>
      <c r="AH163">
        <v>0</v>
      </c>
    </row>
    <row r="164" spans="1:34" x14ac:dyDescent="0.25">
      <c r="A164" t="s">
        <v>63</v>
      </c>
      <c r="B164" t="str" cm="1">
        <f t="array" ref="B164:F164">_xlfn.TEXTSPLIT(A164,"_")</f>
        <v>MVPRP</v>
      </c>
      <c r="C164" t="str">
        <v>C15</v>
      </c>
      <c r="D164" t="str">
        <v>P6</v>
      </c>
      <c r="E164" t="str">
        <v>V3</v>
      </c>
      <c r="F164" t="str">
        <v>I1</v>
      </c>
      <c r="G164" t="s">
        <v>120</v>
      </c>
      <c r="H164" t="s">
        <v>31</v>
      </c>
      <c r="I164">
        <v>42791</v>
      </c>
      <c r="J164">
        <v>42786.818181818198</v>
      </c>
      <c r="K164">
        <v>9.7726582268017797E-5</v>
      </c>
      <c r="L164">
        <v>581.02645182609604</v>
      </c>
      <c r="M164" t="s">
        <v>32</v>
      </c>
      <c r="N164">
        <v>132</v>
      </c>
      <c r="P164">
        <v>2</v>
      </c>
      <c r="Q164">
        <v>0.5</v>
      </c>
      <c r="R164">
        <v>100</v>
      </c>
      <c r="S164">
        <v>50</v>
      </c>
      <c r="T164">
        <v>0</v>
      </c>
      <c r="U164">
        <v>1</v>
      </c>
      <c r="V164" s="1" t="s">
        <v>126</v>
      </c>
      <c r="W164">
        <v>0</v>
      </c>
      <c r="X164">
        <v>6000</v>
      </c>
      <c r="Y164">
        <v>19800</v>
      </c>
      <c r="Z164">
        <v>11100</v>
      </c>
      <c r="AA164">
        <v>5891</v>
      </c>
      <c r="AB164">
        <v>0</v>
      </c>
      <c r="AC164">
        <v>0</v>
      </c>
      <c r="AD164">
        <v>0</v>
      </c>
      <c r="AE164">
        <v>525</v>
      </c>
      <c r="AF164">
        <v>0</v>
      </c>
      <c r="AG164">
        <v>38</v>
      </c>
      <c r="AH164">
        <v>0</v>
      </c>
    </row>
    <row r="165" spans="1:34" x14ac:dyDescent="0.25">
      <c r="A165" t="s">
        <v>64</v>
      </c>
      <c r="B165" t="str" cm="1">
        <f t="array" ref="B165:F165">_xlfn.TEXTSPLIT(A165,"_")</f>
        <v>MVPRP</v>
      </c>
      <c r="C165" t="str">
        <v>C15</v>
      </c>
      <c r="D165" t="str">
        <v>P3</v>
      </c>
      <c r="E165" t="str">
        <v>V3</v>
      </c>
      <c r="F165" t="str">
        <v>I1</v>
      </c>
      <c r="G165" t="s">
        <v>120</v>
      </c>
      <c r="H165" t="s">
        <v>31</v>
      </c>
      <c r="I165">
        <v>19989</v>
      </c>
      <c r="J165">
        <v>19989</v>
      </c>
      <c r="K165">
        <v>0</v>
      </c>
      <c r="L165">
        <v>7.2398519515991202</v>
      </c>
      <c r="M165" t="s">
        <v>32</v>
      </c>
      <c r="N165">
        <v>132</v>
      </c>
      <c r="P165">
        <v>2</v>
      </c>
      <c r="Q165">
        <v>0.5</v>
      </c>
      <c r="R165">
        <v>100</v>
      </c>
      <c r="S165">
        <v>50</v>
      </c>
      <c r="T165">
        <v>0</v>
      </c>
      <c r="U165">
        <v>1</v>
      </c>
      <c r="V165" s="1" t="s">
        <v>126</v>
      </c>
      <c r="W165">
        <v>0</v>
      </c>
      <c r="X165">
        <v>3000</v>
      </c>
      <c r="Y165">
        <v>9960</v>
      </c>
      <c r="Z165">
        <v>3694</v>
      </c>
      <c r="AA165">
        <v>3335</v>
      </c>
      <c r="AB165">
        <v>0</v>
      </c>
      <c r="AC165">
        <v>0</v>
      </c>
      <c r="AD165">
        <v>0</v>
      </c>
      <c r="AE165">
        <v>199</v>
      </c>
      <c r="AF165">
        <v>0</v>
      </c>
      <c r="AG165">
        <v>25</v>
      </c>
      <c r="AH165">
        <v>0</v>
      </c>
    </row>
    <row r="166" spans="1:34" x14ac:dyDescent="0.25">
      <c r="A166" t="s">
        <v>68</v>
      </c>
      <c r="B166" t="str" cm="1">
        <f t="array" ref="B166:F166">_xlfn.TEXTSPLIT(A166,"_")</f>
        <v>MVPRP</v>
      </c>
      <c r="C166" t="str">
        <v>C20</v>
      </c>
      <c r="D166" t="str">
        <v>P9</v>
      </c>
      <c r="E166" t="str">
        <v>V3</v>
      </c>
      <c r="F166" t="str">
        <v>I1</v>
      </c>
      <c r="G166" t="s">
        <v>120</v>
      </c>
      <c r="H166" t="s">
        <v>31</v>
      </c>
      <c r="I166">
        <v>83684.999949504898</v>
      </c>
      <c r="J166">
        <v>83678.781075164996</v>
      </c>
      <c r="K166">
        <v>7.4312891721312597E-5</v>
      </c>
      <c r="L166">
        <v>1338.0379493236501</v>
      </c>
      <c r="M166" t="s">
        <v>32</v>
      </c>
      <c r="N166">
        <v>189</v>
      </c>
      <c r="P166">
        <v>2</v>
      </c>
      <c r="Q166">
        <v>0.5</v>
      </c>
      <c r="R166">
        <v>100</v>
      </c>
      <c r="S166">
        <v>50</v>
      </c>
      <c r="T166">
        <v>0</v>
      </c>
      <c r="U166">
        <v>1</v>
      </c>
      <c r="V166" s="1" t="s">
        <v>126</v>
      </c>
      <c r="W166">
        <v>0</v>
      </c>
      <c r="X166">
        <v>9000</v>
      </c>
      <c r="Y166">
        <v>48119.999970629702</v>
      </c>
      <c r="Z166">
        <v>15204.9999789342</v>
      </c>
      <c r="AA166">
        <v>11360</v>
      </c>
      <c r="AB166">
        <v>0</v>
      </c>
      <c r="AC166">
        <v>0</v>
      </c>
      <c r="AD166">
        <v>0</v>
      </c>
      <c r="AE166">
        <v>780</v>
      </c>
      <c r="AF166">
        <v>0</v>
      </c>
      <c r="AG166">
        <v>72</v>
      </c>
      <c r="AH166">
        <v>0</v>
      </c>
    </row>
    <row r="167" spans="1:34" x14ac:dyDescent="0.25">
      <c r="A167" t="s">
        <v>70</v>
      </c>
      <c r="B167" t="str" cm="1">
        <f t="array" ref="B167:F167">_xlfn.TEXTSPLIT(A167,"_")</f>
        <v>MVPRP</v>
      </c>
      <c r="C167" t="str">
        <v>C30</v>
      </c>
      <c r="D167" t="str">
        <v>P9</v>
      </c>
      <c r="E167" t="str">
        <v>V3</v>
      </c>
      <c r="F167" t="str">
        <v>I1</v>
      </c>
      <c r="G167" t="s">
        <v>120</v>
      </c>
      <c r="H167" t="s">
        <v>77</v>
      </c>
      <c r="I167">
        <v>111231</v>
      </c>
      <c r="J167">
        <v>110668.141916063</v>
      </c>
      <c r="K167">
        <v>5.06026273194677E-3</v>
      </c>
      <c r="L167">
        <v>3601.7885897159599</v>
      </c>
      <c r="M167" t="s">
        <v>32</v>
      </c>
      <c r="N167">
        <v>228</v>
      </c>
      <c r="P167">
        <v>2</v>
      </c>
      <c r="Q167">
        <v>0.5</v>
      </c>
      <c r="R167">
        <v>100</v>
      </c>
      <c r="S167">
        <v>50</v>
      </c>
      <c r="T167">
        <v>0</v>
      </c>
      <c r="U167">
        <v>1</v>
      </c>
      <c r="V167" s="1" t="s">
        <v>126</v>
      </c>
      <c r="W167">
        <v>0</v>
      </c>
      <c r="X167">
        <v>12000</v>
      </c>
      <c r="Y167">
        <v>67710</v>
      </c>
      <c r="Z167">
        <v>19116</v>
      </c>
      <c r="AA167">
        <v>12405</v>
      </c>
      <c r="AB167">
        <v>0</v>
      </c>
      <c r="AC167">
        <v>0</v>
      </c>
      <c r="AD167">
        <v>0</v>
      </c>
      <c r="AE167">
        <v>2662</v>
      </c>
      <c r="AF167">
        <v>0</v>
      </c>
      <c r="AG167">
        <v>323</v>
      </c>
      <c r="AH167">
        <v>0</v>
      </c>
    </row>
    <row r="168" spans="1:34" x14ac:dyDescent="0.25">
      <c r="A168" t="s">
        <v>71</v>
      </c>
      <c r="B168" t="str" cm="1">
        <f t="array" ref="B168:F168">_xlfn.TEXTSPLIT(A168,"_")</f>
        <v>MVPRP</v>
      </c>
      <c r="C168" t="str">
        <v>C10</v>
      </c>
      <c r="D168" t="str">
        <v>P9</v>
      </c>
      <c r="E168" t="str">
        <v>V3</v>
      </c>
      <c r="F168" t="str">
        <v>I1</v>
      </c>
      <c r="G168" t="s">
        <v>120</v>
      </c>
      <c r="H168" t="s">
        <v>31</v>
      </c>
      <c r="I168">
        <v>52638.999136016602</v>
      </c>
      <c r="J168">
        <v>52635.5040288241</v>
      </c>
      <c r="K168">
        <v>6.6397675675101896E-5</v>
      </c>
      <c r="L168">
        <v>249.137942075729</v>
      </c>
      <c r="M168" t="s">
        <v>32</v>
      </c>
      <c r="N168">
        <v>132</v>
      </c>
      <c r="P168">
        <v>2</v>
      </c>
      <c r="Q168">
        <v>0.5</v>
      </c>
      <c r="R168">
        <v>100</v>
      </c>
      <c r="S168">
        <v>50</v>
      </c>
      <c r="T168">
        <v>0</v>
      </c>
      <c r="U168">
        <v>1</v>
      </c>
      <c r="V168" s="1" t="s">
        <v>126</v>
      </c>
      <c r="W168">
        <v>0</v>
      </c>
      <c r="X168">
        <v>9000</v>
      </c>
      <c r="Y168">
        <v>26370</v>
      </c>
      <c r="Z168">
        <v>9789.99983192531</v>
      </c>
      <c r="AA168">
        <v>7478.9993066233401</v>
      </c>
      <c r="AB168">
        <v>0</v>
      </c>
      <c r="AC168">
        <v>0</v>
      </c>
      <c r="AD168">
        <v>0</v>
      </c>
      <c r="AE168">
        <v>191</v>
      </c>
      <c r="AF168">
        <v>0</v>
      </c>
      <c r="AG168">
        <v>12</v>
      </c>
      <c r="AH168">
        <v>0</v>
      </c>
    </row>
    <row r="169" spans="1:34" x14ac:dyDescent="0.25">
      <c r="A169" t="s">
        <v>72</v>
      </c>
      <c r="B169" t="str" cm="1">
        <f t="array" ref="B169:F169">_xlfn.TEXTSPLIT(A169,"_")</f>
        <v>MVPRP</v>
      </c>
      <c r="C169" t="str">
        <v>C30</v>
      </c>
      <c r="D169" t="str">
        <v>P3</v>
      </c>
      <c r="E169" t="str">
        <v>V3</v>
      </c>
      <c r="F169" t="str">
        <v>I1</v>
      </c>
      <c r="G169" t="s">
        <v>120</v>
      </c>
      <c r="H169" t="s">
        <v>31</v>
      </c>
      <c r="I169">
        <v>29172</v>
      </c>
      <c r="J169">
        <v>29172</v>
      </c>
      <c r="K169">
        <v>0</v>
      </c>
      <c r="L169">
        <v>15.691298961639401</v>
      </c>
      <c r="M169" t="s">
        <v>32</v>
      </c>
      <c r="N169">
        <v>228</v>
      </c>
      <c r="P169">
        <v>2</v>
      </c>
      <c r="Q169">
        <v>0.5</v>
      </c>
      <c r="R169">
        <v>100</v>
      </c>
      <c r="S169">
        <v>50</v>
      </c>
      <c r="T169">
        <v>0</v>
      </c>
      <c r="U169">
        <v>1</v>
      </c>
      <c r="V169" s="1" t="s">
        <v>126</v>
      </c>
      <c r="W169">
        <v>0</v>
      </c>
      <c r="X169">
        <v>3000</v>
      </c>
      <c r="Y169">
        <v>16680</v>
      </c>
      <c r="Z169">
        <v>5721</v>
      </c>
      <c r="AA169">
        <v>3771</v>
      </c>
      <c r="AB169">
        <v>0</v>
      </c>
      <c r="AC169">
        <v>0</v>
      </c>
      <c r="AD169">
        <v>0</v>
      </c>
      <c r="AE169">
        <v>288</v>
      </c>
      <c r="AF169">
        <v>0</v>
      </c>
      <c r="AG169">
        <v>64</v>
      </c>
      <c r="AH169">
        <v>0</v>
      </c>
    </row>
  </sheetData>
  <autoFilter ref="E1:E169" xr:uid="{00000000-0001-0000-0000-000000000000}"/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PivotVCD</vt:lpstr>
      <vt:lpstr>VCD_Calc</vt:lpstr>
      <vt:lpstr>PivotVCDVSS_Calc</vt:lpstr>
      <vt:lpstr>VCDVSS_Calc</vt:lpstr>
      <vt:lpstr>model1_homogeneousK_16_threads_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Rocha, Luis</cp:lastModifiedBy>
  <cp:revision>1</cp:revision>
  <dcterms:created xsi:type="dcterms:W3CDTF">2025-12-01T07:16:08Z</dcterms:created>
  <dcterms:modified xsi:type="dcterms:W3CDTF">2026-02-04T16:36:52Z</dcterms:modified>
  <dc:language>en-US</dc:language>
</cp:coreProperties>
</file>