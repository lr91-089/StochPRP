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User\Documents\000_Passau\Research\Code\StochPRP_Git\data\"/>
    </mc:Choice>
  </mc:AlternateContent>
  <xr:revisionPtr revIDLastSave="0" documentId="13_ncr:1_{13EC41A4-A09C-46D3-B56C-E0D25E813091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Averages" sheetId="2" r:id="rId1"/>
    <sheet name="Solved" sheetId="3" r:id="rId2"/>
    <sheet name="benders_bc_ParetoOpt_DelayedSol" sheetId="1" r:id="rId3"/>
  </sheets>
  <definedNames>
    <definedName name="_xlnm._FilterDatabase" localSheetId="2" hidden="1">benders_bc_ParetoOpt_DelayedSol!$A$1:$AG$136</definedName>
  </definedNames>
  <calcPr calcId="191029"/>
  <pivotCaches>
    <pivotCache cacheId="22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124" i="1" l="1" a="1"/>
  <c r="B124" i="1" s="1"/>
  <c r="B122" i="1" a="1"/>
  <c r="B122" i="1" s="1"/>
  <c r="B120" i="1" a="1"/>
  <c r="B120" i="1" s="1"/>
  <c r="B114" i="1" a="1"/>
  <c r="B114" i="1" s="1"/>
  <c r="B112" i="1" a="1"/>
  <c r="B112" i="1" s="1"/>
  <c r="B104" i="1" a="1"/>
  <c r="B104" i="1" s="1"/>
  <c r="B98" i="1" a="1"/>
  <c r="B98" i="1" s="1"/>
  <c r="B94" i="1" a="1"/>
  <c r="B94" i="1" s="1"/>
  <c r="B89" i="1" a="1"/>
  <c r="B89" i="1" s="1"/>
  <c r="B3" i="1" a="1"/>
  <c r="B3" i="1" s="1"/>
  <c r="B4" i="1" a="1"/>
  <c r="B4" i="1" s="1"/>
  <c r="B5" i="1" a="1"/>
  <c r="B5" i="1" s="1"/>
  <c r="B6" i="1" a="1"/>
  <c r="B6" i="1" s="1"/>
  <c r="B7" i="1" a="1"/>
  <c r="B7" i="1" s="1"/>
  <c r="B8" i="1" a="1"/>
  <c r="B8" i="1" s="1"/>
  <c r="B9" i="1" a="1"/>
  <c r="B9" i="1" s="1"/>
  <c r="B10" i="1" a="1"/>
  <c r="B10" i="1" s="1"/>
  <c r="B11" i="1" a="1"/>
  <c r="B11" i="1" s="1"/>
  <c r="B12" i="1" a="1"/>
  <c r="B12" i="1" s="1"/>
  <c r="B13" i="1" a="1"/>
  <c r="B13" i="1" s="1"/>
  <c r="B14" i="1" a="1"/>
  <c r="B14" i="1" s="1"/>
  <c r="B15" i="1" a="1"/>
  <c r="B15" i="1" s="1"/>
  <c r="B16" i="1" a="1"/>
  <c r="B16" i="1" s="1"/>
  <c r="B17" i="1" a="1"/>
  <c r="B17" i="1" s="1"/>
  <c r="B18" i="1" a="1"/>
  <c r="B18" i="1" s="1"/>
  <c r="B19" i="1" a="1"/>
  <c r="B19" i="1" s="1"/>
  <c r="B20" i="1" a="1"/>
  <c r="B20" i="1" s="1"/>
  <c r="B21" i="1" a="1"/>
  <c r="B21" i="1" s="1"/>
  <c r="B22" i="1" a="1"/>
  <c r="B22" i="1" s="1"/>
  <c r="B23" i="1" a="1"/>
  <c r="B23" i="1" s="1"/>
  <c r="B24" i="1" a="1"/>
  <c r="B24" i="1" s="1"/>
  <c r="B25" i="1" a="1"/>
  <c r="B25" i="1" s="1"/>
  <c r="B26" i="1" a="1"/>
  <c r="B26" i="1" s="1"/>
  <c r="B27" i="1" a="1"/>
  <c r="B27" i="1" s="1"/>
  <c r="B28" i="1" a="1"/>
  <c r="B28" i="1" s="1"/>
  <c r="B29" i="1" a="1"/>
  <c r="B29" i="1" s="1"/>
  <c r="B30" i="1" a="1"/>
  <c r="B30" i="1" s="1"/>
  <c r="B31" i="1" a="1"/>
  <c r="B31" i="1" s="1"/>
  <c r="B32" i="1" a="1"/>
  <c r="B32" i="1" s="1"/>
  <c r="B33" i="1" a="1"/>
  <c r="B33" i="1" s="1"/>
  <c r="B34" i="1" a="1"/>
  <c r="B34" i="1" s="1"/>
  <c r="B35" i="1" a="1"/>
  <c r="B35" i="1" s="1"/>
  <c r="B36" i="1" a="1"/>
  <c r="B36" i="1" s="1"/>
  <c r="B37" i="1" a="1"/>
  <c r="B37" i="1" s="1"/>
  <c r="B38" i="1" a="1"/>
  <c r="B38" i="1" s="1"/>
  <c r="B39" i="1" a="1"/>
  <c r="B39" i="1" s="1"/>
  <c r="B40" i="1" a="1"/>
  <c r="B40" i="1" s="1"/>
  <c r="B41" i="1" a="1"/>
  <c r="B41" i="1" s="1"/>
  <c r="B42" i="1" a="1"/>
  <c r="B42" i="1" s="1"/>
  <c r="B43" i="1" a="1"/>
  <c r="B43" i="1" s="1"/>
  <c r="B44" i="1" a="1"/>
  <c r="B44" i="1" s="1"/>
  <c r="B45" i="1" a="1"/>
  <c r="B45" i="1" s="1"/>
  <c r="B46" i="1" a="1"/>
  <c r="B46" i="1" s="1"/>
  <c r="B47" i="1" a="1"/>
  <c r="B47" i="1" s="1"/>
  <c r="B48" i="1" a="1"/>
  <c r="B48" i="1" s="1"/>
  <c r="B49" i="1" a="1"/>
  <c r="B49" i="1" s="1"/>
  <c r="B50" i="1" a="1"/>
  <c r="B50" i="1" s="1"/>
  <c r="B51" i="1" a="1"/>
  <c r="B51" i="1" s="1"/>
  <c r="B52" i="1" a="1"/>
  <c r="B52" i="1" s="1"/>
  <c r="B53" i="1" a="1"/>
  <c r="B53" i="1" s="1"/>
  <c r="B54" i="1" a="1"/>
  <c r="B54" i="1" s="1"/>
  <c r="B55" i="1" a="1"/>
  <c r="B55" i="1" s="1"/>
  <c r="B56" i="1" a="1"/>
  <c r="B56" i="1" s="1"/>
  <c r="B57" i="1" a="1"/>
  <c r="B57" i="1" s="1"/>
  <c r="B58" i="1" a="1"/>
  <c r="B58" i="1" s="1"/>
  <c r="B59" i="1" a="1"/>
  <c r="B59" i="1" s="1"/>
  <c r="B60" i="1" a="1"/>
  <c r="B60" i="1" s="1"/>
  <c r="B61" i="1" a="1"/>
  <c r="B61" i="1" s="1"/>
  <c r="B62" i="1" a="1"/>
  <c r="B62" i="1" s="1"/>
  <c r="B63" i="1" a="1"/>
  <c r="B63" i="1" s="1"/>
  <c r="B64" i="1" a="1"/>
  <c r="B64" i="1" s="1"/>
  <c r="B65" i="1" a="1"/>
  <c r="B65" i="1" s="1"/>
  <c r="B66" i="1" a="1"/>
  <c r="B66" i="1" s="1"/>
  <c r="B67" i="1" a="1"/>
  <c r="B67" i="1" s="1"/>
  <c r="B68" i="1" a="1"/>
  <c r="B68" i="1" s="1"/>
  <c r="B69" i="1" a="1"/>
  <c r="B69" i="1" s="1"/>
  <c r="B70" i="1" a="1"/>
  <c r="B70" i="1" s="1"/>
  <c r="B71" i="1" a="1"/>
  <c r="B71" i="1" s="1"/>
  <c r="B72" i="1" a="1"/>
  <c r="B72" i="1" s="1"/>
  <c r="B73" i="1" a="1"/>
  <c r="B73" i="1" s="1"/>
  <c r="B74" i="1" a="1"/>
  <c r="B74" i="1" s="1"/>
  <c r="B75" i="1" a="1"/>
  <c r="B75" i="1" s="1"/>
  <c r="B76" i="1" a="1"/>
  <c r="B76" i="1" s="1"/>
  <c r="B77" i="1" a="1"/>
  <c r="B77" i="1" s="1"/>
  <c r="B78" i="1" a="1"/>
  <c r="B78" i="1" s="1"/>
  <c r="B79" i="1" a="1"/>
  <c r="B79" i="1" s="1"/>
  <c r="B80" i="1" a="1"/>
  <c r="B80" i="1" s="1"/>
  <c r="B81" i="1" a="1"/>
  <c r="B81" i="1" s="1"/>
  <c r="B82" i="1" a="1"/>
  <c r="B82" i="1" s="1"/>
  <c r="B83" i="1" a="1"/>
  <c r="B83" i="1" s="1"/>
  <c r="B84" i="1" a="1"/>
  <c r="B84" i="1" s="1"/>
  <c r="B85" i="1" a="1"/>
  <c r="B85" i="1" s="1"/>
  <c r="B86" i="1" a="1"/>
  <c r="B86" i="1" s="1"/>
  <c r="B87" i="1" a="1"/>
  <c r="B87" i="1" s="1"/>
  <c r="B88" i="1" a="1"/>
  <c r="B88" i="1" s="1"/>
  <c r="B90" i="1" a="1"/>
  <c r="B90" i="1" s="1"/>
  <c r="B91" i="1" a="1"/>
  <c r="B91" i="1" s="1"/>
  <c r="B92" i="1" a="1"/>
  <c r="B92" i="1" s="1"/>
  <c r="B93" i="1" a="1"/>
  <c r="B93" i="1" s="1"/>
  <c r="B95" i="1" a="1"/>
  <c r="B95" i="1" s="1"/>
  <c r="B96" i="1" a="1"/>
  <c r="B96" i="1" s="1"/>
  <c r="B97" i="1" a="1"/>
  <c r="B97" i="1" s="1"/>
  <c r="B99" i="1" a="1"/>
  <c r="B99" i="1" s="1"/>
  <c r="B100" i="1" a="1"/>
  <c r="B100" i="1" s="1"/>
  <c r="B101" i="1" a="1"/>
  <c r="B101" i="1" s="1"/>
  <c r="B102" i="1" a="1"/>
  <c r="B102" i="1" s="1"/>
  <c r="B103" i="1" a="1"/>
  <c r="B103" i="1" s="1"/>
  <c r="B105" i="1" a="1"/>
  <c r="B105" i="1" s="1"/>
  <c r="B106" i="1" a="1"/>
  <c r="B106" i="1" s="1"/>
  <c r="B107" i="1" a="1"/>
  <c r="B107" i="1" s="1"/>
  <c r="B108" i="1" a="1"/>
  <c r="B108" i="1" s="1"/>
  <c r="B109" i="1" a="1"/>
  <c r="B109" i="1" s="1"/>
  <c r="B110" i="1" a="1"/>
  <c r="B110" i="1" s="1"/>
  <c r="B111" i="1" a="1"/>
  <c r="B111" i="1" s="1"/>
  <c r="B113" i="1" a="1"/>
  <c r="B113" i="1" s="1"/>
  <c r="B115" i="1" a="1"/>
  <c r="B115" i="1" s="1"/>
  <c r="B116" i="1" a="1"/>
  <c r="B116" i="1" s="1"/>
  <c r="B117" i="1" a="1"/>
  <c r="B117" i="1" s="1"/>
  <c r="B118" i="1" a="1"/>
  <c r="B118" i="1" s="1"/>
  <c r="B119" i="1" a="1"/>
  <c r="B119" i="1" s="1"/>
  <c r="B121" i="1" a="1"/>
  <c r="B121" i="1" s="1"/>
  <c r="B123" i="1" a="1"/>
  <c r="B123" i="1" s="1"/>
  <c r="B125" i="1" a="1"/>
  <c r="B125" i="1" s="1"/>
  <c r="B126" i="1" a="1"/>
  <c r="B126" i="1" s="1"/>
  <c r="B127" i="1" a="1"/>
  <c r="B127" i="1" s="1"/>
  <c r="B2" i="1" a="1"/>
  <c r="B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<sst xmlns="http://schemas.openxmlformats.org/spreadsheetml/2006/main" count="593" uniqueCount="139">
  <si>
    <t>instance</t>
  </si>
  <si>
    <t>Model</t>
  </si>
  <si>
    <t>status</t>
  </si>
  <si>
    <t>ObjVal</t>
  </si>
  <si>
    <t>ObjBound</t>
  </si>
  <si>
    <t>Gap</t>
  </si>
  <si>
    <t>runtime</t>
  </si>
  <si>
    <t>period_vehicle</t>
  </si>
  <si>
    <t>Q</t>
  </si>
  <si>
    <t>error</t>
  </si>
  <si>
    <t>gamma</t>
  </si>
  <si>
    <t>fixed_prod_cost</t>
  </si>
  <si>
    <t>variable_prod_cost</t>
  </si>
  <si>
    <t>inv_hold_cost</t>
  </si>
  <si>
    <t>routing_cost</t>
  </si>
  <si>
    <t>recourse_cost</t>
  </si>
  <si>
    <t>unused_routing_cost</t>
  </si>
  <si>
    <t>expected_cost_diff</t>
  </si>
  <si>
    <t>benders_cuts</t>
  </si>
  <si>
    <t>lfcc</t>
  </si>
  <si>
    <t>ufcc</t>
  </si>
  <si>
    <t>lsec</t>
  </si>
  <si>
    <t>usec</t>
  </si>
  <si>
    <t>l_st_time</t>
  </si>
  <si>
    <t>u_st_time</t>
  </si>
  <si>
    <t>l_fcc_time</t>
  </si>
  <si>
    <t>u_fcc_time</t>
  </si>
  <si>
    <t>l_benders</t>
  </si>
  <si>
    <t>OPTIMAL</t>
  </si>
  <si>
    <t>[]</t>
  </si>
  <si>
    <t>TIME_LIMIT</t>
  </si>
  <si>
    <t>MVPRP_C15_P3_V3_I3</t>
  </si>
  <si>
    <t>MVPRP_C30_P9_V3_I3</t>
  </si>
  <si>
    <t>MVPRP_C20_P6_V2_I3</t>
  </si>
  <si>
    <t>MVPRP_C30_P3_V4_I3</t>
  </si>
  <si>
    <t>MVPRP_C10_P3_V2_I3</t>
  </si>
  <si>
    <t>MVPRP_C40_P3_V3_I3</t>
  </si>
  <si>
    <t>MVPRP_C15_P9_V2_I3</t>
  </si>
  <si>
    <t>MVPRP_C45_P3_V3_I3</t>
  </si>
  <si>
    <t>MVPRP_C35_P6_V4_I3</t>
  </si>
  <si>
    <t>MVPRP_C25_P6_V2_I3</t>
  </si>
  <si>
    <t>MVPRP_C35_P3_V3_I3</t>
  </si>
  <si>
    <t>MVPRP_C10_P6_V2_I3</t>
  </si>
  <si>
    <t>MVPRP_C30_P9_V4_I3</t>
  </si>
  <si>
    <t>MVPRP_C10_P3_V3_I3</t>
  </si>
  <si>
    <t>MVPRP_C30_P3_V3_I3</t>
  </si>
  <si>
    <t>MVPRP_C20_P3_V3_I3</t>
  </si>
  <si>
    <t>MVPRP_C35_P6_V3_I3</t>
  </si>
  <si>
    <t>MVPRP_C25_P6_V3_I3</t>
  </si>
  <si>
    <t>MVPRP_C30_P6_V4_I3</t>
  </si>
  <si>
    <t>MVPRP_C15_P6_V3_I3</t>
  </si>
  <si>
    <t>MVPRP_C50_P3_V3_I3</t>
  </si>
  <si>
    <t>MVPRP_C30_P6_V3_I3</t>
  </si>
  <si>
    <t>MVPRP_C25_P3_V2_I3</t>
  </si>
  <si>
    <t>MVPRP_C15_P6_V2_I3</t>
  </si>
  <si>
    <t>MVPRP_C20_P3_V2_I3</t>
  </si>
  <si>
    <t>MVPRP_C10_P6_V3_I3</t>
  </si>
  <si>
    <t>MVPRP_C50_P3_V4_I3</t>
  </si>
  <si>
    <t>MVPRP_C15_P3_V2_I3</t>
  </si>
  <si>
    <t>MVPRP_C40_P3_V4_I3</t>
  </si>
  <si>
    <t>MVPRP_C25_P3_V3_I3</t>
  </si>
  <si>
    <t>MVPRP_C20_P6_V3_I3</t>
  </si>
  <si>
    <t>MVPRP_C20_P9_V3_I3</t>
  </si>
  <si>
    <t>MVPRP_C40_P6_V3_I3</t>
  </si>
  <si>
    <t>MVPRP_C25_P9_V2_I3</t>
  </si>
  <si>
    <t>MVPRP_C40_P6_V4_I3</t>
  </si>
  <si>
    <t>MVPRP_C15_P9_V3_I3</t>
  </si>
  <si>
    <t>MVPRP_C35_P3_V4_I3</t>
  </si>
  <si>
    <t>MVPRP_C20_P9_V2_I3</t>
  </si>
  <si>
    <t>MVPRP_C45_P3_V4_I3</t>
  </si>
  <si>
    <t>MVPRP_C10_P9_V3_I3</t>
  </si>
  <si>
    <t>MVPRP_C10_P9_V2_I3</t>
  </si>
  <si>
    <t>MVPRP_C25_P9_V3_I3</t>
  </si>
  <si>
    <t>[(1, 1, 129.0), (2, 1, 132.0), (2, 2, 38.0), (3, 1, 33.0)]</t>
  </si>
  <si>
    <t>[(2, 1, 278.0), (4, 1, 283.0), (5, 1, 233.0)]</t>
  </si>
  <si>
    <t>[(1, 1, 193.0), (2, 1, 20.0)]</t>
  </si>
  <si>
    <t>[(2, 1, 198.0), (3, 1, 198.0), (5, 1, 195.0), (5, 2, 111.0), (6, 1, 178.0), (7, 1, 196.0), (7, 2, 171.0), (8, 1, 118.0)]</t>
  </si>
  <si>
    <t>[(1, 1, 360.0), (1, 2, 23.0), (2, 1, 359.0), (3, 1, 360.0)]</t>
  </si>
  <si>
    <t>[(2, 1, 282.0), (3, 1, 112.0), (4, 1, 276.0), (5, 1, 276.0)]</t>
  </si>
  <si>
    <t>[(1, 1, 270.0), (2, 1, 276.0), (3, 1, 174.0)]</t>
  </si>
  <si>
    <t>[(2, 1, 120.0), (3, 1, 112.0), (5, 1, 191.0)]</t>
  </si>
  <si>
    <t>[(1, 1, 130.0), (2, 1, 83.0)]</t>
  </si>
  <si>
    <t>[(1, 1, 223.0), (2, 1, 228.0), (3, 1, 105.0)]</t>
  </si>
  <si>
    <t>[(1, 1, 185.0), (1, 2, 69.0), (2, 1, 147.0)]</t>
  </si>
  <si>
    <t>[(2, 1, 184.0), (2, 2, 78.0), (3, 1, 189.0), (5, 1, 188.0), (5, 2, 118.0), (6, 1, 189.0)]</t>
  </si>
  <si>
    <t>[(1, 1, 341.0), (2, 1, 300.0), (3, 1, 345.0)]</t>
  </si>
  <si>
    <t>[(2, 1, 223.0), (3, 1, 221.0), (4, 1, 217.0), (4, 2, 216.0), (5, 1, 228.0)]</t>
  </si>
  <si>
    <t>[(1, 1, 281.0), (2, 1, 197.0)]</t>
  </si>
  <si>
    <t>[(2, 1, 174.0), (3, 1, 197.0), (3, 2, 38.0), (5, 1, 193.0), (5, 2, 58.0)]</t>
  </si>
  <si>
    <t>[(1, 1, 274.0), (2, 1, 127.0)]</t>
  </si>
  <si>
    <t>[(2, 1, 100.0), (3, 1, 132.0), (5, 1, 132.0), (6, 1, 59.0)]</t>
  </si>
  <si>
    <t>[(1, 1, 192.0), (2, 1, 140.0)]</t>
  </si>
  <si>
    <t>[(1, 1, 187.0), (1, 2, 109.0), (2, 1, 182.0)]</t>
  </si>
  <si>
    <t>[(2, 1, 189.0), (2, 2, 84.0), (3, 1, 185.0), (5, 1, 189.0), (6, 1, 147.0)]</t>
  </si>
  <si>
    <t>[(2, 1, 275.0), (4, 1, 263.0), (5, 1, 283.0), (6, 1, 254.0), (7, 1, 283.0), (8, 1, 246.0)]</t>
  </si>
  <si>
    <t>[(2, 1, 119.0), (3, 1, 132.0), (5, 1, 132.0), (5, 2, 132.0), (7, 1, 132.0), (7, 2, 114.0), (8, 1, 118.0)]</t>
  </si>
  <si>
    <t>[(2, 1, 135.0), (3, 1, 112.0), (5, 1, 198.0), (6, 1, 118.0), (7, 1, 198.0), (8, 1, 118.0)]</t>
  </si>
  <si>
    <t>ProblemType</t>
  </si>
  <si>
    <t>Customers</t>
  </si>
  <si>
    <t>Periods</t>
  </si>
  <si>
    <t>MED</t>
  </si>
  <si>
    <t>Instance Type</t>
  </si>
  <si>
    <t>V2</t>
  </si>
  <si>
    <t>V3</t>
  </si>
  <si>
    <t>V4</t>
  </si>
  <si>
    <t>P3</t>
  </si>
  <si>
    <t>P6</t>
  </si>
  <si>
    <t>P9</t>
  </si>
  <si>
    <t>Average of ObjVal</t>
  </si>
  <si>
    <t>Average of ObjBound</t>
  </si>
  <si>
    <t>Average of Gap</t>
  </si>
  <si>
    <t>Average of runtime</t>
  </si>
  <si>
    <t>Count of status</t>
  </si>
  <si>
    <t>EF</t>
  </si>
  <si>
    <t>HetPRP</t>
  </si>
  <si>
    <t>[(2, 1, 224.0), (3, 1, 228.0), (3, 2, 93.0), (4, 1, 228.0), (5, 1, 228.0), (6, 1, 228.0), (6, 2, 224.0), (6, 3, 120.0), (7, 1, 228.0), (7, 2, 228.0), (8, 1, 228.0)]</t>
  </si>
  <si>
    <t>[(1, 1, 354.999993777778), (2, 1, 207.0), (3, 1, 360.0)]</t>
  </si>
  <si>
    <t>[(2, 1, 267.0), (3, 1, 273.0), (4, 1, 276.0), (4, 2, 195.99999002398158), (5, 1, 276.0), (6, 1, 142.0)]</t>
  </si>
  <si>
    <t>[(2, 1, 129.0), (2, 2, 32.0), (3, 1, 132.0), (3, 2, 76.0), (4, 1, 27.0), (5, 1, 132.0), (5, 2, 132.0)]</t>
  </si>
  <si>
    <t>[(2, 1, 185.0), (2, 2, 135.0), (4, 1, 181.0), (5, 1, 189.0), (5, 2, 167.0), (6, 1, 189.0), (7, 1, 189.0), (7, 2, 180.0), (8, 1, 189.0)]</t>
  </si>
  <si>
    <t>[(2, 1, 358.0), (3, 1, 360.0), (4, 1, 360.0), (4, 2, 42.0), (5, 1, 360.0), (6, 1, 359.0)]</t>
  </si>
  <si>
    <t>[(2, 1, 282.0), (3, 1, 106.0), (4, 1, 243.0), (5, 1, 282.0), (5, 2, 168.0), (6, 1, 250.0), (7, 1, 283.0), (7, 2, 99.0), (8, 1, 283.0)]</t>
  </si>
  <si>
    <t>[(2, 1, 132.0), (2, 2, 68.0), (3, 1, 132.0), (3, 2, 96.0000108571382), (5, 1, 132.0), (5, 2, 131.9999891428618), (5, 3, 58.0), (6, 1, 132.0), (7, 1, 132.0), (7, 2, 132.0), (7, 3, 87.0), (8, 1, 132.0)]</t>
  </si>
  <si>
    <t>[(2, 1, 186.0), (2, 2, 60.0), (3, 1, 136.0), (3, 2, 36.0), (4, 1, 178.0), (5, 1, 189.0), (5, 2, 186.0), (6, 1, 189.0), (6, 2, 110.0), (7, 1, 189.0), (7, 2, 189.0), (8, 1, 189.0), (9, 1, 159.0)]</t>
  </si>
  <si>
    <t>[(1, 2, 264.0), (2, 2, 292.0)]</t>
  </si>
  <si>
    <t>[(2, 2, 395.0), (3, 2, 414.0), (5, 2, 414.0), (6, 2, 207.0)]</t>
  </si>
  <si>
    <t>[(2, 2, 171.0), (3, 2, 283.0), (4, 2, 317.0), (5, 2, 326.0), (6, 2, 342.0), (7, 2, 342.0), (8, 2, 336.0), (8, 3, 26.0), (9, 2, 114.0)]</t>
  </si>
  <si>
    <t>[(2, 2, 166.0), (3, 2, 306.0), (4, 2, 291.0), (5, 2, 342.0)]</t>
  </si>
  <si>
    <t>[(1, 2, 498.0), (2, 2, 488.0)]</t>
  </si>
  <si>
    <t>[(1, 2, 532.0000460475064), (2, 2, 269.9999504124235), (3, 2, 119.99995395249339)]</t>
  </si>
  <si>
    <t>[(2, 2, 535.0), (2, 3, 42.0), (3, 2, 270.0), (5, 2, 540.0), (5, 3, 17.0), (6, 2, 435.0)]</t>
  </si>
  <si>
    <t>[(1, 2, 350.0), (2, 2, 370.0)]</t>
  </si>
  <si>
    <t>[(1, 2, 535.0), (2, 2, 297.0), (3, 2, 270.0)]</t>
  </si>
  <si>
    <t>Zeilenbeschriftungen</t>
  </si>
  <si>
    <t>Gesamtergebnis</t>
  </si>
  <si>
    <t>Spaltenbeschriftungen</t>
  </si>
  <si>
    <t>Benders</t>
  </si>
  <si>
    <t>OPTIMAL Ergebnis</t>
  </si>
  <si>
    <t>TIME_LIMIT 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</si>
</sst>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" fontId="0" fillId="0" borderId="0" xfId="0" applyNumberFormat="1"/>
    <xf numFmtId="10" fontId="0" fillId="0" borderId="0" xfId="0" applyNumberFormat="1"/>
    <xf numFmtId="11" fontId="0" fillId="0" borderId="0" xfId="0" applyNumberFormat="1"/>
    <xf numFmtId="0" fontId="0" fillId="0" borderId="0" xfId="0" applyNumberFormat="1"/>
  </cellXfs>
  <cellStyles count="1">
    <cellStyle name="Standard" xfId="0" builtinId="0"/>
  </cellStyles>
  <dxfs count="9">
    <dxf>
      <numFmt numFmtId="14" formatCode="0.00%"/>
    </dxf>
    <dxf>
      <numFmt numFmtId="1" formatCode="0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[All_Models_I3.xlsm]Averages!PivotTable8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Averages!$B$1:$B$3</c:f>
              <c:strCache>
                <c:ptCount val="1"/>
                <c:pt idx="0">
                  <c:v>Benders - Average of ObjVal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Averages!$B$4:$B$16</c:f>
              <c:numCache>
                <c:formatCode>0</c:formatCode>
                <c:ptCount val="9"/>
                <c:pt idx="0">
                  <c:v>34362.574999999924</c:v>
                </c:pt>
                <c:pt idx="1">
                  <c:v>65932.549989077146</c:v>
                </c:pt>
                <c:pt idx="2">
                  <c:v>119009.47479655225</c:v>
                </c:pt>
                <c:pt idx="3">
                  <c:v>46067.311106965768</c:v>
                </c:pt>
                <c:pt idx="4">
                  <c:v>84061.228520268676</c:v>
                </c:pt>
                <c:pt idx="5">
                  <c:v>123528.35978662867</c:v>
                </c:pt>
                <c:pt idx="6">
                  <c:v>59725.2</c:v>
                </c:pt>
                <c:pt idx="7">
                  <c:v>110717</c:v>
                </c:pt>
                <c:pt idx="8">
                  <c:v>167693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F3-4FA1-B65F-850843F3ED7C}"/>
            </c:ext>
          </c:extLst>
        </c:ser>
        <c:ser>
          <c:idx val="1"/>
          <c:order val="1"/>
          <c:tx>
            <c:strRef>
              <c:f>Averages!$C$1:$C$3</c:f>
              <c:strCache>
                <c:ptCount val="1"/>
                <c:pt idx="0">
                  <c:v>Benders - Average of ObjBound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Averages!$C$4:$C$16</c:f>
              <c:numCache>
                <c:formatCode>0</c:formatCode>
                <c:ptCount val="9"/>
                <c:pt idx="0">
                  <c:v>34286.571313239976</c:v>
                </c:pt>
                <c:pt idx="1">
                  <c:v>65405.257724467745</c:v>
                </c:pt>
                <c:pt idx="2">
                  <c:v>113359.24784620899</c:v>
                </c:pt>
                <c:pt idx="3">
                  <c:v>45335.228167278328</c:v>
                </c:pt>
                <c:pt idx="4">
                  <c:v>77409.357954276464</c:v>
                </c:pt>
                <c:pt idx="5">
                  <c:v>114854.96751658068</c:v>
                </c:pt>
                <c:pt idx="6">
                  <c:v>58665.34983655416</c:v>
                </c:pt>
                <c:pt idx="7">
                  <c:v>102486.85979687607</c:v>
                </c:pt>
                <c:pt idx="8">
                  <c:v>150100.60868326601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F3-4FA1-B65F-850843F3ED7C}"/>
            </c:ext>
          </c:extLst>
        </c:ser>
        <c:ser>
          <c:idx val="2"/>
          <c:order val="2"/>
          <c:tx>
            <c:strRef>
              <c:f>Averages!$D$1:$D$3</c:f>
              <c:strCache>
                <c:ptCount val="1"/>
                <c:pt idx="0">
                  <c:v>Benders - Average of Gap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Averages!$D$4:$D$16</c:f>
              <c:numCache>
                <c:formatCode>0.00%</c:formatCode>
                <c:ptCount val="9"/>
                <c:pt idx="0">
                  <c:v>1.7294475766143926E-3</c:v>
                </c:pt>
                <c:pt idx="1">
                  <c:v>6.2571765145696748E-3</c:v>
                </c:pt>
                <c:pt idx="2">
                  <c:v>3.8329204716903299E-2</c:v>
                </c:pt>
                <c:pt idx="3">
                  <c:v>1.2968707286732113E-2</c:v>
                </c:pt>
                <c:pt idx="4">
                  <c:v>6.0960546451475625E-2</c:v>
                </c:pt>
                <c:pt idx="5">
                  <c:v>5.9329251739157915E-2</c:v>
                </c:pt>
                <c:pt idx="6">
                  <c:v>1.5967733122805888E-2</c:v>
                </c:pt>
                <c:pt idx="7">
                  <c:v>6.9585082200445694E-2</c:v>
                </c:pt>
                <c:pt idx="8">
                  <c:v>0.10490832245074901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F3-4FA1-B65F-850843F3ED7C}"/>
            </c:ext>
          </c:extLst>
        </c:ser>
        <c:ser>
          <c:idx val="3"/>
          <c:order val="3"/>
          <c:tx>
            <c:strRef>
              <c:f>Averages!$E$1:$E$3</c:f>
              <c:strCache>
                <c:ptCount val="1"/>
                <c:pt idx="0">
                  <c:v>Benders - Average of runtime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Averages!$E$4:$E$16</c:f>
              <c:numCache>
                <c:formatCode>0</c:formatCode>
                <c:ptCount val="9"/>
                <c:pt idx="0">
                  <c:v>912.60911190509921</c:v>
                </c:pt>
                <c:pt idx="1">
                  <c:v>965.78918242454517</c:v>
                </c:pt>
                <c:pt idx="2">
                  <c:v>2714.3890069127096</c:v>
                </c:pt>
                <c:pt idx="3">
                  <c:v>2134.6132331954122</c:v>
                </c:pt>
                <c:pt idx="4">
                  <c:v>3089.4181954860692</c:v>
                </c:pt>
                <c:pt idx="5">
                  <c:v>2922.7809278488185</c:v>
                </c:pt>
                <c:pt idx="6">
                  <c:v>2991.5982961177842</c:v>
                </c:pt>
                <c:pt idx="7">
                  <c:v>3602.8178285757699</c:v>
                </c:pt>
                <c:pt idx="8">
                  <c:v>3603.0223953723898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F3-4FA1-B65F-850843F3ED7C}"/>
            </c:ext>
          </c:extLst>
        </c:ser>
        <c:ser>
          <c:idx val="4"/>
          <c:order val="4"/>
          <c:tx>
            <c:strRef>
              <c:f>Averages!$F$1:$F$3</c:f>
              <c:strCache>
                <c:ptCount val="1"/>
                <c:pt idx="0">
                  <c:v>EF - Average of ObjVal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Averages!$F$4:$F$16</c:f>
              <c:numCache>
                <c:formatCode>0</c:formatCode>
                <c:ptCount val="9"/>
                <c:pt idx="0">
                  <c:v>34588.6999812828</c:v>
                </c:pt>
                <c:pt idx="1">
                  <c:v>66133.823162329994</c:v>
                </c:pt>
                <c:pt idx="2">
                  <c:v>117105.09879785826</c:v>
                </c:pt>
                <c:pt idx="3">
                  <c:v>46106.644142169185</c:v>
                </c:pt>
                <c:pt idx="4">
                  <c:v>86801.213979748689</c:v>
                </c:pt>
                <c:pt idx="5">
                  <c:v>122099.35964506883</c:v>
                </c:pt>
                <c:pt idx="6">
                  <c:v>60225.199999999953</c:v>
                </c:pt>
                <c:pt idx="7">
                  <c:v>121004.39999999998</c:v>
                </c:pt>
                <c:pt idx="8">
                  <c:v>161822.70000000001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0F3-4FA1-B65F-850843F3ED7C}"/>
            </c:ext>
          </c:extLst>
        </c:ser>
        <c:ser>
          <c:idx val="5"/>
          <c:order val="5"/>
          <c:tx>
            <c:strRef>
              <c:f>Averages!$G$1:$G$3</c:f>
              <c:strCache>
                <c:ptCount val="1"/>
                <c:pt idx="0">
                  <c:v>EF - Average of ObjBound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Averages!$G$4:$G$16</c:f>
              <c:numCache>
                <c:formatCode>0</c:formatCode>
                <c:ptCount val="9"/>
                <c:pt idx="0">
                  <c:v>31598.233534691375</c:v>
                </c:pt>
                <c:pt idx="1">
                  <c:v>60944.912567337495</c:v>
                </c:pt>
                <c:pt idx="2">
                  <c:v>104379.60032490545</c:v>
                </c:pt>
                <c:pt idx="3">
                  <c:v>45458.069653213985</c:v>
                </c:pt>
                <c:pt idx="4">
                  <c:v>77621.893788982459</c:v>
                </c:pt>
                <c:pt idx="5">
                  <c:v>115091.20444463422</c:v>
                </c:pt>
                <c:pt idx="6">
                  <c:v>58562.422974097623</c:v>
                </c:pt>
                <c:pt idx="7">
                  <c:v>102235.55768227922</c:v>
                </c:pt>
                <c:pt idx="8">
                  <c:v>148780.97627009399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0F3-4FA1-B65F-850843F3ED7C}"/>
            </c:ext>
          </c:extLst>
        </c:ser>
        <c:ser>
          <c:idx val="6"/>
          <c:order val="6"/>
          <c:tx>
            <c:strRef>
              <c:f>Averages!$H$1:$H$3</c:f>
              <c:strCache>
                <c:ptCount val="1"/>
                <c:pt idx="0">
                  <c:v>EF - Average of Gap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Averages!$H$4:$H$16</c:f>
              <c:numCache>
                <c:formatCode>0.00%</c:formatCode>
                <c:ptCount val="9"/>
                <c:pt idx="0">
                  <c:v>7.4735923220468972E-2</c:v>
                </c:pt>
                <c:pt idx="1">
                  <c:v>6.9380594795799749E-2</c:v>
                </c:pt>
                <c:pt idx="2">
                  <c:v>0.10072849920266275</c:v>
                </c:pt>
                <c:pt idx="3">
                  <c:v>1.0768685912553757E-2</c:v>
                </c:pt>
                <c:pt idx="4">
                  <c:v>7.6394474781479177E-2</c:v>
                </c:pt>
                <c:pt idx="5">
                  <c:v>4.8420142164826339E-2</c:v>
                </c:pt>
                <c:pt idx="6">
                  <c:v>2.4700878320559439E-2</c:v>
                </c:pt>
                <c:pt idx="7">
                  <c:v>0.14095157213766715</c:v>
                </c:pt>
                <c:pt idx="8">
                  <c:v>8.0592671670327701E-2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0F3-4FA1-B65F-850843F3ED7C}"/>
            </c:ext>
          </c:extLst>
        </c:ser>
        <c:ser>
          <c:idx val="7"/>
          <c:order val="7"/>
          <c:tx>
            <c:strRef>
              <c:f>Averages!$I$1:$I$3</c:f>
              <c:strCache>
                <c:ptCount val="1"/>
                <c:pt idx="0">
                  <c:v>EF - Average of runtime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Averages!$I$4:$I$16</c:f>
              <c:numCache>
                <c:formatCode>0</c:formatCode>
                <c:ptCount val="9"/>
                <c:pt idx="0">
                  <c:v>2702.8330212831506</c:v>
                </c:pt>
                <c:pt idx="1">
                  <c:v>2797.5779750943166</c:v>
                </c:pt>
                <c:pt idx="2">
                  <c:v>3601.6275469064726</c:v>
                </c:pt>
                <c:pt idx="3">
                  <c:v>2074.9225663079151</c:v>
                </c:pt>
                <c:pt idx="4">
                  <c:v>3091.3819242545546</c:v>
                </c:pt>
                <c:pt idx="5">
                  <c:v>2901.5052046298988</c:v>
                </c:pt>
                <c:pt idx="6">
                  <c:v>2955.0708359241503</c:v>
                </c:pt>
                <c:pt idx="7">
                  <c:v>3606.1763204733529</c:v>
                </c:pt>
                <c:pt idx="8">
                  <c:v>3613.2097108364101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0F3-4FA1-B65F-850843F3ED7C}"/>
            </c:ext>
          </c:extLst>
        </c:ser>
        <c:ser>
          <c:idx val="8"/>
          <c:order val="8"/>
          <c:tx>
            <c:strRef>
              <c:f>Averages!$J$1:$J$3</c:f>
              <c:strCache>
                <c:ptCount val="1"/>
                <c:pt idx="0">
                  <c:v>HetPRP - Average of ObjVal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Averages!$J$4:$J$16</c:f>
              <c:numCache>
                <c:formatCode>0</c:formatCode>
                <c:ptCount val="9"/>
                <c:pt idx="0">
                  <c:v>34362.575000000004</c:v>
                </c:pt>
                <c:pt idx="1">
                  <c:v>65894.725000000006</c:v>
                </c:pt>
                <c:pt idx="2">
                  <c:v>116052.49999999999</c:v>
                </c:pt>
                <c:pt idx="3">
                  <c:v>45991.755532501746</c:v>
                </c:pt>
                <c:pt idx="4">
                  <c:v>80793.328541765295</c:v>
                </c:pt>
                <c:pt idx="5">
                  <c:v>120655.13983622981</c:v>
                </c:pt>
                <c:pt idx="6">
                  <c:v>59561.399827381501</c:v>
                </c:pt>
                <c:pt idx="7">
                  <c:v>107115.53321800697</c:v>
                </c:pt>
                <c:pt idx="8">
                  <c:v>159237.70000000001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0F3-4FA1-B65F-850843F3ED7C}"/>
            </c:ext>
          </c:extLst>
        </c:ser>
        <c:ser>
          <c:idx val="9"/>
          <c:order val="9"/>
          <c:tx>
            <c:strRef>
              <c:f>Averages!$K$1:$K$3</c:f>
              <c:strCache>
                <c:ptCount val="1"/>
                <c:pt idx="0">
                  <c:v>HetPRP - Average of ObjBound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Averages!$K$4:$K$16</c:f>
              <c:numCache>
                <c:formatCode>0</c:formatCode>
                <c:ptCount val="9"/>
                <c:pt idx="0">
                  <c:v>34362.575000000004</c:v>
                </c:pt>
                <c:pt idx="1">
                  <c:v>65894.725000000006</c:v>
                </c:pt>
                <c:pt idx="2">
                  <c:v>115482.36315465225</c:v>
                </c:pt>
                <c:pt idx="3">
                  <c:v>45991.465903818418</c:v>
                </c:pt>
                <c:pt idx="4">
                  <c:v>80107.045716571694</c:v>
                </c:pt>
                <c:pt idx="5">
                  <c:v>116047.11181246198</c:v>
                </c:pt>
                <c:pt idx="6">
                  <c:v>58755.353525565683</c:v>
                </c:pt>
                <c:pt idx="7">
                  <c:v>104430.70162804269</c:v>
                </c:pt>
                <c:pt idx="8">
                  <c:v>151333.884825994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0F3-4FA1-B65F-850843F3ED7C}"/>
            </c:ext>
          </c:extLst>
        </c:ser>
        <c:ser>
          <c:idx val="10"/>
          <c:order val="10"/>
          <c:tx>
            <c:strRef>
              <c:f>Averages!$L$1:$L$3</c:f>
              <c:strCache>
                <c:ptCount val="1"/>
                <c:pt idx="0">
                  <c:v>HetPRP - Average of Gap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Averages!$L$4:$L$16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3.7773842350458499E-3</c:v>
                </c:pt>
                <c:pt idx="3">
                  <c:v>4.1175062456300439E-6</c:v>
                </c:pt>
                <c:pt idx="4">
                  <c:v>5.5637396489882788E-3</c:v>
                </c:pt>
                <c:pt idx="5">
                  <c:v>3.344323171389868E-2</c:v>
                </c:pt>
                <c:pt idx="6">
                  <c:v>1.259682507382176E-2</c:v>
                </c:pt>
                <c:pt idx="7">
                  <c:v>2.4880100633782667E-2</c:v>
                </c:pt>
                <c:pt idx="8">
                  <c:v>4.9635326144538403E-2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F3-4FA1-B65F-850843F3ED7C}"/>
            </c:ext>
          </c:extLst>
        </c:ser>
        <c:ser>
          <c:idx val="11"/>
          <c:order val="11"/>
          <c:tx>
            <c:strRef>
              <c:f>Averages!$M$1:$M$3</c:f>
              <c:strCache>
                <c:ptCount val="1"/>
                <c:pt idx="0">
                  <c:v>HetPRP - Average of runtime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Averages!$A$4:$A$16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Averages!$M$4:$M$16</c:f>
              <c:numCache>
                <c:formatCode>0</c:formatCode>
                <c:ptCount val="9"/>
                <c:pt idx="0">
                  <c:v>4.8461236357688904</c:v>
                </c:pt>
                <c:pt idx="1">
                  <c:v>42.329130887985279</c:v>
                </c:pt>
                <c:pt idx="2">
                  <c:v>1126.5833083391196</c:v>
                </c:pt>
                <c:pt idx="3">
                  <c:v>279.47788503434884</c:v>
                </c:pt>
                <c:pt idx="4">
                  <c:v>1427.8140508447375</c:v>
                </c:pt>
                <c:pt idx="5">
                  <c:v>2886.2823111057282</c:v>
                </c:pt>
                <c:pt idx="6">
                  <c:v>3009.7554476110813</c:v>
                </c:pt>
                <c:pt idx="7">
                  <c:v>3600.322649884592</c:v>
                </c:pt>
                <c:pt idx="8">
                  <c:v>3600.57289789785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0F3-4FA1-B65F-850843F3E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40567999"/>
        <c:axId val="740561759"/>
      </c:barChart>
      <c:catAx>
        <c:axId val="74056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561759"/>
        <c:crosses val="autoZero"/>
        <c:auto val="1"/>
        <c:lblAlgn val="ctr"/>
        <c:lblOffset val="100"/>
        <c:noMultiLvlLbl val="0"/>
      </c:catAx>
      <c:valAx>
        <c:axId val="74056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56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[All_Models_I3.xlsm]Solved!PivotTable9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Solved!$B$1:$B$3</c:f>
              <c:strCache>
                <c:ptCount val="1"/>
                <c:pt idx="0">
                  <c:v>OPTIMAL - Benders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Solved!$B$4:$B$16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36-4A6B-BD8E-9B2489E1B7E3}"/>
            </c:ext>
          </c:extLst>
        </c:ser>
        <c:ser>
          <c:idx val="1"/>
          <c:order val="1"/>
          <c:tx>
            <c:strRef>
              <c:f>Solved!$C$1:$C$3</c:f>
              <c:strCache>
                <c:ptCount val="1"/>
                <c:pt idx="0">
                  <c:v>OPTIMAL - 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Solved!$C$4:$C$16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36-4A6B-BD8E-9B2489E1B7E3}"/>
            </c:ext>
          </c:extLst>
        </c:ser>
        <c:ser>
          <c:idx val="2"/>
          <c:order val="2"/>
          <c:tx>
            <c:strRef>
              <c:f>Solved!$D$1:$D$3</c:f>
              <c:strCache>
                <c:ptCount val="1"/>
                <c:pt idx="0">
                  <c:v>OPTIMAL - HetPRP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Solved!$D$4:$D$16</c:f>
              <c:numCache>
                <c:formatCode>General</c:formatCode>
                <c:ptCount val="9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9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36-4A6B-BD8E-9B2489E1B7E3}"/>
            </c:ext>
          </c:extLst>
        </c:ser>
        <c:ser>
          <c:idx val="3"/>
          <c:order val="3"/>
          <c:tx>
            <c:strRef>
              <c:f>Solved!$F$1:$F$3</c:f>
              <c:strCache>
                <c:ptCount val="1"/>
                <c:pt idx="0">
                  <c:v>TIME_LIMIT - Benders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Solved!$F$4:$F$16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36-4A6B-BD8E-9B2489E1B7E3}"/>
            </c:ext>
          </c:extLst>
        </c:ser>
        <c:ser>
          <c:idx val="4"/>
          <c:order val="4"/>
          <c:tx>
            <c:strRef>
              <c:f>Solved!$G$1:$G$3</c:f>
              <c:strCache>
                <c:ptCount val="1"/>
                <c:pt idx="0">
                  <c:v>TIME_LIMIT - EF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Solved!$G$4:$G$16</c:f>
              <c:numCache>
                <c:formatCode>General</c:formatCode>
                <c:ptCount val="9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F36-4A6B-BD8E-9B2489E1B7E3}"/>
            </c:ext>
          </c:extLst>
        </c:ser>
        <c:ser>
          <c:idx val="5"/>
          <c:order val="5"/>
          <c:tx>
            <c:strRef>
              <c:f>Solved!$H$1:$H$3</c:f>
              <c:strCache>
                <c:ptCount val="1"/>
                <c:pt idx="0">
                  <c:v>TIME_LIMIT - HetPRP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Solved!$A$4:$A$16</c:f>
              <c:multiLvlStrCache>
                <c:ptCount val="9"/>
                <c:lvl>
                  <c:pt idx="0">
                    <c:v>P3</c:v>
                  </c:pt>
                  <c:pt idx="1">
                    <c:v>P6</c:v>
                  </c:pt>
                  <c:pt idx="2">
                    <c:v>P9</c:v>
                  </c:pt>
                  <c:pt idx="3">
                    <c:v>P3</c:v>
                  </c:pt>
                  <c:pt idx="4">
                    <c:v>P6</c:v>
                  </c:pt>
                  <c:pt idx="5">
                    <c:v>P9</c:v>
                  </c:pt>
                  <c:pt idx="6">
                    <c:v>P3</c:v>
                  </c:pt>
                  <c:pt idx="7">
                    <c:v>P6</c:v>
                  </c:pt>
                  <c:pt idx="8">
                    <c:v>P9</c:v>
                  </c:pt>
                </c:lvl>
                <c:lvl>
                  <c:pt idx="0">
                    <c:v>V2</c:v>
                  </c:pt>
                  <c:pt idx="3">
                    <c:v>V3</c:v>
                  </c:pt>
                  <c:pt idx="6">
                    <c:v>V4</c:v>
                  </c:pt>
                </c:lvl>
              </c:multiLvlStrCache>
            </c:multiLvlStrRef>
          </c:cat>
          <c:val>
            <c:numRef>
              <c:f>Solved!$H$4:$H$16</c:f>
              <c:numCache>
                <c:formatCode>General</c:formatCode>
                <c:ptCount val="9"/>
                <c:pt idx="2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F36-4A6B-BD8E-9B2489E1B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9653455"/>
        <c:axId val="739651535"/>
      </c:barChart>
      <c:catAx>
        <c:axId val="739653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51535"/>
        <c:crosses val="autoZero"/>
        <c:auto val="1"/>
        <c:lblAlgn val="ctr"/>
        <c:lblOffset val="100"/>
        <c:noMultiLvlLbl val="0"/>
      </c:catAx>
      <c:valAx>
        <c:axId val="739651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9653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2411730</xdr:colOff>
      <xdr:row>31</xdr:row>
      <xdr:rowOff>85725</xdr:rowOff>
    </xdr:from>
    <xdr:to>
      <xdr:col>13</xdr:col>
      <xdr:colOff>1335405</xdr:colOff>
      <xdr:row>47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11033C-A276-A47B-8E4D-515A5ABD0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213360</xdr:colOff>
      <xdr:row>17</xdr:row>
      <xdr:rowOff>144780</xdr:rowOff>
    </xdr:from>
    <xdr:to>
      <xdr:col>14</xdr:col>
      <xdr:colOff>537210</xdr:colOff>
      <xdr:row>33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A08B6-7365-6A31-EA22-30CF93720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57.703631365737" createdVersion="8" refreshedVersion="8" minRefreshableVersion="3" recordCount="126" xr:uid="{1A984EFE-25E1-447A-8621-178A7F331733}">
  <cacheSource type="worksheet">
    <worksheetSource ref="A1:AG127" sheet="benders_bc_ParetoOpt_DelayedSol"/>
  </cacheSource>
  <cacheFields count="33">
    <cacheField name="instance" numFmtId="0">
      <sharedItems/>
    </cacheField>
    <cacheField name="ProblemType" numFmtId="0">
      <sharedItems/>
    </cacheField>
    <cacheField name="Customers" numFmtId="0">
      <sharedItems/>
    </cacheField>
    <cacheField name="Periods" numFmtId="0">
      <sharedItems count="3">
        <s v="P3"/>
        <s v="P9"/>
        <s v="P6"/>
      </sharedItems>
    </cacheField>
    <cacheField name="MED" numFmtId="0">
      <sharedItems count="3">
        <s v="V3"/>
        <s v="V2"/>
        <s v="V4"/>
      </sharedItems>
    </cacheField>
    <cacheField name="Instance Type" numFmtId="0">
      <sharedItems/>
    </cacheField>
    <cacheField name="Model" numFmtId="0">
      <sharedItems count="6">
        <s v="Benders"/>
        <s v="EF"/>
        <s v="HetPRP"/>
        <s v="benders_bc_disaggregate_MW_paretoOpt_delayedPool_rg3_MIPstart" u="1"/>
        <s v="model1_ScenarioPRP_homogeneousFractionalCapCut_capCuts_stoch_integral_MIPstart" u="1"/>
        <s v="model2_HPRP_symmBreakNew3_InputOrderingDemand_USerCuts_newSymmetryBreaking_stoch_MIPstart" u="1"/>
      </sharedItems>
    </cacheField>
    <cacheField name="status" numFmtId="0">
      <sharedItems containsBlank="1" count="3">
        <s v="OPTIMAL"/>
        <s v="TIME_LIMIT"/>
        <m u="1"/>
      </sharedItems>
    </cacheField>
    <cacheField name="ObjVal" numFmtId="0">
      <sharedItems containsSemiMixedTypes="0" containsString="0" containsNumber="1" minValue="20550" maxValue="167693"/>
    </cacheField>
    <cacheField name="ObjBound" numFmtId="0">
      <sharedItems containsSemiMixedTypes="0" containsString="0" containsNumber="1" minValue="20550" maxValue="151333.884825994"/>
    </cacheField>
    <cacheField name="Gap" numFmtId="0">
      <sharedItems containsSemiMixedTypes="0" containsString="0" containsNumber="1" minValue="0" maxValue="0.21966300261932101"/>
    </cacheField>
    <cacheField name="runtime" numFmtId="0">
      <sharedItems containsSemiMixedTypes="0" containsString="0" containsNumber="1" minValue="0.48762822151184099" maxValue="3613.5900466442099"/>
    </cacheField>
    <cacheField name="period_vehicle" numFmtId="0">
      <sharedItems/>
    </cacheField>
    <cacheField name="Q" numFmtId="0">
      <sharedItems containsSemiMixedTypes="0" containsString="0" containsNumber="1" containsInteger="1" minValue="132" maxValue="360"/>
    </cacheField>
    <cacheField name="error" numFmtId="0">
      <sharedItems containsNonDate="0" containsString="0" containsBlank="1"/>
    </cacheField>
    <cacheField name="gamma" numFmtId="0">
      <sharedItems containsSemiMixedTypes="0" containsString="0" containsNumber="1" containsInteger="1" minValue="3" maxValue="3"/>
    </cacheField>
    <cacheField name="fixed_prod_cost" numFmtId="0">
      <sharedItems containsSemiMixedTypes="0" containsString="0" containsNumber="1" minValue="3000" maxValue="12000"/>
    </cacheField>
    <cacheField name="variable_prod_cost" numFmtId="0">
      <sharedItems containsSemiMixedTypes="0" containsString="0" containsNumber="1" minValue="6390" maxValue="67710"/>
    </cacheField>
    <cacheField name="inv_hold_cost" numFmtId="0">
      <sharedItems containsSemiMixedTypes="0" containsString="0" containsNumber="1" minValue="3082" maxValue="34706"/>
    </cacheField>
    <cacheField name="routing_cost" numFmtId="0">
      <sharedItems containsSemiMixedTypes="0" containsString="0" containsNumber="1" minValue="7016" maxValue="55969"/>
    </cacheField>
    <cacheField name="recourse_cost" numFmtId="0">
      <sharedItems containsSemiMixedTypes="0" containsString="0" containsNumber="1" minValue="-1" maxValue="21243.9"/>
    </cacheField>
    <cacheField name="unused_routing_cost" numFmtId="0">
      <sharedItems containsSemiMixedTypes="0" containsString="0" containsNumber="1" minValue="-1" maxValue="5012.8999999999996"/>
    </cacheField>
    <cacheField name="expected_cost_diff" numFmtId="0">
      <sharedItems containsSemiMixedTypes="0" containsString="0" containsNumber="1" minValue="-1" maxValue="20858.2999979997"/>
    </cacheField>
    <cacheField name="benders_cuts" numFmtId="0">
      <sharedItems containsString="0" containsBlank="1" containsNumber="1" containsInteger="1" minValue="6" maxValue="2380"/>
    </cacheField>
    <cacheField name="lfcc" numFmtId="0">
      <sharedItems containsString="0" containsBlank="1" containsNumber="1" containsInteger="1" minValue="0" maxValue="4371"/>
    </cacheField>
    <cacheField name="ufcc" numFmtId="0">
      <sharedItems containsString="0" containsBlank="1" containsNumber="1" containsInteger="1" minValue="0" maxValue="6508"/>
    </cacheField>
    <cacheField name="lsec" numFmtId="0">
      <sharedItems containsString="0" containsBlank="1" containsNumber="1" containsInteger="1" minValue="0" maxValue="1483"/>
    </cacheField>
    <cacheField name="usec" numFmtId="0">
      <sharedItems containsString="0" containsBlank="1" containsNumber="1" containsInteger="1" minValue="0" maxValue="0"/>
    </cacheField>
    <cacheField name="l_st_time" numFmtId="0">
      <sharedItems containsString="0" containsBlank="1" containsNumber="1" minValue="4.5469288382670799E-5" maxValue="2.30916759424042E-4"/>
    </cacheField>
    <cacheField name="u_st_time" numFmtId="0">
      <sharedItems containsString="0" containsBlank="1" containsNumber="1" minValue="6.8481715898665202E-5" maxValue="7.6716085104227302E-4"/>
    </cacheField>
    <cacheField name="l_fcc_time" numFmtId="0">
      <sharedItems containsString="0" containsBlank="1" containsNumber="1" minValue="2.3925906469168599E-3" maxValue="8.1118723589503096E-3"/>
    </cacheField>
    <cacheField name="u_fcc_time" numFmtId="0">
      <sharedItems containsString="0" containsBlank="1" containsNumber="1" minValue="3.0904725754855198E-3" maxValue="1.9319088364032198E-2"/>
    </cacheField>
    <cacheField name="l_benders" numFmtId="0">
      <sharedItems containsString="0" containsBlank="1" containsNumber="1" minValue="2.7586973630465E-2" maxValue="1.24664181575440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">
  <r>
    <s v="MVPRP_C15_P3_V3_I3"/>
    <s v="MVPRP"/>
    <s v="C15"/>
    <x v="0"/>
    <x v="0"/>
    <s v="I3"/>
    <x v="0"/>
    <x v="0"/>
    <n v="30482.9"/>
    <n v="30482.3"/>
    <n v="1.9683166627918699E-5"/>
    <n v="29.865258216857899"/>
    <s v="[]"/>
    <n v="132"/>
    <m/>
    <n v="3"/>
    <n v="3000"/>
    <n v="9960"/>
    <n v="4200"/>
    <n v="13288"/>
    <n v="0"/>
    <n v="0"/>
    <n v="34.9"/>
    <n v="50"/>
    <n v="194"/>
    <n v="0"/>
    <n v="27"/>
    <n v="0"/>
    <n v="7.0434855663870294E-5"/>
    <n v="1.3898346159193299E-4"/>
    <n v="5.0299178826417202E-3"/>
    <n v="6.4914509801581397E-3"/>
    <n v="5.3579752261822003E-2"/>
  </r>
  <r>
    <s v="MVPRP_C30_P9_V3_I3"/>
    <s v="MVPRP"/>
    <s v="C30"/>
    <x v="1"/>
    <x v="0"/>
    <s v="I3"/>
    <x v="0"/>
    <x v="1"/>
    <n v="163040.09999610699"/>
    <n v="145012.062856965"/>
    <n v="0.110574252221217"/>
    <n v="3600.83711099625"/>
    <s v="[]"/>
    <n v="228"/>
    <m/>
    <n v="3"/>
    <n v="12000"/>
    <n v="67710"/>
    <n v="26535"/>
    <n v="50240"/>
    <n v="0"/>
    <n v="0"/>
    <n v="6555.0999971074098"/>
    <n v="157"/>
    <n v="4333"/>
    <n v="0"/>
    <n v="701"/>
    <n v="0"/>
    <n v="9.1811464921466904E-5"/>
    <n v="2.4594969619228999E-4"/>
    <n v="4.4024870774456298E-3"/>
    <n v="8.7564563010619403E-3"/>
    <n v="0.89842634977296298"/>
  </r>
  <r>
    <s v="MVPRP_C20_P6_V2_I3"/>
    <s v="MVPRP"/>
    <s v="C20"/>
    <x v="2"/>
    <x v="1"/>
    <s v="I3"/>
    <x v="0"/>
    <x v="0"/>
    <n v="70886.8"/>
    <n v="70886.8"/>
    <n v="0"/>
    <n v="101.712649106979"/>
    <s v="[]"/>
    <n v="283"/>
    <m/>
    <n v="3"/>
    <n v="6000"/>
    <n v="23820"/>
    <n v="15196"/>
    <n v="18772"/>
    <n v="0"/>
    <n v="0"/>
    <n v="7098.8"/>
    <n v="66"/>
    <n v="232"/>
    <n v="0"/>
    <n v="62"/>
    <n v="0"/>
    <n v="6.4267419201279998E-5"/>
    <n v="1.23074113046722E-4"/>
    <n v="3.88318094713935E-3"/>
    <n v="4.5789575034921801E-3"/>
    <n v="0.14453458786010701"/>
  </r>
  <r>
    <s v="MVPRP_C30_P3_V4_I3"/>
    <s v="MVPRP"/>
    <s v="C30"/>
    <x v="0"/>
    <x v="2"/>
    <s v="I3"/>
    <x v="0"/>
    <x v="0"/>
    <n v="42543"/>
    <n v="42543"/>
    <n v="0"/>
    <n v="550.61598920822098"/>
    <s v="[]"/>
    <n v="171"/>
    <m/>
    <n v="3"/>
    <n v="3000"/>
    <n v="16680"/>
    <n v="6800"/>
    <n v="16063"/>
    <n v="0"/>
    <n v="0"/>
    <n v="0"/>
    <n v="17"/>
    <n v="640"/>
    <n v="0"/>
    <n v="81"/>
    <n v="0"/>
    <n v="1.5336275100708E-4"/>
    <n v="3.4203390369500798E-4"/>
    <n v="6.5941413243611703E-3"/>
    <n v="1.13878139795042E-2"/>
    <n v="0.37837388401939798"/>
  </r>
  <r>
    <s v="MVPRP_C10_P3_V2_I3"/>
    <s v="MVPRP"/>
    <s v="C10"/>
    <x v="0"/>
    <x v="1"/>
    <s v="I3"/>
    <x v="0"/>
    <x v="0"/>
    <n v="22503.8999999997"/>
    <n v="22503.8999999997"/>
    <n v="0"/>
    <n v="1.3024380207061801"/>
    <s v="[]"/>
    <n v="198"/>
    <m/>
    <n v="3"/>
    <n v="3000"/>
    <n v="6390"/>
    <n v="3345"/>
    <n v="7016"/>
    <n v="0"/>
    <n v="0"/>
    <n v="2752.9"/>
    <n v="10"/>
    <n v="13"/>
    <n v="0"/>
    <n v="5"/>
    <n v="0"/>
    <n v="4.9845032069994102E-5"/>
    <n v="9.5414526668595703E-5"/>
    <n v="3.5735895467358999E-3"/>
    <n v="5.1375230153401698E-3"/>
    <n v="2.7586973630465E-2"/>
  </r>
  <r>
    <s v="MVPRP_C40_P3_V3_I3"/>
    <s v="MVPRP"/>
    <s v="C40"/>
    <x v="0"/>
    <x v="0"/>
    <s v="I3"/>
    <x v="0"/>
    <x v="1"/>
    <n v="62384"/>
    <n v="61100.429803347797"/>
    <n v="2.0575310923509602E-2"/>
    <n v="3601.18383789063"/>
    <s v="[]"/>
    <n v="360"/>
    <m/>
    <n v="3"/>
    <n v="3000"/>
    <n v="27660"/>
    <n v="10421"/>
    <n v="21303"/>
    <n v="0"/>
    <n v="0"/>
    <n v="0"/>
    <n v="169"/>
    <n v="1342"/>
    <n v="0"/>
    <n v="204"/>
    <n v="0"/>
    <n v="1.7504647926048001E-4"/>
    <n v="4.5505466077151702E-4"/>
    <n v="6.0463310921028898E-3"/>
    <n v="1.31418735222841E-2"/>
    <n v="0.38438005763364103"/>
  </r>
  <r>
    <s v="MVPRP_C15_P9_V2_I3"/>
    <s v="MVPRP"/>
    <s v="C15"/>
    <x v="1"/>
    <x v="1"/>
    <s v="I3"/>
    <x v="0"/>
    <x v="1"/>
    <n v="112773.899188209"/>
    <n v="110806.082468658"/>
    <n v="1.74492212623308E-2"/>
    <n v="3600.4575526714302"/>
    <s v="[]"/>
    <n v="198"/>
    <m/>
    <n v="3"/>
    <n v="9000"/>
    <n v="40950"/>
    <n v="22130"/>
    <n v="30201"/>
    <n v="0"/>
    <n v="0"/>
    <n v="10492.899188208499"/>
    <n v="265"/>
    <n v="1308"/>
    <n v="0"/>
    <n v="57"/>
    <n v="0"/>
    <n v="5.1034491721917002E-5"/>
    <n v="1.3691284503155999E-4"/>
    <n v="4.08692828353767E-3"/>
    <n v="6.2987849591816499E-3"/>
    <n v="9.0473116685946806E-2"/>
  </r>
  <r>
    <s v="MVPRP_C45_P3_V3_I3"/>
    <s v="MVPRP"/>
    <s v="C45"/>
    <x v="0"/>
    <x v="0"/>
    <s v="I3"/>
    <x v="0"/>
    <x v="1"/>
    <n v="70371.8"/>
    <n v="69207.039452047597"/>
    <n v="1.6551524160990299E-2"/>
    <n v="3601.5124537944798"/>
    <s v="[]"/>
    <n v="360"/>
    <m/>
    <n v="3"/>
    <n v="3000"/>
    <n v="33060"/>
    <n v="11026"/>
    <n v="23268"/>
    <n v="0"/>
    <n v="0"/>
    <n v="17.8"/>
    <n v="72"/>
    <n v="1071"/>
    <n v="0"/>
    <n v="208"/>
    <n v="0"/>
    <n v="1.9348394058938499E-4"/>
    <n v="5.7748857827796297E-4"/>
    <n v="7.4218294105014302E-3"/>
    <n v="1.5720121747484099E-2"/>
    <n v="0.74373177119663803"/>
  </r>
  <r>
    <s v="MVPRP_C35_P6_V4_I3"/>
    <s v="MVPRP"/>
    <s v="C35"/>
    <x v="2"/>
    <x v="2"/>
    <s v="I3"/>
    <x v="0"/>
    <x v="1"/>
    <n v="106336"/>
    <n v="100192.91884095001"/>
    <n v="5.7770474336532901E-2"/>
    <n v="3601.9118187427498"/>
    <s v="[]"/>
    <n v="207"/>
    <m/>
    <n v="3"/>
    <n v="6000"/>
    <n v="42900"/>
    <n v="24413"/>
    <n v="31797"/>
    <n v="0"/>
    <n v="0"/>
    <n v="1226"/>
    <n v="74"/>
    <n v="2948"/>
    <n v="0"/>
    <n v="436"/>
    <n v="0"/>
    <n v="1.0584459682745401E-4"/>
    <n v="2.97839344086742E-4"/>
    <n v="3.8339497848611601E-3"/>
    <n v="9.4123435329289008E-3"/>
    <n v="0.80877539027820899"/>
  </r>
  <r>
    <s v="MVPRP_C25_P6_V2_I3"/>
    <s v="MVPRP"/>
    <s v="C25"/>
    <x v="2"/>
    <x v="1"/>
    <s v="I3"/>
    <x v="0"/>
    <x v="1"/>
    <n v="84269.999956308602"/>
    <n v="82160.830897870997"/>
    <n v="2.5028706058278699E-2"/>
    <n v="3601.5074684619899"/>
    <s v="[]"/>
    <n v="283"/>
    <m/>
    <n v="3"/>
    <n v="6000"/>
    <n v="28380"/>
    <n v="20822"/>
    <n v="21086"/>
    <n v="0"/>
    <n v="0"/>
    <n v="7981.9999563086203"/>
    <n v="585"/>
    <n v="1876"/>
    <n v="0"/>
    <n v="189"/>
    <n v="0"/>
    <n v="5.9311217429971097E-5"/>
    <n v="1.5266388830223099E-4"/>
    <n v="2.3925906469168599E-3"/>
    <n v="6.1288577649922897E-3"/>
    <n v="0.117262003450054"/>
  </r>
  <r>
    <s v="MVPRP_C35_P3_V3_I3"/>
    <s v="MVPRP"/>
    <s v="C35"/>
    <x v="0"/>
    <x v="0"/>
    <s v="I3"/>
    <x v="0"/>
    <x v="1"/>
    <n v="50447"/>
    <n v="49275.299585171"/>
    <n v="2.3226364597083101E-2"/>
    <n v="3601.7021923065199"/>
    <s v="[]"/>
    <n v="276"/>
    <m/>
    <n v="3"/>
    <n v="3000"/>
    <n v="21600"/>
    <n v="7440"/>
    <n v="18407"/>
    <n v="0"/>
    <n v="0"/>
    <n v="0"/>
    <n v="645"/>
    <n v="1513"/>
    <n v="0"/>
    <n v="289"/>
    <n v="0"/>
    <n v="1.3584049908200099E-4"/>
    <n v="3.7757294905988798E-4"/>
    <n v="5.78648593714042E-3"/>
    <n v="1.1704537715839999E-2"/>
    <n v="0.17699226680791599"/>
  </r>
  <r>
    <s v="MVPRP_C10_P6_V2_I3"/>
    <s v="MVPRP"/>
    <s v="C10"/>
    <x v="2"/>
    <x v="1"/>
    <s v="I3"/>
    <x v="0"/>
    <x v="0"/>
    <n v="44267.4"/>
    <n v="44267.4"/>
    <n v="0"/>
    <n v="5.8747179508209202"/>
    <s v="[]"/>
    <n v="198"/>
    <m/>
    <n v="3"/>
    <n v="6000"/>
    <n v="12690"/>
    <n v="9183"/>
    <n v="12959"/>
    <n v="0"/>
    <n v="0"/>
    <n v="3435.4"/>
    <n v="9"/>
    <n v="54"/>
    <n v="0"/>
    <n v="20"/>
    <n v="0"/>
    <n v="5.37399231918215E-5"/>
    <n v="6.8481715898665202E-5"/>
    <n v="3.8133859634399401E-3"/>
    <n v="3.0904725754855198E-3"/>
    <n v="5.9531974792480499E-2"/>
  </r>
  <r>
    <s v="MVPRP_C30_P9_V4_I3"/>
    <s v="MVPRP"/>
    <s v="C30"/>
    <x v="1"/>
    <x v="2"/>
    <s v="I3"/>
    <x v="0"/>
    <x v="1"/>
    <n v="167693"/>
    <n v="150100.60868326601"/>
    <n v="0.10490832245074901"/>
    <n v="3603.0223953723898"/>
    <s v="[]"/>
    <n v="171"/>
    <m/>
    <n v="3"/>
    <n v="12000"/>
    <n v="67710"/>
    <n v="29933"/>
    <n v="55969"/>
    <n v="0"/>
    <n v="0"/>
    <n v="2081"/>
    <n v="56"/>
    <n v="4306"/>
    <n v="0"/>
    <n v="423"/>
    <n v="0"/>
    <n v="8.8472788582106803E-5"/>
    <n v="2.6615086472185498E-4"/>
    <n v="4.1621505683351401E-3"/>
    <n v="9.9091392183320703E-3"/>
    <n v="0.97666636854410205"/>
  </r>
  <r>
    <s v="MVPRP_C10_P3_V3_I3"/>
    <s v="MVPRP"/>
    <s v="C10"/>
    <x v="0"/>
    <x v="0"/>
    <s v="I3"/>
    <x v="0"/>
    <x v="0"/>
    <n v="20550"/>
    <n v="20550"/>
    <n v="0"/>
    <n v="4.3894960880279497"/>
    <s v="[]"/>
    <n v="132"/>
    <m/>
    <n v="3"/>
    <n v="3000"/>
    <n v="6390"/>
    <n v="3082"/>
    <n v="8078"/>
    <n v="0"/>
    <n v="0"/>
    <n v="0"/>
    <n v="13"/>
    <n v="41"/>
    <n v="0"/>
    <n v="11"/>
    <n v="0"/>
    <n v="6.9514126844809096E-5"/>
    <n v="9.6582119760949602E-5"/>
    <n v="3.97361478497905E-3"/>
    <n v="4.5382929242346898E-3"/>
    <n v="3.5870051383972201E-2"/>
  </r>
  <r>
    <s v="MVPRP_C30_P3_V3_I3"/>
    <s v="MVPRP"/>
    <s v="C30"/>
    <x v="0"/>
    <x v="0"/>
    <s v="I3"/>
    <x v="0"/>
    <x v="0"/>
    <n v="41726"/>
    <n v="41726"/>
    <n v="0"/>
    <n v="1121.91365551949"/>
    <s v="[]"/>
    <n v="228"/>
    <m/>
    <n v="3"/>
    <n v="3000"/>
    <n v="16680"/>
    <n v="6255"/>
    <n v="15791"/>
    <n v="0"/>
    <n v="0"/>
    <n v="0"/>
    <n v="491"/>
    <n v="492"/>
    <n v="0"/>
    <n v="142"/>
    <n v="0"/>
    <n v="1.1116094549987499E-4"/>
    <n v="3.0094284270948299E-4"/>
    <n v="5.1196713791042099E-3"/>
    <n v="1.03162260033517E-2"/>
    <n v="0.114764145727437"/>
  </r>
  <r>
    <s v="MVPRP_C20_P3_V3_I3"/>
    <s v="MVPRP"/>
    <s v="C20"/>
    <x v="0"/>
    <x v="0"/>
    <s v="I3"/>
    <x v="0"/>
    <x v="0"/>
    <n v="33320.6"/>
    <n v="33320.6"/>
    <n v="0"/>
    <n v="47.233073472976699"/>
    <s v="[]"/>
    <n v="189"/>
    <m/>
    <n v="3"/>
    <n v="3000"/>
    <n v="12030"/>
    <n v="5255"/>
    <n v="12720"/>
    <n v="0"/>
    <n v="0"/>
    <n v="315.60000000000002"/>
    <n v="54"/>
    <n v="177"/>
    <n v="0"/>
    <n v="35"/>
    <n v="0"/>
    <n v="9.9139442610428303E-5"/>
    <n v="2.2113613134119501E-4"/>
    <n v="4.27278342274572E-3"/>
    <n v="8.7480252811905201E-3"/>
    <n v="8.0938724049350694E-2"/>
  </r>
  <r>
    <s v="MVPRP_C35_P6_V3_I3"/>
    <s v="MVPRP"/>
    <s v="C35"/>
    <x v="2"/>
    <x v="0"/>
    <s v="I3"/>
    <x v="0"/>
    <x v="1"/>
    <n v="106416.5"/>
    <n v="97175.933247746099"/>
    <n v="8.6833966088472506E-2"/>
    <n v="3600.3668332099901"/>
    <s v="[]"/>
    <n v="276"/>
    <m/>
    <n v="3"/>
    <n v="6000"/>
    <n v="42900"/>
    <n v="22375"/>
    <n v="33903"/>
    <n v="0"/>
    <n v="0"/>
    <n v="1238.5"/>
    <n v="192"/>
    <n v="3009"/>
    <n v="0"/>
    <n v="577"/>
    <n v="0"/>
    <n v="1.0017729166311E-4"/>
    <n v="2.62381211482188E-4"/>
    <n v="3.7927055259786499E-3"/>
    <n v="8.4006598803505802E-3"/>
    <n v="0.59514500227841505"/>
  </r>
  <r>
    <s v="MVPRP_C25_P6_V3_I3"/>
    <s v="MVPRP"/>
    <s v="C25"/>
    <x v="2"/>
    <x v="0"/>
    <s v="I3"/>
    <x v="0"/>
    <x v="1"/>
    <n v="81042.099998000005"/>
    <n v="75548.814055922907"/>
    <n v="6.7783114482628803E-2"/>
    <n v="3600.9794929027598"/>
    <s v="[]"/>
    <n v="189"/>
    <m/>
    <n v="3"/>
    <n v="6000"/>
    <n v="28380"/>
    <n v="18553"/>
    <n v="25384"/>
    <n v="0"/>
    <n v="0"/>
    <n v="2725.09999899998"/>
    <n v="449"/>
    <n v="3364"/>
    <n v="0"/>
    <n v="299"/>
    <n v="0"/>
    <n v="7.5217627916619398E-5"/>
    <n v="1.8932205973895699E-4"/>
    <n v="2.96011939225771E-3"/>
    <n v="7.1711750374403097E-3"/>
    <n v="0.221010173173775"/>
  </r>
  <r>
    <s v="MVPRP_C30_P6_V4_I3"/>
    <s v="MVPRP"/>
    <s v="C30"/>
    <x v="2"/>
    <x v="2"/>
    <s v="I3"/>
    <x v="0"/>
    <x v="1"/>
    <n v="87441.1"/>
    <n v="83415.198075822205"/>
    <n v="4.6041300077170201E-2"/>
    <n v="3601.5904810428601"/>
    <s v="[]"/>
    <n v="171"/>
    <m/>
    <n v="3"/>
    <n v="6000"/>
    <n v="33150"/>
    <n v="20150"/>
    <n v="27153"/>
    <n v="0"/>
    <n v="0"/>
    <n v="988.1"/>
    <n v="115"/>
    <n v="2859"/>
    <n v="0"/>
    <n v="301"/>
    <n v="0"/>
    <n v="9.4621748357386003E-5"/>
    <n v="2.6932727047104999E-4"/>
    <n v="4.0339273911242698E-3"/>
    <n v="9.7498641344287602E-3"/>
    <n v="0.53089703684267797"/>
  </r>
  <r>
    <s v="MVPRP_C15_P6_V3_I3"/>
    <s v="MVPRP"/>
    <s v="C15"/>
    <x v="2"/>
    <x v="0"/>
    <s v="I3"/>
    <x v="0"/>
    <x v="1"/>
    <n v="61616.7"/>
    <n v="59821.347136004901"/>
    <n v="2.91374394278682E-2"/>
    <n v="3600.38172626495"/>
    <s v="[]"/>
    <n v="132"/>
    <m/>
    <n v="3"/>
    <n v="6000"/>
    <n v="19800"/>
    <n v="13779"/>
    <n v="21584"/>
    <n v="0"/>
    <n v="0"/>
    <n v="453.7"/>
    <n v="217"/>
    <n v="1207"/>
    <n v="0"/>
    <n v="40"/>
    <n v="0"/>
    <n v="6.3494499632316096E-5"/>
    <n v="1.4417207324115801E-4"/>
    <n v="3.8194817337751201E-3"/>
    <n v="5.8318656270954497E-3"/>
    <n v="6.81529571843702E-2"/>
  </r>
  <r>
    <s v="MVPRP_C50_P3_V3_I3"/>
    <s v="MVPRP"/>
    <s v="C50"/>
    <x v="0"/>
    <x v="0"/>
    <s v="I3"/>
    <x v="0"/>
    <x v="1"/>
    <n v="66153"/>
    <n v="64287.171417048201"/>
    <n v="2.8204746314631601E-2"/>
    <n v="3603.1091153621701"/>
    <s v="[]"/>
    <n v="360"/>
    <m/>
    <n v="3"/>
    <n v="3000"/>
    <n v="29580"/>
    <n v="10714"/>
    <n v="22859"/>
    <n v="0"/>
    <n v="0"/>
    <n v="0"/>
    <n v="37"/>
    <n v="1281"/>
    <n v="0"/>
    <n v="259"/>
    <n v="0"/>
    <n v="2.1001968097584601E-4"/>
    <n v="6.9749787976429803E-4"/>
    <n v="8.1118723589503096E-3"/>
    <n v="1.71233025217844E-2"/>
    <n v="1.2466418157544099"/>
  </r>
  <r>
    <s v="MVPRP_C30_P6_V3_I3"/>
    <s v="MVPRP"/>
    <s v="C30"/>
    <x v="2"/>
    <x v="0"/>
    <s v="I3"/>
    <x v="0"/>
    <x v="1"/>
    <n v="84786.2"/>
    <n v="81289.786939707701"/>
    <n v="4.12379969888063E-2"/>
    <n v="3601.7798182964302"/>
    <s v="[]"/>
    <n v="228"/>
    <m/>
    <n v="3"/>
    <n v="6000"/>
    <n v="33150"/>
    <n v="21228"/>
    <n v="23548"/>
    <n v="0"/>
    <n v="0"/>
    <n v="860.2"/>
    <n v="110"/>
    <n v="2624"/>
    <n v="0"/>
    <n v="256"/>
    <n v="0"/>
    <n v="8.2617065706675695E-5"/>
    <n v="2.2755154789315599E-4"/>
    <n v="3.9704947795682699E-3"/>
    <n v="7.8462951297805106E-3"/>
    <n v="0.42690064377254899"/>
  </r>
  <r>
    <s v="MVPRP_C25_P3_V2_I3"/>
    <s v="MVPRP"/>
    <s v="C25"/>
    <x v="0"/>
    <x v="1"/>
    <s v="I3"/>
    <x v="0"/>
    <x v="1"/>
    <n v="43946.8"/>
    <n v="43642.785252960202"/>
    <n v="6.9177903064575703E-3"/>
    <n v="3600.23275327683"/>
    <s v="[]"/>
    <n v="283"/>
    <m/>
    <n v="3"/>
    <n v="3000"/>
    <n v="14340"/>
    <n v="6727"/>
    <n v="12987"/>
    <n v="0"/>
    <n v="0"/>
    <n v="6892.8"/>
    <n v="2380"/>
    <n v="1095"/>
    <n v="0"/>
    <n v="157"/>
    <n v="0"/>
    <n v="7.4492380077503004E-5"/>
    <n v="1.9373441975513599E-4"/>
    <n v="2.8051024915388E-3"/>
    <n v="7.1729886601230699E-3"/>
    <n v="5.2579532651340299E-2"/>
  </r>
  <r>
    <s v="MVPRP_C15_P6_V2_I3"/>
    <s v="MVPRP"/>
    <s v="C15"/>
    <x v="2"/>
    <x v="1"/>
    <s v="I3"/>
    <x v="0"/>
    <x v="0"/>
    <n v="64306"/>
    <n v="64306"/>
    <n v="0"/>
    <n v="154.06189417839099"/>
    <s v="[]"/>
    <n v="198"/>
    <m/>
    <n v="3"/>
    <n v="6000"/>
    <n v="19800"/>
    <n v="14664"/>
    <n v="18013"/>
    <n v="0"/>
    <n v="0"/>
    <n v="5829"/>
    <n v="112"/>
    <n v="333"/>
    <n v="0"/>
    <n v="38"/>
    <n v="0"/>
    <n v="5.54391850975796E-5"/>
    <n v="1.4582752062121499E-4"/>
    <n v="3.7073812737370201E-3"/>
    <n v="5.9712841809336798E-3"/>
    <n v="6.5882694336675804E-2"/>
  </r>
  <r>
    <s v="MVPRP_C20_P3_V2_I3"/>
    <s v="MVPRP"/>
    <s v="C20"/>
    <x v="0"/>
    <x v="1"/>
    <s v="I3"/>
    <x v="0"/>
    <x v="0"/>
    <n v="37786.699999999997"/>
    <n v="37786.699999999997"/>
    <n v="0"/>
    <n v="40.773032426834099"/>
    <s v="[]"/>
    <n v="283"/>
    <m/>
    <n v="3"/>
    <n v="3000"/>
    <n v="12030"/>
    <n v="5375"/>
    <n v="11840"/>
    <n v="0"/>
    <n v="0"/>
    <n v="5541.7"/>
    <n v="254"/>
    <n v="98"/>
    <n v="0"/>
    <n v="60"/>
    <n v="0"/>
    <n v="6.5836763601698594E-5"/>
    <n v="1.4464098130357201E-4"/>
    <n v="3.0224875857432702E-3"/>
    <n v="4.6900989595523596E-3"/>
    <n v="4.5157158042330198E-2"/>
  </r>
  <r>
    <s v="MVPRP_C10_P6_V3_I3"/>
    <s v="MVPRP"/>
    <s v="C10"/>
    <x v="2"/>
    <x v="0"/>
    <s v="I3"/>
    <x v="0"/>
    <x v="0"/>
    <n v="42064"/>
    <n v="42064"/>
    <n v="0"/>
    <n v="20.329689979553201"/>
    <s v="[]"/>
    <n v="132"/>
    <m/>
    <n v="3"/>
    <n v="6000"/>
    <n v="12690"/>
    <n v="8865"/>
    <n v="14509"/>
    <n v="0"/>
    <n v="0"/>
    <n v="0"/>
    <n v="36"/>
    <n v="82"/>
    <n v="0"/>
    <n v="17"/>
    <n v="0"/>
    <n v="5.1698833703994802E-5"/>
    <n v="8.7602638903959299E-5"/>
    <n v="3.7253204878274502E-3"/>
    <n v="4.04881496788192E-3"/>
    <n v="4.6063589013141101E-2"/>
  </r>
  <r>
    <s v="MVPRP_C50_P3_V4_I3"/>
    <s v="MVPRP"/>
    <s v="C50"/>
    <x v="0"/>
    <x v="2"/>
    <s v="I3"/>
    <x v="0"/>
    <x v="1"/>
    <n v="68700"/>
    <n v="66172.588977762804"/>
    <n v="3.6789097849158799E-2"/>
    <n v="3604.0687408447302"/>
    <s v="[]"/>
    <n v="270"/>
    <m/>
    <n v="3"/>
    <n v="3000"/>
    <n v="29580"/>
    <n v="11443"/>
    <n v="24677"/>
    <n v="0"/>
    <n v="0"/>
    <n v="0"/>
    <n v="23"/>
    <n v="1395"/>
    <n v="0"/>
    <n v="211"/>
    <n v="0"/>
    <n v="2.30916759424042E-4"/>
    <n v="7.6716085104227302E-4"/>
    <n v="8.0823944165156498E-3"/>
    <n v="1.9319088364032198E-2"/>
    <n v="1.0903419711373099"/>
  </r>
  <r>
    <s v="MVPRP_C15_P3_V2_I3"/>
    <s v="MVPRP"/>
    <s v="C15"/>
    <x v="0"/>
    <x v="1"/>
    <s v="I3"/>
    <x v="0"/>
    <x v="0"/>
    <n v="33212.9"/>
    <n v="33212.9"/>
    <n v="0"/>
    <n v="8.1282238960266096"/>
    <s v="[]"/>
    <n v="198"/>
    <m/>
    <n v="3"/>
    <n v="3000"/>
    <n v="9960"/>
    <n v="4700"/>
    <n v="11027"/>
    <n v="0"/>
    <n v="0"/>
    <n v="4525.8999999999996"/>
    <n v="12"/>
    <n v="92"/>
    <n v="0"/>
    <n v="16"/>
    <n v="0"/>
    <n v="8.8858372956803701E-5"/>
    <n v="1.24859625054884E-4"/>
    <n v="5.9643916869431398E-3"/>
    <n v="5.3030634826084404E-3"/>
    <n v="6.2002954811885398E-2"/>
  </r>
  <r>
    <s v="MVPRP_C40_P3_V4_I3"/>
    <s v="MVPRP"/>
    <s v="C40"/>
    <x v="0"/>
    <x v="2"/>
    <s v="I3"/>
    <x v="0"/>
    <x v="1"/>
    <n v="63601"/>
    <n v="62509.358040366198"/>
    <n v="1.71639118824197E-2"/>
    <n v="3601.1664106845901"/>
    <s v="[]"/>
    <n v="270"/>
    <m/>
    <n v="3"/>
    <n v="3000"/>
    <n v="27660"/>
    <n v="11056"/>
    <n v="21885"/>
    <n v="0"/>
    <n v="0"/>
    <n v="0"/>
    <n v="6"/>
    <n v="1318"/>
    <n v="0"/>
    <n v="110"/>
    <n v="0"/>
    <n v="1.8554218744827499E-4"/>
    <n v="5.23793743031235E-4"/>
    <n v="7.4484646320343E-3"/>
    <n v="1.5709210262820499E-2"/>
    <n v="0.61707026511430696"/>
  </r>
  <r>
    <s v="MVPRP_C25_P3_V3_I3"/>
    <s v="MVPRP"/>
    <s v="C25"/>
    <x v="0"/>
    <x v="0"/>
    <s v="I3"/>
    <x v="0"/>
    <x v="1"/>
    <n v="39170.499962691902"/>
    <n v="38068.213247890402"/>
    <n v="2.81407364177465E-2"/>
    <n v="3600.6100161075601"/>
    <s v="[]"/>
    <n v="189"/>
    <m/>
    <n v="3"/>
    <n v="3000"/>
    <n v="14340"/>
    <n v="6770"/>
    <n v="14039"/>
    <n v="0"/>
    <n v="0"/>
    <n v="1021.4999626919"/>
    <n v="714"/>
    <n v="1330"/>
    <n v="0"/>
    <n v="112"/>
    <n v="0"/>
    <n v="1.09375174342501E-4"/>
    <n v="2.5291107653818202E-4"/>
    <n v="4.6618199472099097E-3"/>
    <n v="9.1960879171749197E-3"/>
    <n v="8.0984371883381298E-2"/>
  </r>
  <r>
    <s v="MVPRP_C20_P6_V3_I3"/>
    <s v="MVPRP"/>
    <s v="C20"/>
    <x v="2"/>
    <x v="0"/>
    <s v="I3"/>
    <x v="0"/>
    <x v="1"/>
    <n v="67592.7996438806"/>
    <n v="65236.356430451699"/>
    <n v="3.4862340749962598E-2"/>
    <n v="3601.0754940509801"/>
    <s v="[]"/>
    <n v="189"/>
    <m/>
    <n v="3"/>
    <n v="6000"/>
    <n v="23820"/>
    <n v="16030"/>
    <n v="20820"/>
    <n v="0"/>
    <n v="0"/>
    <n v="922.79964610603599"/>
    <n v="302"/>
    <n v="1659"/>
    <n v="0"/>
    <n v="125"/>
    <n v="0"/>
    <n v="5.89498208493603E-5"/>
    <n v="1.65443482741811E-4"/>
    <n v="2.9299144379275601E-3"/>
    <n v="6.5953725203525401E-3"/>
    <n v="0.124649784781716"/>
  </r>
  <r>
    <s v="MVPRP_C20_P9_V3_I3"/>
    <s v="MVPRP"/>
    <s v="C20"/>
    <x v="1"/>
    <x v="0"/>
    <s v="I3"/>
    <x v="0"/>
    <x v="1"/>
    <n v="119834.699609213"/>
    <n v="114187.955211354"/>
    <n v="4.7121112801831101E-2"/>
    <n v="3601.313185215"/>
    <s v="[]"/>
    <n v="189"/>
    <m/>
    <n v="3"/>
    <n v="9000.0005414480602"/>
    <n v="48120"/>
    <n v="23934.999067759101"/>
    <n v="35825.000000006403"/>
    <n v="0"/>
    <n v="0"/>
    <n v="2954.7"/>
    <n v="364"/>
    <n v="2672"/>
    <n v="0"/>
    <n v="174"/>
    <n v="0"/>
    <n v="6.2557361265830596E-5"/>
    <n v="1.7632650174306699E-4"/>
    <n v="3.8352458457636602E-3"/>
    <n v="7.9142885281610603E-3"/>
    <n v="0.202814919307894"/>
  </r>
  <r>
    <s v="MVPRP_C40_P6_V3_I3"/>
    <s v="MVPRP"/>
    <s v="C40"/>
    <x v="2"/>
    <x v="0"/>
    <s v="I3"/>
    <x v="0"/>
    <x v="1"/>
    <n v="144910.29999999999"/>
    <n v="120729.267870102"/>
    <n v="0.166868967422591"/>
    <n v="3601.0143136978199"/>
    <s v="[]"/>
    <n v="360"/>
    <m/>
    <n v="3"/>
    <n v="6000"/>
    <n v="55170"/>
    <n v="32123"/>
    <n v="34552"/>
    <n v="0"/>
    <n v="0"/>
    <n v="17065.3"/>
    <n v="150"/>
    <n v="3492"/>
    <n v="0"/>
    <n v="1483"/>
    <n v="0"/>
    <n v="1.16017524508436E-4"/>
    <n v="2.9393787578427298E-4"/>
    <n v="2.9860065582601801E-3"/>
    <n v="7.9714258746511907E-3"/>
    <n v="0.957750826615554"/>
  </r>
  <r>
    <s v="MVPRP_C25_P9_V2_I3"/>
    <s v="MVPRP"/>
    <s v="C25"/>
    <x v="1"/>
    <x v="1"/>
    <s v="I3"/>
    <x v="0"/>
    <x v="1"/>
    <n v="160669.299998"/>
    <n v="144393.161269359"/>
    <n v="0.101302107676101"/>
    <n v="3602.2785103321098"/>
    <s v="[]"/>
    <n v="283"/>
    <m/>
    <n v="3"/>
    <n v="12000"/>
    <n v="59880"/>
    <n v="30292"/>
    <n v="37639"/>
    <n v="0"/>
    <n v="0"/>
    <n v="20858.2999979997"/>
    <n v="358"/>
    <n v="4371"/>
    <n v="0"/>
    <n v="576"/>
    <n v="0"/>
    <n v="7.4681074807784301E-5"/>
    <n v="1.7343692746521101E-4"/>
    <n v="3.35145147268523E-3"/>
    <n v="6.5913187821937998E-3"/>
    <n v="0.403654484038657"/>
  </r>
  <r>
    <s v="MVPRP_C40_P6_V4_I3"/>
    <s v="MVPRP"/>
    <s v="C40"/>
    <x v="2"/>
    <x v="2"/>
    <s v="I3"/>
    <x v="0"/>
    <x v="1"/>
    <n v="138373.9"/>
    <n v="123852.46247385599"/>
    <n v="0.104943472187634"/>
    <n v="3604.9511859416998"/>
    <s v="[]"/>
    <n v="270"/>
    <m/>
    <n v="3"/>
    <n v="6000"/>
    <n v="55170"/>
    <n v="29719"/>
    <n v="42329"/>
    <n v="0"/>
    <n v="0"/>
    <n v="5155.8999999999996"/>
    <n v="39"/>
    <n v="3060"/>
    <n v="0"/>
    <n v="962"/>
    <n v="0"/>
    <n v="1.1852119150839801E-4"/>
    <n v="3.3412921845892701E-4"/>
    <n v="2.9964313679860799E-3"/>
    <n v="9.0837160237294892E-3"/>
    <n v="1.2290205680407"/>
  </r>
  <r>
    <s v="MVPRP_C15_P9_V3_I3"/>
    <s v="MVPRP"/>
    <s v="C15"/>
    <x v="1"/>
    <x v="0"/>
    <s v="I3"/>
    <x v="0"/>
    <x v="1"/>
    <n v="110259.09992935001"/>
    <n v="106660.24550762901"/>
    <n v="3.2639976419422498E-2"/>
    <n v="3600.5841038227099"/>
    <s v="[]"/>
    <n v="132"/>
    <m/>
    <n v="3"/>
    <n v="9000"/>
    <n v="40950"/>
    <n v="21120"/>
    <n v="37495"/>
    <n v="0"/>
    <n v="0"/>
    <n v="1694.0999293499899"/>
    <n v="187"/>
    <n v="2026"/>
    <n v="0"/>
    <n v="50"/>
    <n v="0"/>
    <n v="6.3993752639064606E-5"/>
    <n v="1.56885619673081E-4"/>
    <n v="4.5771645214743202E-3"/>
    <n v="7.2814243817802497E-3"/>
    <n v="0.15995859902752299"/>
  </r>
  <r>
    <s v="MVPRP_C35_P3_V4_I3"/>
    <s v="MVPRP"/>
    <s v="C35"/>
    <x v="0"/>
    <x v="2"/>
    <s v="I3"/>
    <x v="0"/>
    <x v="1"/>
    <n v="51475"/>
    <n v="51001.771277534797"/>
    <n v="9.1933700333209408E-3"/>
    <n v="3600.2168905735002"/>
    <s v="[]"/>
    <n v="207"/>
    <m/>
    <n v="3"/>
    <n v="3000"/>
    <n v="21600"/>
    <n v="8387"/>
    <n v="18488"/>
    <n v="0"/>
    <n v="0"/>
    <n v="0"/>
    <n v="22"/>
    <n v="1236"/>
    <n v="0"/>
    <n v="106"/>
    <n v="0"/>
    <n v="1.5361813025745901E-4"/>
    <n v="4.1290862636053199E-4"/>
    <n v="6.7324471321834898E-3"/>
    <n v="1.33371753207708E-2"/>
    <n v="0.50661553168783402"/>
  </r>
  <r>
    <s v="MVPRP_C20_P9_V2_I3"/>
    <s v="MVPRP"/>
    <s v="C20"/>
    <x v="1"/>
    <x v="1"/>
    <s v="I3"/>
    <x v="0"/>
    <x v="1"/>
    <n v="126049.2"/>
    <n v="121692.247646819"/>
    <n v="3.4565489929181403E-2"/>
    <n v="3601.5265693664601"/>
    <s v="[]"/>
    <n v="283"/>
    <m/>
    <n v="3"/>
    <n v="9000"/>
    <n v="48120"/>
    <n v="25167"/>
    <n v="31545"/>
    <n v="0"/>
    <n v="0"/>
    <n v="12217.2"/>
    <n v="240"/>
    <n v="2831"/>
    <n v="0"/>
    <n v="189"/>
    <n v="0"/>
    <n v="6.0193250231454397E-5"/>
    <n v="1.47872005212299E-4"/>
    <n v="3.4844142522984902E-3"/>
    <n v="6.0370218144373102E-3"/>
    <n v="0.17067567763790001"/>
  </r>
  <r>
    <s v="MVPRP_C45_P3_V4_I3"/>
    <s v="MVPRP"/>
    <s v="C45"/>
    <x v="0"/>
    <x v="2"/>
    <s v="I3"/>
    <x v="0"/>
    <x v="1"/>
    <n v="72307"/>
    <n v="71100.030887107001"/>
    <n v="1.669228584913E-2"/>
    <n v="3601.9234492778801"/>
    <s v="[]"/>
    <n v="270"/>
    <m/>
    <n v="3"/>
    <n v="3000"/>
    <n v="33060"/>
    <n v="12283"/>
    <n v="23964"/>
    <n v="0"/>
    <n v="0"/>
    <n v="0"/>
    <n v="32"/>
    <n v="1461"/>
    <n v="0"/>
    <n v="192"/>
    <n v="0"/>
    <n v="1.93426507780451E-4"/>
    <n v="6.38782978057861E-4"/>
    <n v="7.4639544195058399E-3"/>
    <n v="1.7328218208937499E-2"/>
    <n v="0.87745035395902804"/>
  </r>
  <r>
    <s v="MVPRP_C10_P9_V3_I3"/>
    <s v="MVPRP"/>
    <s v="C10"/>
    <x v="1"/>
    <x v="0"/>
    <s v="I3"/>
    <x v="0"/>
    <x v="0"/>
    <n v="73128.099399474406"/>
    <n v="73128.099399474406"/>
    <n v="0"/>
    <n v="210.355812311172"/>
    <s v="[]"/>
    <n v="132"/>
    <m/>
    <n v="3"/>
    <n v="9000"/>
    <n v="26370"/>
    <n v="14133"/>
    <n v="22644.999992377201"/>
    <n v="0"/>
    <n v="0"/>
    <n v="980.09940709723799"/>
    <n v="98"/>
    <n v="181"/>
    <n v="0"/>
    <n v="24"/>
    <n v="0"/>
    <n v="4.5469288382670799E-5"/>
    <n v="1.13518424391556E-4"/>
    <n v="3.5863181395736602E-3"/>
    <n v="5.6091496298630297E-3"/>
    <n v="6.2470982241076098E-2"/>
  </r>
  <r>
    <s v="MVPRP_C10_P9_V2_I3"/>
    <s v="MVPRP"/>
    <s v="C10"/>
    <x v="1"/>
    <x v="1"/>
    <s v="I3"/>
    <x v="0"/>
    <x v="0"/>
    <n v="76545.5"/>
    <n v="76545.5"/>
    <n v="0"/>
    <n v="53.293395280837998"/>
    <s v="[]"/>
    <n v="198"/>
    <m/>
    <n v="3"/>
    <n v="9000"/>
    <n v="26370"/>
    <n v="14099"/>
    <n v="21445"/>
    <n v="0"/>
    <n v="0"/>
    <n v="5631.5"/>
    <n v="96"/>
    <n v="145"/>
    <n v="0"/>
    <n v="21"/>
    <n v="0"/>
    <n v="4.9420128836332598E-5"/>
    <n v="1.12511396291381E-4"/>
    <n v="3.5787792232712498E-3"/>
    <n v="5.4725520053313199E-3"/>
    <n v="5.9335243701934798E-2"/>
  </r>
  <r>
    <s v="MVPRP_C25_P9_V3_I3"/>
    <s v="MVPRP"/>
    <s v="C25"/>
    <x v="1"/>
    <x v="0"/>
    <s v="I3"/>
    <x v="0"/>
    <x v="1"/>
    <n v="151379.79999899899"/>
    <n v="135286.47460748101"/>
    <n v="0.106310917253319"/>
    <n v="3600.8144268989599"/>
    <s v="[]"/>
    <n v="189"/>
    <m/>
    <n v="3"/>
    <n v="12000"/>
    <n v="59880"/>
    <n v="26684"/>
    <n v="45327"/>
    <n v="0"/>
    <n v="0"/>
    <n v="7488.7999989989403"/>
    <n v="285"/>
    <n v="4209"/>
    <n v="0"/>
    <n v="412"/>
    <n v="0"/>
    <n v="8.3041556773741606E-5"/>
    <n v="2.1374003604205001E-4"/>
    <n v="3.5388929129021099E-3"/>
    <n v="8.5537339343202106E-3"/>
    <n v="0.54201578539471296"/>
  </r>
  <r>
    <s v="MVPRP_C15_P3_V3_I3"/>
    <s v="MVPRP"/>
    <s v="C15"/>
    <x v="0"/>
    <x v="0"/>
    <s v="I3"/>
    <x v="1"/>
    <x v="0"/>
    <n v="30482.9"/>
    <n v="30482.9"/>
    <n v="0"/>
    <n v="39.146364450454698"/>
    <s v="[]"/>
    <n v="132"/>
    <m/>
    <n v="3"/>
    <n v="3000"/>
    <n v="9960"/>
    <n v="4200"/>
    <n v="13288"/>
    <n v="104.7"/>
    <n v="69.800000000000097"/>
    <n v="34.900000000000198"/>
    <n v="229"/>
    <n v="0"/>
    <n v="17"/>
    <n v="0"/>
    <m/>
    <m/>
    <m/>
    <m/>
    <m/>
    <m/>
  </r>
  <r>
    <s v="MVPRP_C30_P9_V3_I3"/>
    <s v="MVPRP"/>
    <s v="C30"/>
    <x v="1"/>
    <x v="0"/>
    <s v="I3"/>
    <x v="1"/>
    <x v="1"/>
    <n v="162683.299076"/>
    <n v="144172.674292554"/>
    <n v="0.11378319033718701"/>
    <n v="3600.79955863953"/>
    <s v="[]"/>
    <n v="228"/>
    <m/>
    <n v="3"/>
    <n v="12000"/>
    <n v="67710"/>
    <n v="27404"/>
    <n v="50571"/>
    <n v="6713.9990734225103"/>
    <n v="1715.6999974226701"/>
    <n v="4998.2990759998402"/>
    <n v="1845"/>
    <n v="0"/>
    <n v="414"/>
    <n v="0"/>
    <m/>
    <m/>
    <m/>
    <m/>
    <m/>
    <m/>
  </r>
  <r>
    <s v="MVPRP_C20_P6_V2_I3"/>
    <s v="MVPRP"/>
    <s v="C20"/>
    <x v="2"/>
    <x v="1"/>
    <s v="I3"/>
    <x v="1"/>
    <x v="1"/>
    <n v="70886.795148768797"/>
    <n v="65480.681586551902"/>
    <n v="7.6264042560693607E-2"/>
    <n v="3601.42554068565"/>
    <s v="[]"/>
    <n v="283"/>
    <m/>
    <n v="3"/>
    <n v="6000"/>
    <n v="23820"/>
    <n v="15196"/>
    <n v="18772"/>
    <n v="8975.9946224978303"/>
    <n v="1877.19947372912"/>
    <n v="7098.7951487686996"/>
    <n v="794"/>
    <n v="0"/>
    <n v="1215"/>
    <n v="0"/>
    <m/>
    <m/>
    <m/>
    <m/>
    <m/>
    <m/>
  </r>
  <r>
    <s v="MVPRP_C30_P3_V4_I3"/>
    <s v="MVPRP"/>
    <s v="C30"/>
    <x v="0"/>
    <x v="2"/>
    <s v="I3"/>
    <x v="1"/>
    <x v="0"/>
    <n v="42543"/>
    <n v="42543"/>
    <n v="0"/>
    <n v="368.929297685623"/>
    <s v="[]"/>
    <n v="171"/>
    <m/>
    <n v="3"/>
    <n v="3000"/>
    <n v="16680"/>
    <n v="6800"/>
    <n v="16063"/>
    <n v="0"/>
    <n v="0"/>
    <n v="0"/>
    <n v="439"/>
    <n v="0"/>
    <n v="126"/>
    <n v="0"/>
    <m/>
    <m/>
    <m/>
    <m/>
    <m/>
    <m/>
  </r>
  <r>
    <s v="MVPRP_C10_P3_V2_I3"/>
    <s v="MVPRP"/>
    <s v="C10"/>
    <x v="0"/>
    <x v="1"/>
    <s v="I3"/>
    <x v="1"/>
    <x v="0"/>
    <n v="22503.899925131202"/>
    <n v="22503.899925131202"/>
    <n v="0"/>
    <n v="8.9799599647522008"/>
    <s v="[]"/>
    <n v="198"/>
    <m/>
    <n v="3"/>
    <n v="3000"/>
    <n v="6390"/>
    <n v="3345"/>
    <n v="7016"/>
    <n v="3454.4998853796101"/>
    <n v="701.59996024838097"/>
    <n v="2752.8999251312298"/>
    <n v="61"/>
    <n v="0"/>
    <n v="53"/>
    <n v="0"/>
    <m/>
    <m/>
    <m/>
    <m/>
    <m/>
    <m/>
  </r>
  <r>
    <s v="MVPRP_C40_P3_V3_I3"/>
    <s v="MVPRP"/>
    <s v="C40"/>
    <x v="0"/>
    <x v="0"/>
    <s v="I3"/>
    <x v="1"/>
    <x v="1"/>
    <n v="62226"/>
    <n v="61274.7552416377"/>
    <n v="1.52869340526835E-2"/>
    <n v="3603.1847927570302"/>
    <s v="[]"/>
    <n v="360"/>
    <m/>
    <n v="3"/>
    <n v="3000"/>
    <n v="27660"/>
    <n v="9974"/>
    <n v="21592"/>
    <n v="0"/>
    <n v="0"/>
    <n v="0"/>
    <n v="1065"/>
    <n v="0"/>
    <n v="332"/>
    <n v="0"/>
    <m/>
    <m/>
    <m/>
    <m/>
    <m/>
    <m/>
  </r>
  <r>
    <s v="MVPRP_C15_P9_V2_I3"/>
    <s v="MVPRP"/>
    <s v="C15"/>
    <x v="1"/>
    <x v="1"/>
    <s v="I3"/>
    <x v="1"/>
    <x v="1"/>
    <n v="113981.29645675801"/>
    <n v="102462.288912769"/>
    <n v="0.101060506434568"/>
    <n v="3602.2378308773"/>
    <s v="[]"/>
    <n v="198"/>
    <m/>
    <n v="3"/>
    <n v="9000"/>
    <n v="40950"/>
    <n v="22629"/>
    <n v="31289"/>
    <n v="14024.9949658064"/>
    <n v="3911.6985090440598"/>
    <n v="10113.2964567624"/>
    <n v="1258"/>
    <n v="0"/>
    <n v="167"/>
    <n v="0"/>
    <m/>
    <m/>
    <m/>
    <m/>
    <m/>
    <m/>
  </r>
  <r>
    <s v="MVPRP_C45_P3_V3_I3"/>
    <s v="MVPRP"/>
    <s v="C45"/>
    <x v="0"/>
    <x v="0"/>
    <s v="I3"/>
    <x v="1"/>
    <x v="1"/>
    <n v="70749.8"/>
    <n v="69035.973901652105"/>
    <n v="2.4223758913068699E-2"/>
    <n v="3606.0490489006002"/>
    <s v="[]"/>
    <n v="360"/>
    <m/>
    <n v="3"/>
    <n v="3000"/>
    <n v="33060"/>
    <n v="11040"/>
    <n v="23632"/>
    <n v="53.399999999999601"/>
    <n v="35.599999999999902"/>
    <n v="17.799999999999599"/>
    <n v="1154"/>
    <n v="0"/>
    <n v="634"/>
    <n v="0"/>
    <m/>
    <m/>
    <m/>
    <m/>
    <m/>
    <m/>
  </r>
  <r>
    <s v="MVPRP_C35_P6_V4_I3"/>
    <s v="MVPRP"/>
    <s v="C35"/>
    <x v="2"/>
    <x v="2"/>
    <s v="I3"/>
    <x v="1"/>
    <x v="1"/>
    <n v="124048.3"/>
    <n v="99834.496609706301"/>
    <n v="0.19519657577164401"/>
    <n v="3603.4668841362"/>
    <s v="[]"/>
    <n v="207"/>
    <m/>
    <n v="3"/>
    <n v="6000"/>
    <n v="42900"/>
    <n v="22805"/>
    <n v="49209"/>
    <n v="4334.1000000000004"/>
    <n v="1199.8"/>
    <n v="3134.3"/>
    <n v="2359"/>
    <n v="0"/>
    <n v="1008"/>
    <n v="0"/>
    <m/>
    <m/>
    <m/>
    <m/>
    <m/>
    <m/>
  </r>
  <r>
    <s v="MVPRP_C25_P6_V2_I3"/>
    <s v="MVPRP"/>
    <s v="C25"/>
    <x v="2"/>
    <x v="1"/>
    <s v="I3"/>
    <x v="1"/>
    <x v="1"/>
    <n v="84894"/>
    <n v="75030.646098408193"/>
    <n v="0.116184346380095"/>
    <n v="3600.2311711311299"/>
    <s v="[]"/>
    <n v="283"/>
    <m/>
    <n v="3"/>
    <n v="6000"/>
    <n v="28380"/>
    <n v="21685"/>
    <n v="19925"/>
    <n v="11498.7"/>
    <n v="2594.6999999999998"/>
    <n v="8904"/>
    <n v="1445"/>
    <n v="0"/>
    <n v="1757"/>
    <n v="0"/>
    <m/>
    <m/>
    <m/>
    <m/>
    <m/>
    <m/>
  </r>
  <r>
    <s v="MVPRP_C35_P3_V3_I3"/>
    <s v="MVPRP"/>
    <s v="C35"/>
    <x v="0"/>
    <x v="0"/>
    <s v="I3"/>
    <x v="1"/>
    <x v="1"/>
    <n v="50425.998150676904"/>
    <n v="49703.198475104698"/>
    <n v="1.43338694736875E-2"/>
    <n v="3600.0472021102901"/>
    <s v="[]"/>
    <n v="276"/>
    <m/>
    <n v="3"/>
    <n v="3000"/>
    <n v="21600"/>
    <n v="7526"/>
    <n v="18300"/>
    <n v="-2.1115578603030402E-3"/>
    <n v="-2.6223480614362399E-4"/>
    <n v="-1.84932305415941E-3"/>
    <n v="864"/>
    <n v="0"/>
    <n v="167"/>
    <n v="0"/>
    <m/>
    <m/>
    <m/>
    <m/>
    <m/>
    <m/>
  </r>
  <r>
    <s v="MVPRP_C10_P6_V2_I3"/>
    <s v="MVPRP"/>
    <s v="C10"/>
    <x v="2"/>
    <x v="1"/>
    <s v="I3"/>
    <x v="1"/>
    <x v="0"/>
    <n v="44267.397500551197"/>
    <n v="44267.397500551197"/>
    <n v="0"/>
    <n v="388.03633999824501"/>
    <s v="[]"/>
    <n v="198"/>
    <m/>
    <n v="3"/>
    <n v="6000"/>
    <n v="12690"/>
    <n v="9183"/>
    <n v="12959"/>
    <n v="4731.2971395029999"/>
    <n v="1295.8996389517799"/>
    <n v="3435.3975005512202"/>
    <n v="145"/>
    <n v="0"/>
    <n v="75"/>
    <n v="0"/>
    <m/>
    <m/>
    <m/>
    <m/>
    <m/>
    <m/>
  </r>
  <r>
    <s v="MVPRP_C30_P9_V4_I3"/>
    <s v="MVPRP"/>
    <s v="C30"/>
    <x v="1"/>
    <x v="2"/>
    <s v="I3"/>
    <x v="1"/>
    <x v="1"/>
    <n v="161822.70000000001"/>
    <n v="148780.97627009399"/>
    <n v="8.0592671670327701E-2"/>
    <n v="3613.2097108364101"/>
    <s v="[]"/>
    <n v="171"/>
    <m/>
    <n v="3"/>
    <n v="12000"/>
    <n v="67710"/>
    <n v="25820"/>
    <n v="53649"/>
    <n v="3404.1"/>
    <n v="760.4"/>
    <n v="2643.7"/>
    <n v="2003"/>
    <n v="0"/>
    <n v="291"/>
    <n v="0"/>
    <m/>
    <m/>
    <m/>
    <m/>
    <m/>
    <m/>
  </r>
  <r>
    <s v="MVPRP_C10_P3_V3_I3"/>
    <s v="MVPRP"/>
    <s v="C10"/>
    <x v="0"/>
    <x v="0"/>
    <s v="I3"/>
    <x v="1"/>
    <x v="0"/>
    <n v="20550"/>
    <n v="20550"/>
    <n v="0"/>
    <n v="4.1496675014495903"/>
    <s v="[]"/>
    <n v="132"/>
    <m/>
    <n v="3"/>
    <n v="3000"/>
    <n v="6390"/>
    <n v="3082"/>
    <n v="8078"/>
    <n v="0"/>
    <n v="0"/>
    <n v="0"/>
    <n v="42"/>
    <n v="0"/>
    <n v="7"/>
    <n v="0"/>
    <m/>
    <m/>
    <m/>
    <m/>
    <m/>
    <m/>
  </r>
  <r>
    <s v="MVPRP_C30_P3_V3_I3"/>
    <s v="MVPRP"/>
    <s v="C30"/>
    <x v="0"/>
    <x v="0"/>
    <s v="I3"/>
    <x v="1"/>
    <x v="0"/>
    <n v="41726"/>
    <n v="41726"/>
    <n v="0"/>
    <n v="553.63665390014705"/>
    <s v="[]"/>
    <n v="228"/>
    <m/>
    <n v="3"/>
    <n v="3000"/>
    <n v="16680"/>
    <n v="6255"/>
    <n v="15791"/>
    <n v="0"/>
    <n v="0"/>
    <n v="0"/>
    <n v="481"/>
    <n v="0"/>
    <n v="294"/>
    <n v="0"/>
    <m/>
    <m/>
    <m/>
    <m/>
    <m/>
    <m/>
  </r>
  <r>
    <s v="MVPRP_C20_P3_V3_I3"/>
    <s v="MVPRP"/>
    <s v="C20"/>
    <x v="0"/>
    <x v="0"/>
    <s v="I3"/>
    <x v="1"/>
    <x v="0"/>
    <n v="33320.599128845803"/>
    <n v="33320.599128845803"/>
    <n v="0"/>
    <n v="60.607998132705703"/>
    <s v="[]"/>
    <n v="189"/>
    <m/>
    <n v="3"/>
    <n v="3000"/>
    <n v="12030"/>
    <n v="5255"/>
    <n v="12720"/>
    <n v="536.39913119977302"/>
    <n v="220.80000235399399"/>
    <n v="315.59912884578"/>
    <n v="208"/>
    <n v="0"/>
    <n v="28"/>
    <n v="0"/>
    <m/>
    <m/>
    <m/>
    <m/>
    <m/>
    <m/>
  </r>
  <r>
    <s v="MVPRP_C35_P6_V3_I3"/>
    <s v="MVPRP"/>
    <s v="C35"/>
    <x v="2"/>
    <x v="0"/>
    <s v="I3"/>
    <x v="1"/>
    <x v="1"/>
    <n v="116386.9"/>
    <n v="97566.197939696402"/>
    <n v="0.161708079348308"/>
    <n v="3608.6910338401799"/>
    <s v="[]"/>
    <n v="276"/>
    <m/>
    <n v="3"/>
    <n v="6000"/>
    <n v="42900"/>
    <n v="22283"/>
    <n v="40136"/>
    <n v="6708.3000000000102"/>
    <n v="1640.4"/>
    <n v="5067.9000000000096"/>
    <n v="1939"/>
    <n v="0"/>
    <n v="1141"/>
    <n v="0"/>
    <m/>
    <m/>
    <m/>
    <m/>
    <m/>
    <m/>
  </r>
  <r>
    <s v="MVPRP_C25_P6_V3_I3"/>
    <s v="MVPRP"/>
    <s v="C25"/>
    <x v="2"/>
    <x v="0"/>
    <s v="I3"/>
    <x v="1"/>
    <x v="1"/>
    <n v="80092.699200675299"/>
    <n v="75740.1687522922"/>
    <n v="5.4343660431241503E-2"/>
    <n v="3601.4901332855202"/>
    <s v="[]"/>
    <n v="189"/>
    <m/>
    <n v="3"/>
    <n v="6000"/>
    <n v="28380"/>
    <n v="20605"/>
    <n v="23746"/>
    <n v="1948.4991571993901"/>
    <n v="586.79995652405705"/>
    <n v="1361.6992006753301"/>
    <n v="1233"/>
    <n v="0"/>
    <n v="191"/>
    <n v="0"/>
    <m/>
    <m/>
    <m/>
    <m/>
    <m/>
    <m/>
  </r>
  <r>
    <s v="MVPRP_C30_P6_V4_I3"/>
    <s v="MVPRP"/>
    <s v="C30"/>
    <x v="2"/>
    <x v="2"/>
    <s v="I3"/>
    <x v="1"/>
    <x v="1"/>
    <n v="87264.5"/>
    <n v="83955.839007897404"/>
    <n v="3.7915314842835397E-2"/>
    <n v="3601.4720306396498"/>
    <s v="[]"/>
    <n v="171"/>
    <m/>
    <n v="3"/>
    <n v="6000"/>
    <n v="33150"/>
    <n v="19988"/>
    <n v="27270"/>
    <n v="1074.3"/>
    <n v="217.8"/>
    <n v="856.49999999999898"/>
    <n v="1487"/>
    <n v="0"/>
    <n v="216"/>
    <n v="0"/>
    <m/>
    <m/>
    <m/>
    <m/>
    <m/>
    <m/>
  </r>
  <r>
    <s v="MVPRP_C15_P6_V3_I3"/>
    <s v="MVPRP"/>
    <s v="C15"/>
    <x v="2"/>
    <x v="0"/>
    <s v="I3"/>
    <x v="1"/>
    <x v="1"/>
    <n v="61616.698824698396"/>
    <n v="60134.854429681"/>
    <n v="2.40493960774067E-2"/>
    <n v="3600.3887243270901"/>
    <s v="[]"/>
    <n v="132"/>
    <m/>
    <n v="3"/>
    <n v="6000"/>
    <n v="19800"/>
    <n v="13779"/>
    <n v="21584"/>
    <n v="688.19860869024103"/>
    <n v="234.499783991784"/>
    <n v="453.69882469845697"/>
    <n v="679"/>
    <n v="0"/>
    <n v="41"/>
    <n v="0"/>
    <m/>
    <m/>
    <m/>
    <m/>
    <m/>
    <m/>
  </r>
  <r>
    <s v="MVPRP_C50_P3_V3_I3"/>
    <s v="MVPRP"/>
    <s v="C50"/>
    <x v="0"/>
    <x v="0"/>
    <s v="I3"/>
    <x v="1"/>
    <x v="1"/>
    <n v="66308"/>
    <n v="64445.914987937504"/>
    <n v="2.80823582684218E-2"/>
    <n v="3607.0675878524798"/>
    <s v="[]"/>
    <n v="360"/>
    <m/>
    <n v="3"/>
    <n v="3000"/>
    <n v="29580"/>
    <n v="10972"/>
    <n v="22756"/>
    <n v="0"/>
    <n v="0"/>
    <n v="0"/>
    <n v="629"/>
    <n v="0"/>
    <n v="335"/>
    <n v="0"/>
    <m/>
    <m/>
    <m/>
    <m/>
    <m/>
    <m/>
  </r>
  <r>
    <s v="MVPRP_C30_P6_V3_I3"/>
    <s v="MVPRP"/>
    <s v="C30"/>
    <x v="2"/>
    <x v="0"/>
    <s v="I3"/>
    <x v="1"/>
    <x v="1"/>
    <n v="84743.2"/>
    <n v="81999.410055671004"/>
    <n v="3.2377700444743598E-2"/>
    <n v="3601.6885232925401"/>
    <s v="[]"/>
    <n v="228"/>
    <m/>
    <n v="3"/>
    <n v="6000"/>
    <n v="33150"/>
    <n v="21278"/>
    <n v="23562"/>
    <n v="950.099999999999"/>
    <n v="196.9"/>
    <n v="753.19999999999902"/>
    <n v="1062"/>
    <n v="0"/>
    <n v="353"/>
    <n v="0"/>
    <m/>
    <m/>
    <m/>
    <m/>
    <m/>
    <m/>
  </r>
  <r>
    <s v="MVPRP_C25_P3_V2_I3"/>
    <s v="MVPRP"/>
    <s v="C25"/>
    <x v="0"/>
    <x v="1"/>
    <s v="I3"/>
    <x v="1"/>
    <x v="1"/>
    <n v="44206.400000000001"/>
    <n v="38171.396811792401"/>
    <n v="0.13651876624668799"/>
    <n v="3600.8973674774202"/>
    <s v="[]"/>
    <n v="283"/>
    <m/>
    <n v="3"/>
    <n v="3000"/>
    <n v="14340"/>
    <n v="6731"/>
    <n v="12899"/>
    <n v="8526.2999999999993"/>
    <n v="1289.9000000000001"/>
    <n v="7236.4"/>
    <n v="771"/>
    <n v="0"/>
    <n v="6508"/>
    <n v="0"/>
    <m/>
    <m/>
    <m/>
    <m/>
    <m/>
    <m/>
  </r>
  <r>
    <s v="MVPRP_C15_P6_V2_I3"/>
    <s v="MVPRP"/>
    <s v="C15"/>
    <x v="2"/>
    <x v="1"/>
    <s v="I3"/>
    <x v="1"/>
    <x v="1"/>
    <n v="64487.1"/>
    <n v="59000.925083838702"/>
    <n v="8.5073990242410399E-2"/>
    <n v="3600.6188485622401"/>
    <s v="[]"/>
    <n v="198"/>
    <m/>
    <n v="3"/>
    <n v="6000"/>
    <n v="19800"/>
    <n v="13368"/>
    <n v="18930"/>
    <n v="8774.1000000000095"/>
    <n v="2385"/>
    <n v="6389.1000000000104"/>
    <n v="744"/>
    <n v="0"/>
    <n v="512"/>
    <n v="0"/>
    <m/>
    <m/>
    <m/>
    <m/>
    <m/>
    <m/>
  </r>
  <r>
    <s v="MVPRP_C20_P3_V2_I3"/>
    <s v="MVPRP"/>
    <s v="C20"/>
    <x v="0"/>
    <x v="1"/>
    <s v="I3"/>
    <x v="1"/>
    <x v="1"/>
    <n v="38091.5"/>
    <n v="34087.892957397497"/>
    <n v="0.105104998296274"/>
    <n v="3600.9544765949299"/>
    <s v="[]"/>
    <n v="283"/>
    <m/>
    <n v="3"/>
    <n v="3000"/>
    <n v="12030"/>
    <n v="5270"/>
    <n v="11860"/>
    <n v="7117.5"/>
    <n v="1186"/>
    <n v="5931.5"/>
    <n v="590"/>
    <n v="0"/>
    <n v="5452"/>
    <n v="0"/>
    <m/>
    <m/>
    <m/>
    <m/>
    <m/>
    <m/>
  </r>
  <r>
    <s v="MVPRP_C10_P6_V3_I3"/>
    <s v="MVPRP"/>
    <s v="C10"/>
    <x v="2"/>
    <x v="0"/>
    <s v="I3"/>
    <x v="1"/>
    <x v="0"/>
    <n v="42064"/>
    <n v="42064"/>
    <n v="0"/>
    <n v="25.5676190853119"/>
    <s v="[]"/>
    <n v="132"/>
    <m/>
    <n v="3"/>
    <n v="6000"/>
    <n v="12690"/>
    <n v="8865"/>
    <n v="14509"/>
    <n v="0"/>
    <n v="0"/>
    <n v="0"/>
    <n v="118"/>
    <n v="0"/>
    <n v="10"/>
    <n v="0"/>
    <m/>
    <m/>
    <m/>
    <m/>
    <m/>
    <m/>
  </r>
  <r>
    <s v="MVPRP_C50_P3_V4_I3"/>
    <s v="MVPRP"/>
    <s v="C50"/>
    <x v="0"/>
    <x v="2"/>
    <s v="I3"/>
    <x v="1"/>
    <x v="1"/>
    <n v="69044.999999999898"/>
    <n v="66185.524417683002"/>
    <n v="4.14146655415586E-2"/>
    <n v="3602.7329893112201"/>
    <s v="[]"/>
    <n v="270"/>
    <m/>
    <n v="3"/>
    <n v="3000"/>
    <n v="29580"/>
    <n v="11648"/>
    <n v="24817"/>
    <n v="0"/>
    <n v="0"/>
    <n v="0"/>
    <n v="972"/>
    <n v="0"/>
    <n v="456"/>
    <n v="0"/>
    <m/>
    <m/>
    <m/>
    <m/>
    <m/>
    <m/>
  </r>
  <r>
    <s v="MVPRP_C15_P3_V2_I3"/>
    <s v="MVPRP"/>
    <s v="C15"/>
    <x v="0"/>
    <x v="1"/>
    <s v="I3"/>
    <x v="1"/>
    <x v="1"/>
    <n v="33553"/>
    <n v="31629.744444444401"/>
    <n v="5.7319928338913903E-2"/>
    <n v="3600.5002810955002"/>
    <s v="[]"/>
    <n v="198"/>
    <m/>
    <n v="3"/>
    <n v="3000"/>
    <n v="9960"/>
    <n v="4534"/>
    <n v="11724"/>
    <n v="5507.4"/>
    <n v="1172.4000000000001"/>
    <n v="4335"/>
    <n v="553"/>
    <n v="0"/>
    <n v="974"/>
    <n v="0"/>
    <m/>
    <m/>
    <m/>
    <m/>
    <m/>
    <m/>
  </r>
  <r>
    <s v="MVPRP_C40_P3_V4_I3"/>
    <s v="MVPRP"/>
    <s v="C40"/>
    <x v="0"/>
    <x v="2"/>
    <s v="I3"/>
    <x v="1"/>
    <x v="1"/>
    <n v="64508.999999999898"/>
    <n v="62191.279112336902"/>
    <n v="3.5928643873925498E-2"/>
    <n v="3602.13712382317"/>
    <s v="[]"/>
    <n v="270"/>
    <m/>
    <n v="3"/>
    <n v="3000"/>
    <n v="27660"/>
    <n v="11875"/>
    <n v="21974"/>
    <n v="0"/>
    <n v="0"/>
    <n v="0"/>
    <n v="1293"/>
    <n v="0"/>
    <n v="560"/>
    <n v="0"/>
    <m/>
    <m/>
    <m/>
    <m/>
    <m/>
    <m/>
  </r>
  <r>
    <s v="MVPRP_C25_P3_V3_I3"/>
    <s v="MVPRP"/>
    <s v="C25"/>
    <x v="0"/>
    <x v="0"/>
    <s v="I3"/>
    <x v="1"/>
    <x v="1"/>
    <n v="39170.5"/>
    <n v="38583.2851437481"/>
    <n v="1.49912525051223E-2"/>
    <n v="3600.4137811660798"/>
    <s v="[]"/>
    <n v="189"/>
    <m/>
    <n v="3"/>
    <n v="3000"/>
    <n v="14340"/>
    <n v="6770"/>
    <n v="14039"/>
    <n v="1376.1"/>
    <n v="354.6"/>
    <n v="1021.5"/>
    <n v="767"/>
    <n v="0"/>
    <n v="123"/>
    <n v="0"/>
    <m/>
    <m/>
    <m/>
    <m/>
    <m/>
    <m/>
  </r>
  <r>
    <s v="MVPRP_C20_P6_V3_I3"/>
    <s v="MVPRP"/>
    <s v="C20"/>
    <x v="2"/>
    <x v="0"/>
    <s v="I3"/>
    <x v="1"/>
    <x v="1"/>
    <n v="68139.599832867199"/>
    <n v="65235.525210592597"/>
    <n v="4.2619484549333397E-2"/>
    <n v="3601.6639139652302"/>
    <s v="[]"/>
    <n v="189"/>
    <m/>
    <n v="3"/>
    <n v="6000"/>
    <n v="23820"/>
    <n v="14269"/>
    <n v="23735"/>
    <n v="536.39977246874901"/>
    <n v="220.79993960156301"/>
    <n v="315.59983286718602"/>
    <n v="911"/>
    <n v="0"/>
    <n v="150"/>
    <n v="0"/>
    <m/>
    <m/>
    <m/>
    <m/>
    <m/>
    <m/>
  </r>
  <r>
    <s v="MVPRP_C20_P9_V3_I3"/>
    <s v="MVPRP"/>
    <s v="C20"/>
    <x v="1"/>
    <x v="0"/>
    <s v="I3"/>
    <x v="1"/>
    <x v="1"/>
    <n v="120228.5"/>
    <n v="114841.78146116"/>
    <n v="4.4804006860599897E-2"/>
    <n v="3600.29789686203"/>
    <s v="[]"/>
    <n v="189"/>
    <m/>
    <n v="3"/>
    <n v="9000"/>
    <n v="48120"/>
    <n v="24090"/>
    <n v="35842"/>
    <n v="4728.8999999999996"/>
    <n v="1552.4"/>
    <n v="3176.5"/>
    <n v="1599"/>
    <n v="0"/>
    <n v="123"/>
    <n v="0"/>
    <m/>
    <m/>
    <m/>
    <m/>
    <m/>
    <m/>
  </r>
  <r>
    <s v="MVPRP_C40_P6_V3_I3"/>
    <s v="MVPRP"/>
    <s v="C40"/>
    <x v="2"/>
    <x v="0"/>
    <s v="I3"/>
    <x v="1"/>
    <x v="1"/>
    <n v="154565.4"/>
    <n v="120613.100134944"/>
    <n v="0.21966300261932101"/>
    <n v="3600.18352198601"/>
    <s v="[]"/>
    <n v="360"/>
    <m/>
    <n v="3"/>
    <n v="6000"/>
    <n v="55170"/>
    <n v="34706"/>
    <n v="44096"/>
    <n v="18661.2"/>
    <n v="4067.8"/>
    <n v="14593.4"/>
    <n v="976"/>
    <n v="0"/>
    <n v="887"/>
    <n v="0"/>
    <m/>
    <m/>
    <m/>
    <m/>
    <m/>
    <m/>
  </r>
  <r>
    <s v="MVPRP_C25_P9_V2_I3"/>
    <s v="MVPRP"/>
    <s v="C25"/>
    <x v="1"/>
    <x v="1"/>
    <s v="I3"/>
    <x v="1"/>
    <x v="1"/>
    <n v="152264"/>
    <n v="130673.61412068699"/>
    <n v="0.141795735560031"/>
    <n v="3601.6615478992499"/>
    <s v="[]"/>
    <n v="283"/>
    <m/>
    <n v="3"/>
    <n v="9000"/>
    <n v="59880"/>
    <n v="31010"/>
    <n v="36143"/>
    <n v="21243.9"/>
    <n v="5012.8999999999996"/>
    <n v="16231"/>
    <n v="1374"/>
    <n v="0"/>
    <n v="994"/>
    <n v="0"/>
    <m/>
    <m/>
    <m/>
    <m/>
    <m/>
    <m/>
  </r>
  <r>
    <s v="MVPRP_C40_P6_V4_I3"/>
    <s v="MVPRP"/>
    <s v="C40"/>
    <x v="2"/>
    <x v="2"/>
    <s v="I3"/>
    <x v="1"/>
    <x v="1"/>
    <n v="151700.4"/>
    <n v="122916.337429234"/>
    <n v="0.189742825798522"/>
    <n v="3613.5900466442099"/>
    <s v="[]"/>
    <n v="270"/>
    <m/>
    <n v="3"/>
    <n v="6000"/>
    <n v="55170"/>
    <n v="31191"/>
    <n v="55272"/>
    <n v="5960.7000000000098"/>
    <n v="1893.3"/>
    <n v="4067.4000000000101"/>
    <n v="1379"/>
    <n v="0"/>
    <n v="768"/>
    <n v="0"/>
    <m/>
    <m/>
    <m/>
    <m/>
    <m/>
    <m/>
  </r>
  <r>
    <s v="MVPRP_C15_P9_V3_I3"/>
    <s v="MVPRP"/>
    <s v="C15"/>
    <x v="1"/>
    <x v="0"/>
    <s v="I3"/>
    <x v="1"/>
    <x v="1"/>
    <n v="110311.8"/>
    <n v="107394.899696072"/>
    <n v="2.6442323522308901E-2"/>
    <n v="3601.2467870712298"/>
    <s v="[]"/>
    <n v="132"/>
    <m/>
    <n v="3"/>
    <n v="9000"/>
    <n v="40950"/>
    <n v="21811"/>
    <n v="36986"/>
    <n v="2633.7"/>
    <n v="1068.9000000000001"/>
    <n v="1564.8"/>
    <n v="1300"/>
    <n v="0"/>
    <n v="59"/>
    <n v="0"/>
    <m/>
    <m/>
    <m/>
    <m/>
    <m/>
    <m/>
  </r>
  <r>
    <s v="MVPRP_C35_P3_V4_I3"/>
    <s v="MVPRP"/>
    <s v="C35"/>
    <x v="0"/>
    <x v="2"/>
    <s v="I3"/>
    <x v="1"/>
    <x v="1"/>
    <n v="51538"/>
    <n v="50937.622253521702"/>
    <n v="1.16492247754741E-2"/>
    <n v="3600.6937305927299"/>
    <s v="[]"/>
    <n v="207"/>
    <m/>
    <n v="3"/>
    <n v="3000"/>
    <n v="21600"/>
    <n v="8568"/>
    <n v="18370"/>
    <n v="0"/>
    <n v="0"/>
    <n v="0"/>
    <n v="1018"/>
    <n v="0"/>
    <n v="130"/>
    <n v="0"/>
    <m/>
    <m/>
    <m/>
    <m/>
    <m/>
    <m/>
  </r>
  <r>
    <s v="MVPRP_C20_P9_V2_I3"/>
    <s v="MVPRP"/>
    <s v="C20"/>
    <x v="1"/>
    <x v="1"/>
    <s v="I3"/>
    <x v="1"/>
    <x v="1"/>
    <n v="125282"/>
    <n v="111080.29688370699"/>
    <n v="0.113357889531564"/>
    <n v="3602.3222491741199"/>
    <s v="[]"/>
    <n v="283"/>
    <m/>
    <n v="3"/>
    <n v="9000"/>
    <n v="48120"/>
    <n v="23759"/>
    <n v="32495"/>
    <n v="15157.5"/>
    <n v="3249.5"/>
    <n v="11908"/>
    <n v="1495"/>
    <n v="0"/>
    <n v="637"/>
    <n v="0"/>
    <m/>
    <m/>
    <m/>
    <m/>
    <m/>
    <m/>
  </r>
  <r>
    <s v="MVPRP_C45_P3_V4_I3"/>
    <s v="MVPRP"/>
    <s v="C45"/>
    <x v="0"/>
    <x v="2"/>
    <s v="I3"/>
    <x v="1"/>
    <x v="1"/>
    <n v="73491"/>
    <n v="70954.689086946499"/>
    <n v="3.4511857411839E-2"/>
    <n v="3600.8610382080101"/>
    <s v="[]"/>
    <n v="270"/>
    <m/>
    <n v="3"/>
    <n v="3000"/>
    <n v="33060"/>
    <n v="12083"/>
    <n v="25348"/>
    <n v="0"/>
    <n v="0"/>
    <n v="0"/>
    <n v="1512"/>
    <n v="0"/>
    <n v="370"/>
    <n v="0"/>
    <m/>
    <m/>
    <m/>
    <m/>
    <m/>
    <m/>
  </r>
  <r>
    <s v="MVPRP_C10_P9_V3_I3"/>
    <s v="MVPRP"/>
    <s v="C10"/>
    <x v="1"/>
    <x v="0"/>
    <s v="I3"/>
    <x v="1"/>
    <x v="0"/>
    <n v="73128.099652323101"/>
    <n v="73128.099652323101"/>
    <n v="0"/>
    <n v="103.288182735443"/>
    <s v="[]"/>
    <n v="132"/>
    <m/>
    <n v="3"/>
    <n v="9000"/>
    <n v="26370"/>
    <n v="14133"/>
    <n v="22645"/>
    <n v="1411.79956131056"/>
    <n v="431.69990871597298"/>
    <n v="980.09965259458704"/>
    <n v="155"/>
    <n v="0"/>
    <n v="11"/>
    <n v="0"/>
    <m/>
    <m/>
    <m/>
    <m/>
    <m/>
    <m/>
  </r>
  <r>
    <s v="MVPRP_C10_P9_V2_I3"/>
    <s v="MVPRP"/>
    <s v="C10"/>
    <x v="1"/>
    <x v="1"/>
    <s v="I3"/>
    <x v="1"/>
    <x v="1"/>
    <n v="76893.098734675004"/>
    <n v="73302.201382458807"/>
    <n v="4.6699865284488003E-2"/>
    <n v="3600.2885596752199"/>
    <s v="[]"/>
    <n v="198"/>
    <m/>
    <n v="3"/>
    <n v="9000"/>
    <n v="26370"/>
    <n v="14158"/>
    <n v="21450"/>
    <n v="8060.0984367000101"/>
    <n v="2144.9997020249998"/>
    <n v="5915.0987346750098"/>
    <n v="294"/>
    <n v="0"/>
    <n v="101"/>
    <n v="0"/>
    <m/>
    <m/>
    <m/>
    <m/>
    <m/>
    <m/>
  </r>
  <r>
    <s v="MVPRP_C25_P9_V3_I3"/>
    <s v="MVPRP"/>
    <s v="C25"/>
    <x v="1"/>
    <x v="0"/>
    <s v="I3"/>
    <x v="1"/>
    <x v="1"/>
    <n v="144145.099497021"/>
    <n v="135918.56712106199"/>
    <n v="5.7071190104035899E-2"/>
    <n v="3601.8935978412601"/>
    <s v="[]"/>
    <n v="189"/>
    <m/>
    <n v="3"/>
    <n v="9000"/>
    <n v="59880"/>
    <n v="30546"/>
    <n v="41193"/>
    <n v="5063.9992995101602"/>
    <n v="1537.8998024888001"/>
    <n v="3526.0994970213601"/>
    <n v="1929"/>
    <n v="0"/>
    <n v="184"/>
    <n v="0"/>
    <m/>
    <m/>
    <m/>
    <m/>
    <m/>
    <m/>
  </r>
  <r>
    <s v="MVPRP_C15_P3_V3_I3"/>
    <s v="MVPRP"/>
    <s v="C15"/>
    <x v="0"/>
    <x v="0"/>
    <s v="I3"/>
    <x v="2"/>
    <x v="0"/>
    <n v="30482.9"/>
    <n v="30482.9"/>
    <n v="0"/>
    <n v="4.2337355613708496"/>
    <s v="[(1, 1, 129.0), (2, 1, 132.0), (2, 2, 38.0), (3, 1, 33.0)]"/>
    <n v="132"/>
    <m/>
    <n v="3"/>
    <n v="3000"/>
    <n v="9960"/>
    <n v="4200"/>
    <n v="13322.9"/>
    <n v="-1"/>
    <n v="-1"/>
    <n v="-1"/>
    <m/>
    <m/>
    <m/>
    <m/>
    <m/>
    <m/>
    <m/>
    <m/>
    <m/>
    <m/>
  </r>
  <r>
    <s v="MVPRP_C30_P9_V3_I3"/>
    <s v="MVPRP"/>
    <s v="C30"/>
    <x v="1"/>
    <x v="0"/>
    <s v="I3"/>
    <x v="2"/>
    <x v="1"/>
    <n v="156410.6"/>
    <n v="146422.095570056"/>
    <n v="6.3860789677578897E-2"/>
    <n v="3600.25168609619"/>
    <s v="[(2, 1, 224.0), (3, 1, 228.0), (3, 2, 93.0), (4, 1, 228.0), (5, 1, 228.0), (6, 1, 228.0), (6, 2, 224.0), (6, 3, 120.0), (7, 1, 228.0), (7, 2, 228.0), (8, 1, 228.0)]"/>
    <n v="228"/>
    <m/>
    <n v="3"/>
    <n v="12000"/>
    <n v="67710"/>
    <n v="31167"/>
    <n v="45533.599999999999"/>
    <n v="-1"/>
    <n v="-1"/>
    <n v="-1"/>
    <m/>
    <m/>
    <m/>
    <m/>
    <m/>
    <m/>
    <m/>
    <m/>
    <m/>
    <m/>
  </r>
  <r>
    <s v="MVPRP_C20_P6_V2_I3"/>
    <s v="MVPRP"/>
    <s v="C20"/>
    <x v="2"/>
    <x v="1"/>
    <s v="I3"/>
    <x v="2"/>
    <x v="0"/>
    <n v="70886.8"/>
    <n v="70886.8"/>
    <n v="0"/>
    <n v="15.780412673950201"/>
    <s v="[(2, 1, 278.0), (4, 1, 283.0), (5, 1, 233.0)]"/>
    <n v="283"/>
    <m/>
    <n v="3"/>
    <n v="6000"/>
    <n v="23820"/>
    <n v="15196"/>
    <n v="25870.799999999999"/>
    <n v="-1"/>
    <n v="-1"/>
    <n v="-1"/>
    <m/>
    <m/>
    <m/>
    <m/>
    <m/>
    <m/>
    <m/>
    <m/>
    <m/>
    <m/>
  </r>
  <r>
    <s v="MVPRP_C30_P3_V4_I3"/>
    <s v="MVPRP"/>
    <s v="C30"/>
    <x v="0"/>
    <x v="2"/>
    <s v="I3"/>
    <x v="2"/>
    <x v="0"/>
    <n v="42543"/>
    <n v="42543"/>
    <n v="0"/>
    <n v="646.24540495872498"/>
    <s v="[(1, 2, 264.0), (2, 2, 292.0)]"/>
    <n v="171"/>
    <m/>
    <n v="3"/>
    <n v="3000"/>
    <n v="16680"/>
    <n v="6800"/>
    <n v="16063"/>
    <n v="-1"/>
    <n v="-1"/>
    <n v="-1"/>
    <m/>
    <m/>
    <m/>
    <m/>
    <m/>
    <m/>
    <m/>
    <m/>
    <m/>
    <m/>
  </r>
  <r>
    <s v="MVPRP_C10_P3_V2_I3"/>
    <s v="MVPRP"/>
    <s v="C10"/>
    <x v="0"/>
    <x v="1"/>
    <s v="I3"/>
    <x v="2"/>
    <x v="0"/>
    <n v="22503.9"/>
    <n v="22503.9"/>
    <n v="0"/>
    <n v="0.48762822151184099"/>
    <s v="[(1, 1, 193.0), (2, 1, 20.0)]"/>
    <n v="198"/>
    <m/>
    <n v="3"/>
    <n v="3000"/>
    <n v="6390"/>
    <n v="3345"/>
    <n v="9768.9"/>
    <n v="-1"/>
    <n v="-1"/>
    <n v="-1"/>
    <m/>
    <m/>
    <m/>
    <m/>
    <m/>
    <m/>
    <m/>
    <m/>
    <m/>
    <m/>
  </r>
  <r>
    <s v="MVPRP_C40_P3_V3_I3"/>
    <s v="MVPRP"/>
    <s v="C40"/>
    <x v="0"/>
    <x v="0"/>
    <s v="I3"/>
    <x v="2"/>
    <x v="0"/>
    <n v="62080.9997925157"/>
    <n v="62080.9997925157"/>
    <n v="0"/>
    <n v="375.79713726043701"/>
    <s v="[(1, 1, 354.999993777778), (2, 1, 207.0), (3, 1, 360.0)]"/>
    <n v="360"/>
    <m/>
    <n v="3"/>
    <n v="3000"/>
    <n v="27660"/>
    <n v="9576.9999813333307"/>
    <n v="21843.999811182399"/>
    <n v="-1"/>
    <n v="-1"/>
    <n v="-1"/>
    <m/>
    <m/>
    <m/>
    <m/>
    <m/>
    <m/>
    <m/>
    <m/>
    <m/>
    <m/>
  </r>
  <r>
    <s v="MVPRP_C15_P9_V2_I3"/>
    <s v="MVPRP"/>
    <s v="C15"/>
    <x v="1"/>
    <x v="1"/>
    <s v="I3"/>
    <x v="2"/>
    <x v="0"/>
    <n v="112773.9"/>
    <n v="112773.9"/>
    <n v="0"/>
    <n v="296.349786043167"/>
    <s v="[(2, 1, 198.0), (3, 1, 198.0), (5, 1, 195.0), (5, 2, 111.0), (6, 1, 178.0), (7, 1, 196.0), (7, 2, 171.0), (8, 1, 118.0)]"/>
    <n v="198"/>
    <m/>
    <n v="3"/>
    <n v="9000"/>
    <n v="40950"/>
    <n v="22130"/>
    <n v="40693.9"/>
    <n v="-1"/>
    <n v="-1"/>
    <n v="-1"/>
    <m/>
    <m/>
    <m/>
    <m/>
    <m/>
    <m/>
    <m/>
    <m/>
    <m/>
    <m/>
  </r>
  <r>
    <s v="MVPRP_C45_P3_V3_I3"/>
    <s v="MVPRP"/>
    <s v="C45"/>
    <x v="0"/>
    <x v="0"/>
    <s v="I3"/>
    <x v="2"/>
    <x v="0"/>
    <n v="70340.800000000003"/>
    <n v="70338.193341850099"/>
    <n v="3.7057556210670398E-5"/>
    <n v="628.17763352394104"/>
    <s v="[(1, 1, 360.0), (1, 2, 23.0), (2, 1, 359.0), (3, 1, 360.0)]"/>
    <n v="360"/>
    <m/>
    <n v="3"/>
    <n v="3000"/>
    <n v="33060"/>
    <n v="11010"/>
    <n v="23270.799999999999"/>
    <n v="-1"/>
    <n v="-1"/>
    <n v="-1"/>
    <m/>
    <m/>
    <m/>
    <m/>
    <m/>
    <m/>
    <m/>
    <m/>
    <m/>
    <m/>
  </r>
  <r>
    <s v="MVPRP_C35_P6_V4_I3"/>
    <s v="MVPRP"/>
    <s v="C35"/>
    <x v="2"/>
    <x v="2"/>
    <s v="I3"/>
    <x v="2"/>
    <x v="1"/>
    <n v="104927.999997552"/>
    <n v="101586.808579993"/>
    <n v="3.18427056423203E-2"/>
    <n v="3600.4764773228562"/>
    <s v="[(2, 2, 395.0), (3, 2, 414.0), (5, 2, 414.0), (6, 2, 207.0)]"/>
    <n v="207"/>
    <m/>
    <n v="3"/>
    <n v="6000"/>
    <n v="42900"/>
    <n v="23712"/>
    <n v="32315.999997552299"/>
    <n v="-1"/>
    <n v="-1"/>
    <n v="-1"/>
    <m/>
    <m/>
    <m/>
    <m/>
    <m/>
    <m/>
    <m/>
    <m/>
    <m/>
    <m/>
  </r>
  <r>
    <s v="MVPRP_C25_P6_V2_I3"/>
    <s v="MVPRP"/>
    <s v="C25"/>
    <x v="2"/>
    <x v="1"/>
    <s v="I3"/>
    <x v="2"/>
    <x v="0"/>
    <n v="84118.7"/>
    <n v="84118.7"/>
    <n v="0"/>
    <n v="136.61029672622701"/>
    <s v="[(2, 1, 282.0), (3, 1, 112.0), (4, 1, 276.0), (5, 1, 276.0)]"/>
    <n v="283"/>
    <m/>
    <n v="3"/>
    <n v="6000"/>
    <n v="28380"/>
    <n v="21221"/>
    <n v="28517.7"/>
    <n v="-1"/>
    <n v="-1"/>
    <n v="-1"/>
    <m/>
    <m/>
    <m/>
    <m/>
    <m/>
    <m/>
    <m/>
    <m/>
    <m/>
    <m/>
  </r>
  <r>
    <s v="MVPRP_C35_P3_V3_I3"/>
    <s v="MVPRP"/>
    <s v="C35"/>
    <x v="0"/>
    <x v="0"/>
    <s v="I3"/>
    <x v="2"/>
    <x v="0"/>
    <n v="50425"/>
    <n v="50425"/>
    <n v="0"/>
    <n v="184.30754327774"/>
    <s v="[(1, 1, 270.0), (2, 1, 276.0), (3, 1, 174.0)]"/>
    <n v="276"/>
    <m/>
    <n v="3"/>
    <n v="3000"/>
    <n v="21600"/>
    <n v="7494"/>
    <n v="18331"/>
    <n v="-1"/>
    <n v="-1"/>
    <n v="-1"/>
    <m/>
    <m/>
    <m/>
    <m/>
    <m/>
    <m/>
    <m/>
    <m/>
    <m/>
    <m/>
  </r>
  <r>
    <s v="MVPRP_C10_P6_V2_I3"/>
    <s v="MVPRP"/>
    <s v="C10"/>
    <x v="2"/>
    <x v="1"/>
    <s v="I3"/>
    <x v="2"/>
    <x v="0"/>
    <n v="44267.4"/>
    <n v="44267.4"/>
    <n v="0"/>
    <n v="3.8709852695465101"/>
    <s v="[(2, 1, 120.0), (3, 1, 112.0), (5, 1, 191.0)]"/>
    <n v="198"/>
    <m/>
    <n v="3"/>
    <n v="6000"/>
    <n v="12690"/>
    <n v="9183"/>
    <n v="16394.400000000001"/>
    <n v="-1"/>
    <n v="-1"/>
    <n v="-1"/>
    <m/>
    <m/>
    <m/>
    <m/>
    <m/>
    <m/>
    <m/>
    <m/>
    <m/>
    <m/>
  </r>
  <r>
    <s v="MVPRP_C30_P9_V4_I3"/>
    <s v="MVPRP"/>
    <s v="C30"/>
    <x v="1"/>
    <x v="2"/>
    <s v="I3"/>
    <x v="2"/>
    <x v="1"/>
    <n v="159237.70000000001"/>
    <n v="151333.884825994"/>
    <n v="4.9635326144538403E-2"/>
    <n v="3600.57289789785"/>
    <s v="[(2, 2, 171.0), (3, 2, 283.0), (4, 2, 317.0), (5, 2, 326.0), (6, 2, 342.0), (7, 2, 342.0), (8, 2, 336.0), (8, 3, 26.0), (9, 2, 114.0)]"/>
    <n v="171"/>
    <m/>
    <n v="3"/>
    <n v="12000"/>
    <n v="67710"/>
    <n v="28345"/>
    <n v="51182.7"/>
    <n v="-1"/>
    <n v="-1"/>
    <n v="-1"/>
    <m/>
    <m/>
    <m/>
    <m/>
    <m/>
    <m/>
    <m/>
    <m/>
    <m/>
    <m/>
  </r>
  <r>
    <s v="MVPRP_C10_P3_V3_I3"/>
    <s v="MVPRP"/>
    <s v="C10"/>
    <x v="0"/>
    <x v="0"/>
    <s v="I3"/>
    <x v="2"/>
    <x v="0"/>
    <n v="20550"/>
    <n v="20550"/>
    <n v="0"/>
    <n v="1.20941686630249"/>
    <s v="[(1, 1, 130.0), (2, 1, 83.0)]"/>
    <n v="132"/>
    <m/>
    <n v="3"/>
    <n v="3000"/>
    <n v="6390"/>
    <n v="3082"/>
    <n v="8078"/>
    <n v="-1"/>
    <n v="-1"/>
    <n v="-1"/>
    <m/>
    <m/>
    <m/>
    <m/>
    <m/>
    <m/>
    <m/>
    <m/>
    <m/>
    <m/>
  </r>
  <r>
    <s v="MVPRP_C30_P3_V3_I3"/>
    <s v="MVPRP"/>
    <s v="C30"/>
    <x v="0"/>
    <x v="0"/>
    <s v="I3"/>
    <x v="2"/>
    <x v="0"/>
    <n v="41726"/>
    <n v="41726"/>
    <n v="0"/>
    <n v="114.659799814224"/>
    <s v="[(1, 1, 223.0), (2, 1, 228.0), (3, 1, 105.0)]"/>
    <n v="228"/>
    <m/>
    <n v="3"/>
    <n v="3000"/>
    <n v="16680"/>
    <n v="6255"/>
    <n v="15791"/>
    <n v="-1"/>
    <n v="-1"/>
    <n v="-1"/>
    <m/>
    <m/>
    <m/>
    <m/>
    <m/>
    <m/>
    <m/>
    <m/>
    <m/>
    <m/>
  </r>
  <r>
    <s v="MVPRP_C20_P3_V3_I3"/>
    <s v="MVPRP"/>
    <s v="C20"/>
    <x v="0"/>
    <x v="0"/>
    <s v="I3"/>
    <x v="2"/>
    <x v="0"/>
    <n v="33320.6"/>
    <n v="33320.6"/>
    <n v="0"/>
    <n v="9.1030476093292201"/>
    <s v="[(1, 1, 185.0), (1, 2, 69.0), (2, 1, 147.0)]"/>
    <n v="189"/>
    <m/>
    <n v="3"/>
    <n v="3000"/>
    <n v="12030"/>
    <n v="5255"/>
    <n v="13035.6"/>
    <n v="-1"/>
    <n v="-1"/>
    <n v="-1"/>
    <m/>
    <m/>
    <m/>
    <m/>
    <m/>
    <m/>
    <m/>
    <m/>
    <m/>
    <m/>
  </r>
  <r>
    <s v="MVPRP_C35_P6_V3_I3"/>
    <s v="MVPRP"/>
    <s v="C35"/>
    <x v="2"/>
    <x v="0"/>
    <s v="I3"/>
    <x v="2"/>
    <x v="1"/>
    <n v="101891.79979235699"/>
    <n v="101077.96808607101"/>
    <n v="7.98721494707442E-3"/>
    <n v="3600.1684639453902"/>
    <s v="[(2, 1, 267.0), (3, 1, 273.0), (4, 1, 276.0), (4, 2, 195.99999002398158), (5, 1, 276.0), (6, 1, 142.0)]"/>
    <n v="276"/>
    <m/>
    <n v="3"/>
    <n v="6000"/>
    <n v="42900"/>
    <n v="23663.999920191902"/>
    <n v="29327.799872164898"/>
    <n v="-1"/>
    <n v="-1"/>
    <n v="-1"/>
    <m/>
    <m/>
    <m/>
    <m/>
    <m/>
    <m/>
    <m/>
    <m/>
    <m/>
    <m/>
  </r>
  <r>
    <s v="MVPRP_C25_P6_V3_I3"/>
    <s v="MVPRP"/>
    <s v="C25"/>
    <x v="2"/>
    <x v="0"/>
    <s v="I3"/>
    <x v="2"/>
    <x v="0"/>
    <n v="78890"/>
    <n v="78890"/>
    <n v="0"/>
    <n v="313.02506589889498"/>
    <s v="[(2, 1, 184.0), (2, 2, 78.0), (3, 1, 189.0), (5, 1, 188.0), (5, 2, 118.0), (6, 1, 189.0)]"/>
    <n v="189"/>
    <m/>
    <n v="3"/>
    <n v="6000"/>
    <n v="28380"/>
    <n v="18542"/>
    <n v="25968"/>
    <n v="-1"/>
    <n v="-1"/>
    <n v="-1"/>
    <m/>
    <m/>
    <m/>
    <m/>
    <m/>
    <m/>
    <m/>
    <m/>
    <m/>
    <m/>
  </r>
  <r>
    <s v="MVPRP_C30_P6_V4_I3"/>
    <s v="MVPRP"/>
    <s v="C30"/>
    <x v="2"/>
    <x v="2"/>
    <s v="I3"/>
    <x v="2"/>
    <x v="1"/>
    <n v="86589.999656468906"/>
    <n v="84901.703041333094"/>
    <n v="1.9497593507725099E-2"/>
    <n v="3600.2798741717979"/>
    <s v="[(2, 2, 166.0), (3, 2, 306.0), (4, 2, 291.0), (5, 2, 342.0)]"/>
    <n v="171"/>
    <m/>
    <n v="3"/>
    <n v="6000.0000057531997"/>
    <n v="33150"/>
    <n v="21067.999650715799"/>
    <n v="26372"/>
    <n v="-1"/>
    <n v="-1"/>
    <n v="-1"/>
    <m/>
    <m/>
    <m/>
    <m/>
    <m/>
    <m/>
    <m/>
    <m/>
    <m/>
    <m/>
  </r>
  <r>
    <s v="MVPRP_C15_P6_V3_I3"/>
    <s v="MVPRP"/>
    <s v="C15"/>
    <x v="2"/>
    <x v="0"/>
    <s v="I3"/>
    <x v="2"/>
    <x v="0"/>
    <n v="61575.7"/>
    <n v="61575.7"/>
    <n v="0"/>
    <n v="113.85683441162099"/>
    <s v="[(2, 1, 129.0), (2, 2, 32.0), (3, 1, 132.0), (3, 2, 76.0), (4, 1, 27.0), (5, 1, 132.0), (5, 2, 132.0)]"/>
    <n v="132"/>
    <m/>
    <n v="3"/>
    <n v="6000"/>
    <n v="19800"/>
    <n v="14124"/>
    <n v="21651.7"/>
    <n v="-1"/>
    <n v="-1"/>
    <n v="-1"/>
    <m/>
    <m/>
    <m/>
    <m/>
    <m/>
    <m/>
    <m/>
    <m/>
    <m/>
    <m/>
  </r>
  <r>
    <s v="MVPRP_C50_P3_V3_I3"/>
    <s v="MVPRP"/>
    <s v="C50"/>
    <x v="0"/>
    <x v="0"/>
    <s v="I3"/>
    <x v="2"/>
    <x v="0"/>
    <n v="65829"/>
    <n v="65829"/>
    <n v="0"/>
    <n v="1175.9930360317201"/>
    <s v="[(1, 1, 341.0), (2, 1, 300.0), (3, 1, 345.0)]"/>
    <n v="360"/>
    <m/>
    <n v="3"/>
    <n v="3000"/>
    <n v="29580"/>
    <n v="10569"/>
    <n v="22680"/>
    <n v="-1"/>
    <n v="-1"/>
    <n v="-1"/>
    <m/>
    <m/>
    <m/>
    <m/>
    <m/>
    <m/>
    <m/>
    <m/>
    <m/>
    <m/>
  </r>
  <r>
    <s v="MVPRP_C30_P6_V3_I3"/>
    <s v="MVPRP"/>
    <s v="C30"/>
    <x v="2"/>
    <x v="0"/>
    <s v="I3"/>
    <x v="2"/>
    <x v="0"/>
    <n v="84724.4"/>
    <n v="84719.022041580698"/>
    <n v="6.34759103548339E-5"/>
    <n v="2204.1647367477399"/>
    <s v="[(2, 1, 223.0), (3, 1, 221.0), (4, 1, 217.0), (4, 2, 216.0), (5, 1, 228.0)]"/>
    <n v="228"/>
    <m/>
    <n v="3"/>
    <n v="6000"/>
    <n v="33150"/>
    <n v="21374"/>
    <n v="24200.400000000001"/>
    <n v="-1"/>
    <n v="-1"/>
    <n v="-1"/>
    <m/>
    <m/>
    <m/>
    <m/>
    <m/>
    <m/>
    <m/>
    <m/>
    <m/>
    <m/>
  </r>
  <r>
    <s v="MVPRP_C25_P3_V2_I3"/>
    <s v="MVPRP"/>
    <s v="C25"/>
    <x v="0"/>
    <x v="1"/>
    <s v="I3"/>
    <x v="2"/>
    <x v="0"/>
    <n v="43946.8"/>
    <n v="43946.8"/>
    <n v="0"/>
    <n v="8.0891377925872803"/>
    <s v="[(1, 1, 281.0), (2, 1, 197.0)]"/>
    <n v="283"/>
    <m/>
    <n v="3"/>
    <n v="3000"/>
    <n v="14340"/>
    <n v="6727"/>
    <n v="19879.8"/>
    <n v="-1"/>
    <n v="-1"/>
    <n v="-1"/>
    <m/>
    <m/>
    <m/>
    <m/>
    <m/>
    <m/>
    <m/>
    <m/>
    <m/>
    <m/>
  </r>
  <r>
    <s v="MVPRP_C15_P6_V2_I3"/>
    <s v="MVPRP"/>
    <s v="C15"/>
    <x v="2"/>
    <x v="1"/>
    <s v="I3"/>
    <x v="2"/>
    <x v="0"/>
    <n v="64306"/>
    <n v="64306"/>
    <n v="0"/>
    <n v="13.0548288822174"/>
    <s v="[(2, 1, 174.0), (3, 1, 197.0), (3, 2, 38.0), (5, 1, 193.0), (5, 2, 58.0)]"/>
    <n v="198"/>
    <m/>
    <n v="3"/>
    <n v="6000"/>
    <n v="19800"/>
    <n v="14664"/>
    <n v="23842"/>
    <n v="-1"/>
    <n v="-1"/>
    <n v="-1"/>
    <m/>
    <m/>
    <m/>
    <m/>
    <m/>
    <m/>
    <m/>
    <m/>
    <m/>
    <m/>
  </r>
  <r>
    <s v="MVPRP_C20_P3_V2_I3"/>
    <s v="MVPRP"/>
    <s v="C20"/>
    <x v="0"/>
    <x v="1"/>
    <s v="I3"/>
    <x v="2"/>
    <x v="0"/>
    <n v="37786.699999999997"/>
    <n v="37786.699999999997"/>
    <n v="0"/>
    <n v="7.0421454906463596"/>
    <s v="[(1, 1, 274.0), (2, 1, 127.0)]"/>
    <n v="283"/>
    <m/>
    <n v="3"/>
    <n v="3000"/>
    <n v="12030"/>
    <n v="5375"/>
    <n v="17381.7"/>
    <n v="-1"/>
    <n v="-1"/>
    <n v="-1"/>
    <m/>
    <m/>
    <m/>
    <m/>
    <m/>
    <m/>
    <m/>
    <m/>
    <m/>
    <m/>
  </r>
  <r>
    <s v="MVPRP_C10_P6_V3_I3"/>
    <s v="MVPRP"/>
    <s v="C10"/>
    <x v="2"/>
    <x v="0"/>
    <s v="I3"/>
    <x v="2"/>
    <x v="0"/>
    <n v="42064"/>
    <n v="42064"/>
    <n v="0"/>
    <n v="5.3152327537536603"/>
    <s v="[(2, 1, 100.0), (3, 1, 132.0), (5, 1, 132.0), (6, 1, 59.0)]"/>
    <n v="132"/>
    <m/>
    <n v="3"/>
    <n v="6000"/>
    <n v="12690"/>
    <n v="8865"/>
    <n v="14509"/>
    <n v="-1"/>
    <n v="-1"/>
    <n v="-1"/>
    <m/>
    <m/>
    <m/>
    <m/>
    <m/>
    <m/>
    <m/>
    <m/>
    <m/>
    <m/>
  </r>
  <r>
    <s v="MVPRP_C50_P3_V4_I3"/>
    <s v="MVPRP"/>
    <s v="C50"/>
    <x v="0"/>
    <x v="2"/>
    <s v="I3"/>
    <x v="2"/>
    <x v="1"/>
    <n v="67851"/>
    <n v="66566.512701132699"/>
    <n v="1.8931000263330802E-2"/>
    <n v="3600.7685867935807"/>
    <s v="[(1, 2, 498.0), (2, 2, 488.0)]"/>
    <n v="270"/>
    <m/>
    <n v="3"/>
    <n v="3000"/>
    <n v="29580"/>
    <n v="12728"/>
    <n v="22543"/>
    <n v="-1"/>
    <n v="-1"/>
    <n v="-1"/>
    <m/>
    <m/>
    <m/>
    <m/>
    <m/>
    <m/>
    <m/>
    <m/>
    <m/>
    <m/>
  </r>
  <r>
    <s v="MVPRP_C15_P3_V2_I3"/>
    <s v="MVPRP"/>
    <s v="C15"/>
    <x v="0"/>
    <x v="1"/>
    <s v="I3"/>
    <x v="2"/>
    <x v="0"/>
    <n v="33212.9"/>
    <n v="33212.9"/>
    <n v="0"/>
    <n v="3.7655830383300799"/>
    <s v="[(1, 1, 192.0), (2, 1, 140.0)]"/>
    <n v="198"/>
    <m/>
    <n v="3"/>
    <n v="3000"/>
    <n v="9960"/>
    <n v="4700"/>
    <n v="15552.9"/>
    <n v="-1"/>
    <n v="-1"/>
    <n v="-1"/>
    <m/>
    <m/>
    <m/>
    <m/>
    <m/>
    <m/>
    <m/>
    <m/>
    <m/>
    <m/>
  </r>
  <r>
    <s v="MVPRP_C40_P3_V4_I3"/>
    <s v="MVPRP"/>
    <s v="C40"/>
    <x v="0"/>
    <x v="2"/>
    <s v="I3"/>
    <x v="2"/>
    <x v="1"/>
    <n v="63593.9998898712"/>
    <n v="62502.841283061498"/>
    <n v="1.71582005959568E-2"/>
    <n v="3600.1579294321436"/>
    <s v="[(1, 2, 532.0000460475064), (2, 2, 269.9999504124235), (3, 2, 119.99995395249339)]"/>
    <n v="270"/>
    <m/>
    <n v="3"/>
    <n v="3000"/>
    <n v="27660"/>
    <n v="11375.0003198348"/>
    <n v="21558.999570036402"/>
    <n v="-1"/>
    <n v="-1"/>
    <n v="-1"/>
    <m/>
    <m/>
    <m/>
    <m/>
    <m/>
    <m/>
    <m/>
    <m/>
    <m/>
    <m/>
  </r>
  <r>
    <s v="MVPRP_C25_P3_V3_I3"/>
    <s v="MVPRP"/>
    <s v="C25"/>
    <x v="0"/>
    <x v="0"/>
    <s v="I3"/>
    <x v="2"/>
    <x v="0"/>
    <n v="39170.5"/>
    <n v="39170.5"/>
    <n v="0"/>
    <n v="21.8196153640747"/>
    <s v="[(1, 1, 187.0), (1, 2, 109.0), (2, 1, 182.0)]"/>
    <n v="189"/>
    <m/>
    <n v="3"/>
    <n v="3000"/>
    <n v="14340"/>
    <n v="6770"/>
    <n v="15060.5"/>
    <n v="-1"/>
    <n v="-1"/>
    <n v="-1"/>
    <m/>
    <m/>
    <m/>
    <m/>
    <m/>
    <m/>
    <m/>
    <m/>
    <m/>
    <m/>
  </r>
  <r>
    <s v="MVPRP_C20_P6_V3_I3"/>
    <s v="MVPRP"/>
    <s v="C20"/>
    <x v="2"/>
    <x v="0"/>
    <s v="I3"/>
    <x v="2"/>
    <x v="0"/>
    <n v="67431.600000000006"/>
    <n v="67431.600000000006"/>
    <n v="0"/>
    <n v="157.98980760574301"/>
    <s v="[(2, 1, 189.0), (2, 2, 84.0), (3, 1, 185.0), (5, 1, 189.0), (6, 1, 147.0)]"/>
    <n v="189"/>
    <m/>
    <n v="3"/>
    <n v="6000"/>
    <n v="23820"/>
    <n v="14906"/>
    <n v="22705.599999999999"/>
    <n v="-1"/>
    <n v="-1"/>
    <n v="-1"/>
    <m/>
    <m/>
    <m/>
    <m/>
    <m/>
    <m/>
    <m/>
    <m/>
    <m/>
    <m/>
  </r>
  <r>
    <s v="MVPRP_C20_P9_V3_I3"/>
    <s v="MVPRP"/>
    <s v="C20"/>
    <x v="1"/>
    <x v="0"/>
    <s v="I3"/>
    <x v="2"/>
    <x v="1"/>
    <n v="118385.60000000001"/>
    <n v="116196.645205269"/>
    <n v="1.84900426633916E-2"/>
    <n v="3600.10905885696"/>
    <s v="[(2, 1, 185.0), (2, 2, 135.0), (4, 1, 181.0), (5, 1, 189.0), (5, 2, 167.0), (6, 1, 189.0), (7, 1, 189.0), (7, 2, 180.0), (8, 1, 189.0)]"/>
    <n v="189"/>
    <m/>
    <n v="3"/>
    <n v="9000"/>
    <n v="48120"/>
    <n v="23767"/>
    <n v="37498.6"/>
    <n v="-1"/>
    <n v="-1"/>
    <n v="-1"/>
    <m/>
    <m/>
    <m/>
    <m/>
    <m/>
    <m/>
    <m/>
    <m/>
    <m/>
    <m/>
  </r>
  <r>
    <s v="MVPRP_C40_P6_V3_I3"/>
    <s v="MVPRP"/>
    <s v="C40"/>
    <x v="2"/>
    <x v="0"/>
    <s v="I3"/>
    <x v="2"/>
    <x v="1"/>
    <n v="128975.8"/>
    <n v="124991.02988835001"/>
    <n v="3.08954866854887E-2"/>
    <n v="3600.1782145500201"/>
    <s v="[(2, 1, 358.0), (3, 1, 360.0), (4, 1, 360.0), (4, 2, 42.0), (5, 1, 360.0), (6, 1, 359.0)]"/>
    <n v="360"/>
    <m/>
    <n v="3"/>
    <n v="9000"/>
    <n v="55170"/>
    <n v="30206"/>
    <n v="34599.800000000003"/>
    <n v="-1"/>
    <n v="-1"/>
    <n v="-1"/>
    <m/>
    <m/>
    <m/>
    <m/>
    <m/>
    <m/>
    <m/>
    <m/>
    <m/>
    <m/>
  </r>
  <r>
    <s v="MVPRP_C25_P9_V2_I3"/>
    <s v="MVPRP"/>
    <s v="C25"/>
    <x v="1"/>
    <x v="1"/>
    <s v="I3"/>
    <x v="2"/>
    <x v="1"/>
    <n v="150934.29999999999"/>
    <n v="148653.752618609"/>
    <n v="1.51095369401834E-2"/>
    <n v="3600.1668298244499"/>
    <s v="[(2, 1, 282.0), (3, 1, 106.0), (4, 1, 243.0), (5, 1, 282.0), (5, 2, 168.0), (6, 1, 250.0), (7, 1, 283.0), (7, 2, 99.0), (8, 1, 283.0)]"/>
    <n v="283"/>
    <m/>
    <n v="3"/>
    <n v="9000"/>
    <n v="59880"/>
    <n v="32283"/>
    <n v="49771.3"/>
    <n v="-1"/>
    <n v="-1"/>
    <n v="-1"/>
    <m/>
    <m/>
    <m/>
    <m/>
    <m/>
    <m/>
    <m/>
    <m/>
    <m/>
    <m/>
  </r>
  <r>
    <s v="MVPRP_C40_P6_V4_I3"/>
    <s v="MVPRP"/>
    <s v="C40"/>
    <x v="2"/>
    <x v="2"/>
    <s v="I3"/>
    <x v="2"/>
    <x v="1"/>
    <n v="129828.6"/>
    <n v="126803.59326280199"/>
    <n v="2.33000027513026E-2"/>
    <n v="3600.2115981591205"/>
    <s v="[(2, 2, 535.0), (2, 3, 42.0), (3, 2, 270.0), (5, 2, 540.0), (5, 3, 17.0), (6, 2, 435.0)]"/>
    <n v="270"/>
    <m/>
    <n v="3"/>
    <n v="6000"/>
    <n v="55170"/>
    <n v="30098"/>
    <n v="38560.6"/>
    <n v="-1"/>
    <n v="-1"/>
    <n v="-1"/>
    <m/>
    <m/>
    <m/>
    <m/>
    <m/>
    <m/>
    <m/>
    <m/>
    <m/>
    <m/>
  </r>
  <r>
    <s v="MVPRP_C15_P9_V3_I3"/>
    <s v="MVPRP"/>
    <s v="C15"/>
    <x v="1"/>
    <x v="0"/>
    <s v="I3"/>
    <x v="2"/>
    <x v="1"/>
    <n v="111004.199181149"/>
    <n v="106385.350874443"/>
    <n v="4.1609671893295903E-2"/>
    <n v="3600.1076374054001"/>
    <s v="[(2, 1, 132.0), (2, 2, 68.0), (3, 1, 132.0), (3, 2, 96.0000108571382), (5, 1, 132.0), (5, 2, 131.9999891428618), (5, 3, 58.0), (6, 1, 132.0), (7, 1, 132.0), (7, 2, 132.0), (7, 3, 87.0), (8, 1, 132.0)]"/>
    <n v="132"/>
    <m/>
    <n v="3"/>
    <n v="9000"/>
    <n v="40949.999999999804"/>
    <n v="22546.0001845714"/>
    <n v="38508.198996577601"/>
    <n v="-1"/>
    <n v="-1"/>
    <n v="-1"/>
    <m/>
    <m/>
    <m/>
    <m/>
    <m/>
    <m/>
    <m/>
    <m/>
    <m/>
    <m/>
  </r>
  <r>
    <s v="MVPRP_C35_P3_V4_I3"/>
    <s v="MVPRP"/>
    <s v="C35"/>
    <x v="0"/>
    <x v="2"/>
    <s v="I3"/>
    <x v="2"/>
    <x v="1"/>
    <n v="51474.999247036299"/>
    <n v="50756.976643672097"/>
    <n v="1.39489580158776E-2"/>
    <n v="3600.9872873662284"/>
    <s v="[(1, 2, 350.0), (2, 2, 370.0)]"/>
    <n v="207"/>
    <m/>
    <n v="3"/>
    <n v="3000"/>
    <n v="21600"/>
    <n v="8387"/>
    <n v="18487.999247036299"/>
    <n v="-1"/>
    <n v="-1"/>
    <n v="-1"/>
    <m/>
    <m/>
    <m/>
    <m/>
    <m/>
    <m/>
    <m/>
    <m/>
    <m/>
    <m/>
  </r>
  <r>
    <s v="MVPRP_C20_P9_V2_I3"/>
    <s v="MVPRP"/>
    <s v="C20"/>
    <x v="1"/>
    <x v="1"/>
    <s v="I3"/>
    <x v="2"/>
    <x v="0"/>
    <n v="123956.3"/>
    <n v="123956.3"/>
    <n v="0"/>
    <n v="596.55866026878402"/>
    <s v="[(2, 1, 275.0), (4, 1, 263.0), (5, 1, 283.0), (6, 1, 254.0), (7, 1, 283.0), (8, 1, 246.0)]"/>
    <n v="283"/>
    <m/>
    <n v="3"/>
    <n v="9000"/>
    <n v="48120"/>
    <n v="23774"/>
    <n v="43062.3"/>
    <n v="-1"/>
    <n v="-1"/>
    <n v="-1"/>
    <m/>
    <m/>
    <m/>
    <m/>
    <m/>
    <m/>
    <m/>
    <m/>
    <m/>
    <m/>
  </r>
  <r>
    <s v="MVPRP_C45_P3_V4_I3"/>
    <s v="MVPRP"/>
    <s v="C45"/>
    <x v="0"/>
    <x v="2"/>
    <s v="I3"/>
    <x v="2"/>
    <x v="1"/>
    <n v="72344"/>
    <n v="71407.436999962098"/>
    <n v="1.2945966493943599E-2"/>
    <n v="3600.6180295047293"/>
    <s v="[(1, 2, 535.0), (2, 2, 297.0), (3, 2, 270.0)]"/>
    <n v="270"/>
    <m/>
    <n v="3"/>
    <n v="3000"/>
    <n v="33060"/>
    <n v="12173"/>
    <n v="24111"/>
    <n v="-1"/>
    <n v="-1"/>
    <n v="-1"/>
    <m/>
    <m/>
    <m/>
    <m/>
    <m/>
    <m/>
    <m/>
    <m/>
    <m/>
    <m/>
  </r>
  <r>
    <s v="MVPRP_C10_P9_V3_I3"/>
    <s v="MVPRP"/>
    <s v="C10"/>
    <x v="1"/>
    <x v="0"/>
    <s v="I3"/>
    <x v="2"/>
    <x v="0"/>
    <n v="73128.100000000006"/>
    <n v="73128.099999999904"/>
    <n v="0"/>
    <n v="30.519408702850299"/>
    <s v="[(2, 1, 119.0), (3, 1, 132.0), (5, 1, 132.0), (5, 2, 132.0), (7, 1, 132.0), (7, 2, 114.0), (8, 1, 118.0)]"/>
    <n v="132"/>
    <m/>
    <n v="3"/>
    <n v="9000"/>
    <n v="26370"/>
    <n v="14133"/>
    <n v="23625.1"/>
    <n v="-1"/>
    <n v="-1"/>
    <n v="-1"/>
    <m/>
    <m/>
    <m/>
    <m/>
    <m/>
    <m/>
    <m/>
    <m/>
    <m/>
    <m/>
  </r>
  <r>
    <s v="MVPRP_C10_P9_V2_I3"/>
    <s v="MVPRP"/>
    <s v="C10"/>
    <x v="1"/>
    <x v="1"/>
    <s v="I3"/>
    <x v="2"/>
    <x v="0"/>
    <n v="76545.5"/>
    <n v="76545.5"/>
    <n v="0"/>
    <n v="13.2579572200775"/>
    <s v="[(2, 1, 135.0), (3, 1, 112.0), (5, 1, 198.0), (6, 1, 118.0), (7, 1, 198.0), (8, 1, 118.0)]"/>
    <n v="198"/>
    <m/>
    <n v="3"/>
    <n v="9000"/>
    <n v="26370"/>
    <n v="14099"/>
    <n v="27076.5"/>
    <n v="-1"/>
    <n v="-1"/>
    <n v="-1"/>
    <m/>
    <m/>
    <m/>
    <m/>
    <m/>
    <m/>
    <m/>
    <m/>
    <m/>
    <m/>
  </r>
  <r>
    <s v="MVPRP_C25_P9_V3_I3"/>
    <s v="MVPRP"/>
    <s v="C25"/>
    <x v="1"/>
    <x v="0"/>
    <s v="I3"/>
    <x v="2"/>
    <x v="1"/>
    <n v="144347.20000000001"/>
    <n v="138103.36741254199"/>
    <n v="4.3255654335227003E-2"/>
    <n v="3600.4237644672398"/>
    <s v="[(2, 1, 186.0), (2, 2, 60.0), (3, 1, 136.0), (3, 2, 36.0), (4, 1, 178.0), (5, 1, 189.0), (5, 2, 186.0), (6, 1, 189.0), (6, 2, 110.0), (7, 1, 189.0), (7, 2, 189.0), (8, 1, 189.0), (9, 1, 159.0)]"/>
    <n v="189"/>
    <m/>
    <n v="3"/>
    <n v="9000"/>
    <n v="59880"/>
    <n v="29755"/>
    <n v="45712.2"/>
    <n v="-1"/>
    <n v="-1"/>
    <n v="-1"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3571D-183B-4521-9932-0CB6BEE0979B}" name="PivotTable8" cacheId="22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>
  <location ref="A1:M16" firstHeaderRow="1" firstDataRow="3" firstDataCol="1"/>
  <pivotFields count="33"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axis="axisCol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6"/>
    <field x="-2"/>
  </colFields>
  <colItems count="12">
    <i>
      <x v="3"/>
      <x/>
    </i>
    <i r="1" i="1">
      <x v="1"/>
    </i>
    <i r="1" i="2">
      <x v="2"/>
    </i>
    <i r="1" i="3">
      <x v="3"/>
    </i>
    <i>
      <x v="4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</colItems>
  <dataFields count="4">
    <dataField name="Average of ObjVal" fld="8" subtotal="average" baseField="4" baseItem="0"/>
    <dataField name="Average of ObjBound" fld="9" subtotal="average" baseField="4" baseItem="0"/>
    <dataField name="Average of Gap" fld="10" subtotal="average" baseField="4" baseItem="0" numFmtId="10"/>
    <dataField name="Average of runtime" fld="11" subtotal="average" baseField="4" baseItem="0"/>
  </dataFields>
  <formats count="5">
    <format dxfId="8">
      <pivotArea outline="0" collapsedLevelsAreSubtotals="1" fieldPosition="0"/>
    </format>
    <format dxfId="7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format>
    <format dxfId="6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format>
    <format dxfId="5">
      <pivotArea outline="0" collapsedLevelsAreSubtotals="1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format>
    <format dxfId="0">
      <pivotArea outline="0" fieldPosition="0">
        <references count="1">
          <reference field="4294967294" count="1">
            <x v="2"/>
          </reference>
        </references>
      </pivotArea>
    </format>
  </formats>
  <chartFormats count="27">
    <chartFormat chart="0" format="0" series="1">
      <pivotArea type="data" outline="0" fieldPosition="0">
        <references count="1"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2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1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1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3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3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4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4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1"/>
          </reference>
          <reference field="6" count="1" selected="0">
            <x v="5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2"/>
          </reference>
          <reference field="6" count="1" selected="0">
            <x v="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3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D1832-3D16-4F58-86F9-ED479B739C23}" name="PivotTable9" cacheId="22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outline="1" outlineData="1" multipleFieldFilters="0" chartFormat="1">
  <location ref="A1:I16" firstHeaderRow="1" firstDataRow="3" firstDataCol="1"/>
  <pivotFields count="33">
    <pivotField showAll="0"/>
    <pivotField showAll="0"/>
    <pivotField showAll="0"/>
    <pivotField axis="axisRow" showAll="0">
      <items count="4">
        <item x="0"/>
        <item x="2"/>
        <item x="1"/>
        <item t="default"/>
      </items>
    </pivotField>
    <pivotField axis="axisRow" showAll="0">
      <items count="4">
        <item x="1"/>
        <item x="0"/>
        <item x="2"/>
        <item t="default"/>
      </items>
    </pivotField>
    <pivotField showAll="0"/>
    <pivotField axis="axisCol" showAll="0">
      <items count="7">
        <item m="1" x="3"/>
        <item m="1" x="4"/>
        <item m="1" x="5"/>
        <item x="0"/>
        <item x="1"/>
        <item x="2"/>
        <item t="default"/>
      </items>
    </pivotField>
    <pivotField axis="axisCol" dataField="1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4"/>
    <field x="3"/>
  </rowFields>
  <rowItems count="13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7"/>
    <field x="6"/>
  </colFields>
  <colItems count="8">
    <i>
      <x/>
      <x v="3"/>
    </i>
    <i r="1">
      <x v="4"/>
    </i>
    <i r="1">
      <x v="5"/>
    </i>
    <i t="default">
      <x/>
    </i>
    <i>
      <x v="1"/>
      <x v="3"/>
    </i>
    <i r="1">
      <x v="4"/>
    </i>
    <i r="1">
      <x v="5"/>
    </i>
    <i t="default">
      <x v="1"/>
    </i>
  </colItems>
  <dataFields count="1">
    <dataField name="Count of status" fld="7" subtotal="count" baseField="0" baseItem="0"/>
  </dataFields>
  <chartFormats count="9">
    <chartFormat chart="0" format="0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0"/>
          </reference>
        </references>
      </pivotArea>
    </chartFormat>
    <chartFormat chart="0" format="3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1"/>
          </reference>
          <reference field="7" count="1" selected="0">
            <x v="1"/>
          </reference>
        </references>
      </pivotArea>
    </chartFormat>
    <chartFormat chart="0" format="4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0"/>
          </reference>
        </references>
      </pivotArea>
    </chartFormat>
    <chartFormat chart="0" format="5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1"/>
          </reference>
        </references>
      </pivotArea>
    </chartFormat>
    <chartFormat chart="0" format="6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</references>
      </pivotArea>
    </chartFormat>
    <chartFormat chart="0" format="7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7" count="1" selected="0">
            <x v="1"/>
          </reference>
        </references>
      </pivotArea>
    </chartFormat>
    <chartFormat chart="0" format="8" series="1">
      <pivotArea type="data" outline="0" fieldPosition="0">
        <references count="3">
          <reference field="4294967294" count="1" selected="0">
            <x v="0"/>
          </reference>
          <reference field="6" count="1" selected="0">
            <x v="2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D80CF-15FE-40DC-A0C8-8F94019BF6D5}">
  <dimension ref="A1:M16"/>
  <sheetViews>
    <sheetView tabSelected="1" topLeftCell="E1" workbookViewId="0">
      <selection activeCell="I20" sqref="I20"/>
    </sheetView>
  </sheetViews>
  <sheetFormatPr baseColWidth="10" defaultColWidth="8.88671875" defaultRowHeight="13.2" x14ac:dyDescent="0.25"/>
  <cols>
    <col min="1" max="1" width="21.44140625" bestFit="1" customWidth="1"/>
    <col min="2" max="2" width="23" bestFit="1" customWidth="1"/>
    <col min="3" max="3" width="19.77734375" bestFit="1" customWidth="1"/>
    <col min="4" max="4" width="14.44140625" bestFit="1" customWidth="1"/>
    <col min="5" max="5" width="17.6640625" bestFit="1" customWidth="1"/>
    <col min="6" max="6" width="16.6640625" bestFit="1" customWidth="1"/>
    <col min="7" max="7" width="19.77734375" bestFit="1" customWidth="1"/>
    <col min="8" max="8" width="14.44140625" bestFit="1" customWidth="1"/>
    <col min="9" max="9" width="17.6640625" bestFit="1" customWidth="1"/>
    <col min="10" max="10" width="16.6640625" bestFit="1" customWidth="1"/>
    <col min="11" max="11" width="19.77734375" bestFit="1" customWidth="1"/>
    <col min="12" max="12" width="14.44140625" bestFit="1" customWidth="1"/>
    <col min="13" max="13" width="17.6640625" bestFit="1" customWidth="1"/>
    <col min="14" max="14" width="22.44140625" bestFit="1" customWidth="1"/>
    <col min="15" max="15" width="25.44140625" bestFit="1" customWidth="1"/>
    <col min="16" max="16" width="20" bestFit="1" customWidth="1"/>
    <col min="17" max="17" width="23.33203125" bestFit="1" customWidth="1"/>
  </cols>
  <sheetData>
    <row r="1" spans="1:13" x14ac:dyDescent="0.25">
      <c r="B1" s="1" t="s">
        <v>135</v>
      </c>
    </row>
    <row r="2" spans="1:13" x14ac:dyDescent="0.25">
      <c r="B2" t="s">
        <v>136</v>
      </c>
      <c r="F2" t="s">
        <v>113</v>
      </c>
      <c r="J2" t="s">
        <v>114</v>
      </c>
    </row>
    <row r="3" spans="1:13" x14ac:dyDescent="0.25">
      <c r="A3" s="1" t="s">
        <v>133</v>
      </c>
      <c r="B3" t="s">
        <v>108</v>
      </c>
      <c r="C3" t="s">
        <v>109</v>
      </c>
      <c r="D3" t="s">
        <v>110</v>
      </c>
      <c r="E3" t="s">
        <v>111</v>
      </c>
      <c r="F3" t="s">
        <v>108</v>
      </c>
      <c r="G3" t="s">
        <v>109</v>
      </c>
      <c r="H3" t="s">
        <v>110</v>
      </c>
      <c r="I3" t="s">
        <v>111</v>
      </c>
      <c r="J3" t="s">
        <v>108</v>
      </c>
      <c r="K3" t="s">
        <v>109</v>
      </c>
      <c r="L3" t="s">
        <v>110</v>
      </c>
      <c r="M3" t="s">
        <v>111</v>
      </c>
    </row>
    <row r="4" spans="1:13" x14ac:dyDescent="0.25">
      <c r="A4" s="2" t="s">
        <v>102</v>
      </c>
      <c r="B4" s="4">
        <v>73101.533261876437</v>
      </c>
      <c r="C4" s="4">
        <v>71017.025627972238</v>
      </c>
      <c r="D4" s="5">
        <v>1.5438609602695788E-2</v>
      </c>
      <c r="E4" s="4">
        <v>1530.9291004141178</v>
      </c>
      <c r="F4" s="4">
        <v>72609.207313823674</v>
      </c>
      <c r="G4" s="4">
        <v>65640.915475644768</v>
      </c>
      <c r="H4" s="5">
        <v>8.1615005739643823E-2</v>
      </c>
      <c r="I4" s="4">
        <v>3034.012847761313</v>
      </c>
      <c r="J4" s="4">
        <v>72103.266666666677</v>
      </c>
      <c r="K4" s="4">
        <v>71913.221051550761</v>
      </c>
      <c r="L4" s="5">
        <v>1.2591280783486166E-3</v>
      </c>
      <c r="M4" s="4">
        <v>391.25285428762459</v>
      </c>
    </row>
    <row r="5" spans="1:13" x14ac:dyDescent="0.25">
      <c r="A5" s="3" t="s">
        <v>105</v>
      </c>
      <c r="B5" s="4">
        <v>34362.574999999924</v>
      </c>
      <c r="C5" s="4">
        <v>34286.571313239976</v>
      </c>
      <c r="D5" s="5">
        <v>1.7294475766143926E-3</v>
      </c>
      <c r="E5" s="4">
        <v>912.60911190509921</v>
      </c>
      <c r="F5" s="4">
        <v>34588.6999812828</v>
      </c>
      <c r="G5" s="4">
        <v>31598.233534691375</v>
      </c>
      <c r="H5" s="5">
        <v>7.4735923220468972E-2</v>
      </c>
      <c r="I5" s="4">
        <v>2702.8330212831506</v>
      </c>
      <c r="J5" s="4">
        <v>34362.575000000004</v>
      </c>
      <c r="K5" s="4">
        <v>34362.575000000004</v>
      </c>
      <c r="L5" s="5">
        <v>0</v>
      </c>
      <c r="M5" s="4">
        <v>4.8461236357688904</v>
      </c>
    </row>
    <row r="6" spans="1:13" x14ac:dyDescent="0.25">
      <c r="A6" s="3" t="s">
        <v>106</v>
      </c>
      <c r="B6" s="4">
        <v>65932.549989077146</v>
      </c>
      <c r="C6" s="4">
        <v>65405.257724467745</v>
      </c>
      <c r="D6" s="5">
        <v>6.2571765145696748E-3</v>
      </c>
      <c r="E6" s="4">
        <v>965.78918242454517</v>
      </c>
      <c r="F6" s="4">
        <v>66133.823162329994</v>
      </c>
      <c r="G6" s="4">
        <v>60944.912567337495</v>
      </c>
      <c r="H6" s="5">
        <v>6.9380594795799749E-2</v>
      </c>
      <c r="I6" s="4">
        <v>2797.5779750943166</v>
      </c>
      <c r="J6" s="4">
        <v>65894.725000000006</v>
      </c>
      <c r="K6" s="4">
        <v>65894.725000000006</v>
      </c>
      <c r="L6" s="5">
        <v>0</v>
      </c>
      <c r="M6" s="4">
        <v>42.329130887985279</v>
      </c>
    </row>
    <row r="7" spans="1:13" x14ac:dyDescent="0.25">
      <c r="A7" s="3" t="s">
        <v>107</v>
      </c>
      <c r="B7" s="4">
        <v>119009.47479655225</v>
      </c>
      <c r="C7" s="4">
        <v>113359.24784620899</v>
      </c>
      <c r="D7" s="5">
        <v>3.8329204716903299E-2</v>
      </c>
      <c r="E7" s="4">
        <v>2714.3890069127096</v>
      </c>
      <c r="F7" s="4">
        <v>117105.09879785826</v>
      </c>
      <c r="G7" s="4">
        <v>104379.60032490545</v>
      </c>
      <c r="H7" s="5">
        <v>0.10072849920266275</v>
      </c>
      <c r="I7" s="4">
        <v>3601.6275469064726</v>
      </c>
      <c r="J7" s="4">
        <v>116052.49999999999</v>
      </c>
      <c r="K7" s="4">
        <v>115482.36315465225</v>
      </c>
      <c r="L7" s="5">
        <v>3.7773842350458499E-3</v>
      </c>
      <c r="M7" s="4">
        <v>1126.5833083391196</v>
      </c>
    </row>
    <row r="8" spans="1:13" x14ac:dyDescent="0.25">
      <c r="A8" s="2" t="s">
        <v>103</v>
      </c>
      <c r="B8" s="4">
        <v>77175.057073224554</v>
      </c>
      <c r="C8" s="4">
        <v>72578.923655635415</v>
      </c>
      <c r="D8" s="5">
        <v>4.000421187793847E-2</v>
      </c>
      <c r="E8" s="4">
        <v>2640.5405288764423</v>
      </c>
      <c r="F8" s="4">
        <v>77765.004445862272</v>
      </c>
      <c r="G8" s="4">
        <v>72758.662172617813</v>
      </c>
      <c r="H8" s="5">
        <v>4.160858130987951E-2</v>
      </c>
      <c r="I8" s="4">
        <v>2610.5477423667908</v>
      </c>
      <c r="J8" s="4">
        <v>75369.27613171532</v>
      </c>
      <c r="K8" s="4">
        <v>74043.241533937035</v>
      </c>
      <c r="L8" s="5">
        <v>9.8190187461248604E-3</v>
      </c>
      <c r="M8" s="4">
        <v>1282.9243274643306</v>
      </c>
    </row>
    <row r="9" spans="1:13" x14ac:dyDescent="0.25">
      <c r="A9" s="3" t="s">
        <v>105</v>
      </c>
      <c r="B9" s="4">
        <v>46067.311106965768</v>
      </c>
      <c r="C9" s="4">
        <v>45335.228167278328</v>
      </c>
      <c r="D9" s="5">
        <v>1.2968707286732113E-2</v>
      </c>
      <c r="E9" s="4">
        <v>2134.6132331954122</v>
      </c>
      <c r="F9" s="4">
        <v>46106.644142169185</v>
      </c>
      <c r="G9" s="4">
        <v>45458.069653213985</v>
      </c>
      <c r="H9" s="5">
        <v>1.0768685912553757E-2</v>
      </c>
      <c r="I9" s="4">
        <v>2074.9225663079151</v>
      </c>
      <c r="J9" s="4">
        <v>45991.755532501746</v>
      </c>
      <c r="K9" s="4">
        <v>45991.465903818418</v>
      </c>
      <c r="L9" s="5">
        <v>4.1175062456300439E-6</v>
      </c>
      <c r="M9" s="4">
        <v>279.47788503434884</v>
      </c>
    </row>
    <row r="10" spans="1:13" x14ac:dyDescent="0.25">
      <c r="A10" s="3" t="s">
        <v>106</v>
      </c>
      <c r="B10" s="4">
        <v>84061.228520268676</v>
      </c>
      <c r="C10" s="4">
        <v>77409.357954276464</v>
      </c>
      <c r="D10" s="5">
        <v>6.0960546451475625E-2</v>
      </c>
      <c r="E10" s="4">
        <v>3089.4181954860692</v>
      </c>
      <c r="F10" s="4">
        <v>86801.213979748689</v>
      </c>
      <c r="G10" s="4">
        <v>77621.893788982459</v>
      </c>
      <c r="H10" s="5">
        <v>7.6394474781479177E-2</v>
      </c>
      <c r="I10" s="4">
        <v>3091.3819242545546</v>
      </c>
      <c r="J10" s="4">
        <v>80793.328541765295</v>
      </c>
      <c r="K10" s="4">
        <v>80107.045716571694</v>
      </c>
      <c r="L10" s="5">
        <v>5.5637396489882788E-3</v>
      </c>
      <c r="M10" s="4">
        <v>1427.8140508447375</v>
      </c>
    </row>
    <row r="11" spans="1:13" x14ac:dyDescent="0.25">
      <c r="A11" s="3" t="s">
        <v>107</v>
      </c>
      <c r="B11" s="4">
        <v>123528.35978662867</v>
      </c>
      <c r="C11" s="4">
        <v>114854.96751658068</v>
      </c>
      <c r="D11" s="5">
        <v>5.9329251739157915E-2</v>
      </c>
      <c r="E11" s="4">
        <v>2922.7809278488185</v>
      </c>
      <c r="F11" s="4">
        <v>122099.35964506883</v>
      </c>
      <c r="G11" s="4">
        <v>115091.20444463422</v>
      </c>
      <c r="H11" s="5">
        <v>4.8420142164826339E-2</v>
      </c>
      <c r="I11" s="4">
        <v>2901.5052046298988</v>
      </c>
      <c r="J11" s="4">
        <v>120655.13983622981</v>
      </c>
      <c r="K11" s="4">
        <v>116047.11181246198</v>
      </c>
      <c r="L11" s="5">
        <v>3.344323171389868E-2</v>
      </c>
      <c r="M11" s="4">
        <v>2886.2823111057282</v>
      </c>
    </row>
    <row r="12" spans="1:13" x14ac:dyDescent="0.25">
      <c r="A12" s="2" t="s">
        <v>104</v>
      </c>
      <c r="B12" s="4">
        <v>88718.888888888891</v>
      </c>
      <c r="C12" s="4">
        <v>83431.993028518336</v>
      </c>
      <c r="D12" s="5">
        <v>4.3722470518457283E-2</v>
      </c>
      <c r="E12" s="4">
        <v>3263.2741512987359</v>
      </c>
      <c r="F12" s="4">
        <v>91773.544444444415</v>
      </c>
      <c r="G12" s="4">
        <v>83144.418243046646</v>
      </c>
      <c r="H12" s="5">
        <v>6.9661308854014031E-2</v>
      </c>
      <c r="I12" s="4">
        <v>3245.2325390974688</v>
      </c>
      <c r="J12" s="4">
        <v>86487.922087880943</v>
      </c>
      <c r="K12" s="4">
        <v>84266.973037550051</v>
      </c>
      <c r="L12" s="5">
        <v>2.0806639268332799E-2</v>
      </c>
      <c r="M12" s="4">
        <v>3272.257565067448</v>
      </c>
    </row>
    <row r="13" spans="1:13" x14ac:dyDescent="0.25">
      <c r="A13" s="3" t="s">
        <v>105</v>
      </c>
      <c r="B13" s="4">
        <v>59725.2</v>
      </c>
      <c r="C13" s="4">
        <v>58665.34983655416</v>
      </c>
      <c r="D13" s="5">
        <v>1.5967733122805888E-2</v>
      </c>
      <c r="E13" s="4">
        <v>2991.5982961177842</v>
      </c>
      <c r="F13" s="4">
        <v>60225.199999999953</v>
      </c>
      <c r="G13" s="4">
        <v>58562.422974097623</v>
      </c>
      <c r="H13" s="5">
        <v>2.4700878320559439E-2</v>
      </c>
      <c r="I13" s="4">
        <v>2955.0708359241503</v>
      </c>
      <c r="J13" s="4">
        <v>59561.399827381501</v>
      </c>
      <c r="K13" s="4">
        <v>58755.353525565683</v>
      </c>
      <c r="L13" s="5">
        <v>1.259682507382176E-2</v>
      </c>
      <c r="M13" s="4">
        <v>3009.7554476110813</v>
      </c>
    </row>
    <row r="14" spans="1:13" x14ac:dyDescent="0.25">
      <c r="A14" s="3" t="s">
        <v>106</v>
      </c>
      <c r="B14" s="4">
        <v>110717</v>
      </c>
      <c r="C14" s="4">
        <v>102486.85979687607</v>
      </c>
      <c r="D14" s="5">
        <v>6.9585082200445694E-2</v>
      </c>
      <c r="E14" s="4">
        <v>3602.8178285757699</v>
      </c>
      <c r="F14" s="4">
        <v>121004.39999999998</v>
      </c>
      <c r="G14" s="4">
        <v>102235.55768227922</v>
      </c>
      <c r="H14" s="5">
        <v>0.14095157213766715</v>
      </c>
      <c r="I14" s="4">
        <v>3606.1763204733529</v>
      </c>
      <c r="J14" s="4">
        <v>107115.53321800697</v>
      </c>
      <c r="K14" s="4">
        <v>104430.70162804269</v>
      </c>
      <c r="L14" s="5">
        <v>2.4880100633782667E-2</v>
      </c>
      <c r="M14" s="4">
        <v>3600.322649884592</v>
      </c>
    </row>
    <row r="15" spans="1:13" x14ac:dyDescent="0.25">
      <c r="A15" s="3" t="s">
        <v>107</v>
      </c>
      <c r="B15" s="4">
        <v>167693</v>
      </c>
      <c r="C15" s="4">
        <v>150100.60868326601</v>
      </c>
      <c r="D15" s="5">
        <v>0.10490832245074901</v>
      </c>
      <c r="E15" s="4">
        <v>3603.0223953723898</v>
      </c>
      <c r="F15" s="4">
        <v>161822.70000000001</v>
      </c>
      <c r="G15" s="4">
        <v>148780.97627009399</v>
      </c>
      <c r="H15" s="5">
        <v>8.0592671670327701E-2</v>
      </c>
      <c r="I15" s="4">
        <v>3613.2097108364101</v>
      </c>
      <c r="J15" s="4">
        <v>159237.70000000001</v>
      </c>
      <c r="K15" s="4">
        <v>151333.884825994</v>
      </c>
      <c r="L15" s="5">
        <v>4.9635326144538403E-2</v>
      </c>
      <c r="M15" s="4">
        <v>3600.57289789785</v>
      </c>
    </row>
    <row r="16" spans="1:13" x14ac:dyDescent="0.25">
      <c r="A16" s="2" t="s">
        <v>134</v>
      </c>
      <c r="B16" s="4">
        <v>78484.871373338887</v>
      </c>
      <c r="C16" s="4">
        <v>74458.324799063717</v>
      </c>
      <c r="D16" s="5">
        <v>3.3782238079408881E-2</v>
      </c>
      <c r="E16" s="4">
        <v>2456.9516112634119</v>
      </c>
      <c r="F16" s="4">
        <v>79293.749550690278</v>
      </c>
      <c r="G16" s="4">
        <v>72950.539417145977</v>
      </c>
      <c r="H16" s="5">
        <v>5.9050287049269554E-2</v>
      </c>
      <c r="I16" s="4">
        <v>2867.5416574932278</v>
      </c>
      <c r="J16" s="4">
        <v>76818.697560879795</v>
      </c>
      <c r="K16" s="4">
        <v>75625.46386117232</v>
      </c>
      <c r="L16" s="5">
        <v>9.7278258100904919E-3</v>
      </c>
      <c r="M16" s="4">
        <v>1454.4467431859398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29F90-5F85-4A89-8E3C-1E30183721FF}">
  <dimension ref="A1:I16"/>
  <sheetViews>
    <sheetView workbookViewId="0">
      <selection activeCell="F19" sqref="F19"/>
    </sheetView>
  </sheetViews>
  <sheetFormatPr baseColWidth="10" defaultColWidth="8.88671875" defaultRowHeight="13.2" x14ac:dyDescent="0.25"/>
  <cols>
    <col min="1" max="1" width="21.44140625" bestFit="1" customWidth="1"/>
    <col min="2" max="2" width="23" bestFit="1" customWidth="1"/>
    <col min="3" max="3" width="3.33203125" bestFit="1" customWidth="1"/>
    <col min="4" max="4" width="7.77734375" bestFit="1" customWidth="1"/>
    <col min="5" max="5" width="17.44140625" bestFit="1" customWidth="1"/>
    <col min="6" max="6" width="12.6640625" bestFit="1" customWidth="1"/>
    <col min="7" max="7" width="3.33203125" bestFit="1" customWidth="1"/>
    <col min="8" max="8" width="7.77734375" bestFit="1" customWidth="1"/>
    <col min="9" max="9" width="19.21875" bestFit="1" customWidth="1"/>
    <col min="10" max="10" width="100.109375" bestFit="1" customWidth="1"/>
    <col min="11" max="11" width="12.33203125" bestFit="1" customWidth="1"/>
  </cols>
  <sheetData>
    <row r="1" spans="1:9" x14ac:dyDescent="0.25">
      <c r="A1" s="1" t="s">
        <v>112</v>
      </c>
      <c r="B1" s="1" t="s">
        <v>135</v>
      </c>
    </row>
    <row r="2" spans="1:9" x14ac:dyDescent="0.25">
      <c r="B2" t="s">
        <v>28</v>
      </c>
      <c r="E2" t="s">
        <v>137</v>
      </c>
      <c r="F2" t="s">
        <v>30</v>
      </c>
      <c r="I2" t="s">
        <v>138</v>
      </c>
    </row>
    <row r="3" spans="1:9" x14ac:dyDescent="0.25">
      <c r="A3" s="1" t="s">
        <v>133</v>
      </c>
      <c r="B3" t="s">
        <v>136</v>
      </c>
      <c r="C3" t="s">
        <v>113</v>
      </c>
      <c r="D3" t="s">
        <v>114</v>
      </c>
      <c r="F3" t="s">
        <v>136</v>
      </c>
      <c r="G3" t="s">
        <v>113</v>
      </c>
      <c r="H3" t="s">
        <v>114</v>
      </c>
    </row>
    <row r="4" spans="1:9" x14ac:dyDescent="0.25">
      <c r="A4" s="2" t="s">
        <v>102</v>
      </c>
      <c r="B4" s="7">
        <v>7</v>
      </c>
      <c r="C4" s="7">
        <v>2</v>
      </c>
      <c r="D4" s="7">
        <v>11</v>
      </c>
      <c r="E4" s="7">
        <v>20</v>
      </c>
      <c r="F4" s="7">
        <v>5</v>
      </c>
      <c r="G4" s="7">
        <v>10</v>
      </c>
      <c r="H4" s="7">
        <v>1</v>
      </c>
      <c r="I4" s="7">
        <v>16</v>
      </c>
    </row>
    <row r="5" spans="1:9" x14ac:dyDescent="0.25">
      <c r="A5" s="3" t="s">
        <v>105</v>
      </c>
      <c r="B5" s="7">
        <v>3</v>
      </c>
      <c r="C5" s="7">
        <v>1</v>
      </c>
      <c r="D5" s="7">
        <v>4</v>
      </c>
      <c r="E5" s="7">
        <v>8</v>
      </c>
      <c r="F5" s="7">
        <v>1</v>
      </c>
      <c r="G5" s="7">
        <v>3</v>
      </c>
      <c r="H5" s="7"/>
      <c r="I5" s="7">
        <v>4</v>
      </c>
    </row>
    <row r="6" spans="1:9" x14ac:dyDescent="0.25">
      <c r="A6" s="3" t="s">
        <v>106</v>
      </c>
      <c r="B6" s="7">
        <v>3</v>
      </c>
      <c r="C6" s="7">
        <v>1</v>
      </c>
      <c r="D6" s="7">
        <v>4</v>
      </c>
      <c r="E6" s="7">
        <v>8</v>
      </c>
      <c r="F6" s="7">
        <v>1</v>
      </c>
      <c r="G6" s="7">
        <v>3</v>
      </c>
      <c r="H6" s="7"/>
      <c r="I6" s="7">
        <v>4</v>
      </c>
    </row>
    <row r="7" spans="1:9" x14ac:dyDescent="0.25">
      <c r="A7" s="3" t="s">
        <v>107</v>
      </c>
      <c r="B7" s="7">
        <v>1</v>
      </c>
      <c r="C7" s="7"/>
      <c r="D7" s="7">
        <v>3</v>
      </c>
      <c r="E7" s="7">
        <v>4</v>
      </c>
      <c r="F7" s="7">
        <v>3</v>
      </c>
      <c r="G7" s="7">
        <v>4</v>
      </c>
      <c r="H7" s="7">
        <v>1</v>
      </c>
      <c r="I7" s="7">
        <v>8</v>
      </c>
    </row>
    <row r="8" spans="1:9" x14ac:dyDescent="0.25">
      <c r="A8" s="2" t="s">
        <v>103</v>
      </c>
      <c r="B8" s="7">
        <v>6</v>
      </c>
      <c r="C8" s="7">
        <v>6</v>
      </c>
      <c r="D8" s="7">
        <v>15</v>
      </c>
      <c r="E8" s="7">
        <v>27</v>
      </c>
      <c r="F8" s="7">
        <v>15</v>
      </c>
      <c r="G8" s="7">
        <v>15</v>
      </c>
      <c r="H8" s="7">
        <v>6</v>
      </c>
      <c r="I8" s="7">
        <v>36</v>
      </c>
    </row>
    <row r="9" spans="1:9" x14ac:dyDescent="0.25">
      <c r="A9" s="3" t="s">
        <v>105</v>
      </c>
      <c r="B9" s="7">
        <v>4</v>
      </c>
      <c r="C9" s="7">
        <v>4</v>
      </c>
      <c r="D9" s="7">
        <v>9</v>
      </c>
      <c r="E9" s="7">
        <v>17</v>
      </c>
      <c r="F9" s="7">
        <v>5</v>
      </c>
      <c r="G9" s="7">
        <v>5</v>
      </c>
      <c r="H9" s="7"/>
      <c r="I9" s="7">
        <v>10</v>
      </c>
    </row>
    <row r="10" spans="1:9" x14ac:dyDescent="0.25">
      <c r="A10" s="3" t="s">
        <v>106</v>
      </c>
      <c r="B10" s="7">
        <v>1</v>
      </c>
      <c r="C10" s="7">
        <v>1</v>
      </c>
      <c r="D10" s="7">
        <v>5</v>
      </c>
      <c r="E10" s="7">
        <v>7</v>
      </c>
      <c r="F10" s="7">
        <v>6</v>
      </c>
      <c r="G10" s="7">
        <v>6</v>
      </c>
      <c r="H10" s="7">
        <v>2</v>
      </c>
      <c r="I10" s="7">
        <v>14</v>
      </c>
    </row>
    <row r="11" spans="1:9" x14ac:dyDescent="0.25">
      <c r="A11" s="3" t="s">
        <v>107</v>
      </c>
      <c r="B11" s="7">
        <v>1</v>
      </c>
      <c r="C11" s="7">
        <v>1</v>
      </c>
      <c r="D11" s="7">
        <v>1</v>
      </c>
      <c r="E11" s="7">
        <v>3</v>
      </c>
      <c r="F11" s="7">
        <v>4</v>
      </c>
      <c r="G11" s="7">
        <v>4</v>
      </c>
      <c r="H11" s="7">
        <v>4</v>
      </c>
      <c r="I11" s="7">
        <v>12</v>
      </c>
    </row>
    <row r="12" spans="1:9" x14ac:dyDescent="0.25">
      <c r="A12" s="2" t="s">
        <v>104</v>
      </c>
      <c r="B12" s="7">
        <v>1</v>
      </c>
      <c r="C12" s="7">
        <v>1</v>
      </c>
      <c r="D12" s="7">
        <v>1</v>
      </c>
      <c r="E12" s="7">
        <v>3</v>
      </c>
      <c r="F12" s="7">
        <v>8</v>
      </c>
      <c r="G12" s="7">
        <v>8</v>
      </c>
      <c r="H12" s="7">
        <v>8</v>
      </c>
      <c r="I12" s="7">
        <v>24</v>
      </c>
    </row>
    <row r="13" spans="1:9" x14ac:dyDescent="0.25">
      <c r="A13" s="3" t="s">
        <v>105</v>
      </c>
      <c r="B13" s="7">
        <v>1</v>
      </c>
      <c r="C13" s="7">
        <v>1</v>
      </c>
      <c r="D13" s="7">
        <v>1</v>
      </c>
      <c r="E13" s="7">
        <v>3</v>
      </c>
      <c r="F13" s="7">
        <v>4</v>
      </c>
      <c r="G13" s="7">
        <v>4</v>
      </c>
      <c r="H13" s="7">
        <v>4</v>
      </c>
      <c r="I13" s="7">
        <v>12</v>
      </c>
    </row>
    <row r="14" spans="1:9" x14ac:dyDescent="0.25">
      <c r="A14" s="3" t="s">
        <v>106</v>
      </c>
      <c r="B14" s="7"/>
      <c r="C14" s="7"/>
      <c r="D14" s="7"/>
      <c r="E14" s="7"/>
      <c r="F14" s="7">
        <v>3</v>
      </c>
      <c r="G14" s="7">
        <v>3</v>
      </c>
      <c r="H14" s="7">
        <v>3</v>
      </c>
      <c r="I14" s="7">
        <v>9</v>
      </c>
    </row>
    <row r="15" spans="1:9" x14ac:dyDescent="0.25">
      <c r="A15" s="3" t="s">
        <v>107</v>
      </c>
      <c r="B15" s="7"/>
      <c r="C15" s="7"/>
      <c r="D15" s="7"/>
      <c r="E15" s="7"/>
      <c r="F15" s="7">
        <v>1</v>
      </c>
      <c r="G15" s="7">
        <v>1</v>
      </c>
      <c r="H15" s="7">
        <v>1</v>
      </c>
      <c r="I15" s="7">
        <v>3</v>
      </c>
    </row>
    <row r="16" spans="1:9" x14ac:dyDescent="0.25">
      <c r="A16" s="2" t="s">
        <v>134</v>
      </c>
      <c r="B16" s="7">
        <v>14</v>
      </c>
      <c r="C16" s="7">
        <v>9</v>
      </c>
      <c r="D16" s="7">
        <v>27</v>
      </c>
      <c r="E16" s="7">
        <v>50</v>
      </c>
      <c r="F16" s="7">
        <v>28</v>
      </c>
      <c r="G16" s="7">
        <v>33</v>
      </c>
      <c r="H16" s="7">
        <v>15</v>
      </c>
      <c r="I16" s="7">
        <v>76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G127"/>
  <sheetViews>
    <sheetView topLeftCell="C71" zoomScaleNormal="100" workbookViewId="0">
      <selection activeCell="G43" sqref="G2:G43"/>
    </sheetView>
  </sheetViews>
  <sheetFormatPr baseColWidth="10" defaultColWidth="11.5546875" defaultRowHeight="13.2" x14ac:dyDescent="0.25"/>
  <cols>
    <col min="1" max="6" width="24.33203125" customWidth="1"/>
    <col min="7" max="7" width="57.44140625" customWidth="1"/>
    <col min="8" max="8" width="11.6640625" customWidth="1"/>
    <col min="9" max="10" width="16.6640625" customWidth="1"/>
    <col min="11" max="11" width="20.44140625" customWidth="1"/>
    <col min="12" max="12" width="16.6640625" customWidth="1"/>
    <col min="13" max="13" width="13.109375" customWidth="1"/>
    <col min="14" max="14" width="4.44140625" customWidth="1"/>
    <col min="15" max="15" width="5.33203125" customWidth="1"/>
    <col min="16" max="19" width="16.6640625" customWidth="1"/>
    <col min="20" max="20" width="13" customWidth="1"/>
    <col min="21" max="21" width="18.33203125" customWidth="1"/>
    <col min="22" max="22" width="16.88671875" customWidth="1"/>
    <col min="23" max="23" width="12.44140625" customWidth="1"/>
    <col min="24" max="24" width="4.44140625" customWidth="1"/>
    <col min="25" max="25" width="5" customWidth="1"/>
    <col min="26" max="26" width="4.88671875" customWidth="1"/>
    <col min="27" max="27" width="5.44140625" customWidth="1"/>
    <col min="28" max="28" width="20.44140625" customWidth="1"/>
    <col min="29" max="29" width="20.6640625" customWidth="1"/>
    <col min="30" max="31" width="19.6640625" customWidth="1"/>
    <col min="32" max="32" width="18.6640625" customWidth="1"/>
  </cols>
  <sheetData>
    <row r="1" spans="1:33" x14ac:dyDescent="0.25">
      <c r="A1" t="s">
        <v>0</v>
      </c>
      <c r="B1" t="s">
        <v>97</v>
      </c>
      <c r="C1" t="s">
        <v>98</v>
      </c>
      <c r="D1" t="s">
        <v>99</v>
      </c>
      <c r="E1" t="s">
        <v>100</v>
      </c>
      <c r="F1" t="s">
        <v>101</v>
      </c>
      <c r="G1" t="s">
        <v>1</v>
      </c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  <c r="R1" t="s">
        <v>12</v>
      </c>
      <c r="S1" t="s">
        <v>13</v>
      </c>
      <c r="T1" t="s">
        <v>14</v>
      </c>
      <c r="U1" t="s">
        <v>15</v>
      </c>
      <c r="V1" t="s">
        <v>16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22</v>
      </c>
      <c r="AC1" t="s">
        <v>23</v>
      </c>
      <c r="AD1" t="s">
        <v>24</v>
      </c>
      <c r="AE1" t="s">
        <v>25</v>
      </c>
      <c r="AF1" t="s">
        <v>26</v>
      </c>
      <c r="AG1" t="s">
        <v>27</v>
      </c>
    </row>
    <row r="2" spans="1:33" x14ac:dyDescent="0.25">
      <c r="A2" t="s">
        <v>31</v>
      </c>
      <c r="B2" t="str" cm="1">
        <f t="array" ref="B2:F2">_xlfn.TEXTSPLIT(A2,"_")</f>
        <v>MVPRP</v>
      </c>
      <c r="C2" t="str">
        <v>C15</v>
      </c>
      <c r="D2" t="str">
        <v>P3</v>
      </c>
      <c r="E2" t="str">
        <v>V3</v>
      </c>
      <c r="F2" t="str">
        <v>I3</v>
      </c>
      <c r="G2" t="s">
        <v>136</v>
      </c>
      <c r="H2" t="s">
        <v>28</v>
      </c>
      <c r="I2">
        <v>30482.9</v>
      </c>
      <c r="J2">
        <v>30482.3</v>
      </c>
      <c r="K2">
        <v>1.9683166627918699E-5</v>
      </c>
      <c r="L2">
        <v>29.865258216857899</v>
      </c>
      <c r="M2" t="s">
        <v>29</v>
      </c>
      <c r="N2">
        <v>132</v>
      </c>
      <c r="P2">
        <v>3</v>
      </c>
      <c r="Q2">
        <v>3000</v>
      </c>
      <c r="R2">
        <v>9960</v>
      </c>
      <c r="S2">
        <v>4200</v>
      </c>
      <c r="T2">
        <v>13288</v>
      </c>
      <c r="U2">
        <v>0</v>
      </c>
      <c r="V2">
        <v>0</v>
      </c>
      <c r="W2">
        <v>34.9</v>
      </c>
      <c r="X2">
        <v>50</v>
      </c>
      <c r="Y2">
        <v>194</v>
      </c>
      <c r="Z2">
        <v>0</v>
      </c>
      <c r="AA2">
        <v>27</v>
      </c>
      <c r="AB2">
        <v>0</v>
      </c>
      <c r="AC2">
        <v>7.0434855663870294E-5</v>
      </c>
      <c r="AD2">
        <v>1.3898346159193299E-4</v>
      </c>
      <c r="AE2">
        <v>5.0299178826417202E-3</v>
      </c>
      <c r="AF2">
        <v>6.4914509801581397E-3</v>
      </c>
      <c r="AG2">
        <v>5.3579752261822003E-2</v>
      </c>
    </row>
    <row r="3" spans="1:33" x14ac:dyDescent="0.25">
      <c r="A3" t="s">
        <v>32</v>
      </c>
      <c r="B3" t="str" cm="1">
        <f t="array" ref="B3:F3">_xlfn.TEXTSPLIT(A3,"_")</f>
        <v>MVPRP</v>
      </c>
      <c r="C3" t="str">
        <v>C30</v>
      </c>
      <c r="D3" t="str">
        <v>P9</v>
      </c>
      <c r="E3" t="str">
        <v>V3</v>
      </c>
      <c r="F3" t="str">
        <v>I3</v>
      </c>
      <c r="G3" t="s">
        <v>136</v>
      </c>
      <c r="H3" t="s">
        <v>30</v>
      </c>
      <c r="I3">
        <v>163040.09999610699</v>
      </c>
      <c r="J3">
        <v>145012.062856965</v>
      </c>
      <c r="K3">
        <v>0.110574252221217</v>
      </c>
      <c r="L3">
        <v>3600.83711099625</v>
      </c>
      <c r="M3" t="s">
        <v>29</v>
      </c>
      <c r="N3">
        <v>228</v>
      </c>
      <c r="P3">
        <v>3</v>
      </c>
      <c r="Q3">
        <v>12000</v>
      </c>
      <c r="R3">
        <v>67710</v>
      </c>
      <c r="S3">
        <v>26535</v>
      </c>
      <c r="T3">
        <v>50240</v>
      </c>
      <c r="U3">
        <v>0</v>
      </c>
      <c r="V3">
        <v>0</v>
      </c>
      <c r="W3">
        <v>6555.0999971074098</v>
      </c>
      <c r="X3">
        <v>157</v>
      </c>
      <c r="Y3">
        <v>4333</v>
      </c>
      <c r="Z3">
        <v>0</v>
      </c>
      <c r="AA3">
        <v>701</v>
      </c>
      <c r="AB3">
        <v>0</v>
      </c>
      <c r="AC3">
        <v>9.1811464921466904E-5</v>
      </c>
      <c r="AD3">
        <v>2.4594969619228999E-4</v>
      </c>
      <c r="AE3">
        <v>4.4024870774456298E-3</v>
      </c>
      <c r="AF3">
        <v>8.7564563010619403E-3</v>
      </c>
      <c r="AG3">
        <v>0.89842634977296298</v>
      </c>
    </row>
    <row r="4" spans="1:33" x14ac:dyDescent="0.25">
      <c r="A4" t="s">
        <v>33</v>
      </c>
      <c r="B4" t="str" cm="1">
        <f t="array" ref="B4:F4">_xlfn.TEXTSPLIT(A4,"_")</f>
        <v>MVPRP</v>
      </c>
      <c r="C4" t="str">
        <v>C20</v>
      </c>
      <c r="D4" t="str">
        <v>P6</v>
      </c>
      <c r="E4" t="str">
        <v>V2</v>
      </c>
      <c r="F4" t="str">
        <v>I3</v>
      </c>
      <c r="G4" t="s">
        <v>136</v>
      </c>
      <c r="H4" t="s">
        <v>28</v>
      </c>
      <c r="I4">
        <v>70886.8</v>
      </c>
      <c r="J4">
        <v>70886.8</v>
      </c>
      <c r="K4">
        <v>0</v>
      </c>
      <c r="L4">
        <v>101.712649106979</v>
      </c>
      <c r="M4" t="s">
        <v>29</v>
      </c>
      <c r="N4">
        <v>283</v>
      </c>
      <c r="P4">
        <v>3</v>
      </c>
      <c r="Q4">
        <v>6000</v>
      </c>
      <c r="R4">
        <v>23820</v>
      </c>
      <c r="S4">
        <v>15196</v>
      </c>
      <c r="T4">
        <v>18772</v>
      </c>
      <c r="U4">
        <v>0</v>
      </c>
      <c r="V4">
        <v>0</v>
      </c>
      <c r="W4">
        <v>7098.8</v>
      </c>
      <c r="X4">
        <v>66</v>
      </c>
      <c r="Y4">
        <v>232</v>
      </c>
      <c r="Z4">
        <v>0</v>
      </c>
      <c r="AA4">
        <v>62</v>
      </c>
      <c r="AB4">
        <v>0</v>
      </c>
      <c r="AC4">
        <v>6.4267419201279998E-5</v>
      </c>
      <c r="AD4">
        <v>1.23074113046722E-4</v>
      </c>
      <c r="AE4">
        <v>3.88318094713935E-3</v>
      </c>
      <c r="AF4">
        <v>4.5789575034921801E-3</v>
      </c>
      <c r="AG4">
        <v>0.14453458786010701</v>
      </c>
    </row>
    <row r="5" spans="1:33" x14ac:dyDescent="0.25">
      <c r="A5" t="s">
        <v>34</v>
      </c>
      <c r="B5" t="str" cm="1">
        <f t="array" ref="B5:F5">_xlfn.TEXTSPLIT(A5,"_")</f>
        <v>MVPRP</v>
      </c>
      <c r="C5" t="str">
        <v>C30</v>
      </c>
      <c r="D5" t="str">
        <v>P3</v>
      </c>
      <c r="E5" t="str">
        <v>V4</v>
      </c>
      <c r="F5" t="str">
        <v>I3</v>
      </c>
      <c r="G5" t="s">
        <v>136</v>
      </c>
      <c r="H5" t="s">
        <v>28</v>
      </c>
      <c r="I5">
        <v>42543</v>
      </c>
      <c r="J5">
        <v>42543</v>
      </c>
      <c r="K5">
        <v>0</v>
      </c>
      <c r="L5">
        <v>550.61598920822098</v>
      </c>
      <c r="M5" t="s">
        <v>29</v>
      </c>
      <c r="N5">
        <v>171</v>
      </c>
      <c r="P5">
        <v>3</v>
      </c>
      <c r="Q5">
        <v>3000</v>
      </c>
      <c r="R5">
        <v>16680</v>
      </c>
      <c r="S5">
        <v>6800</v>
      </c>
      <c r="T5">
        <v>16063</v>
      </c>
      <c r="U5">
        <v>0</v>
      </c>
      <c r="V5">
        <v>0</v>
      </c>
      <c r="W5">
        <v>0</v>
      </c>
      <c r="X5">
        <v>17</v>
      </c>
      <c r="Y5">
        <v>640</v>
      </c>
      <c r="Z5">
        <v>0</v>
      </c>
      <c r="AA5">
        <v>81</v>
      </c>
      <c r="AB5">
        <v>0</v>
      </c>
      <c r="AC5">
        <v>1.5336275100708E-4</v>
      </c>
      <c r="AD5">
        <v>3.4203390369500798E-4</v>
      </c>
      <c r="AE5">
        <v>6.5941413243611703E-3</v>
      </c>
      <c r="AF5">
        <v>1.13878139795042E-2</v>
      </c>
      <c r="AG5">
        <v>0.37837388401939798</v>
      </c>
    </row>
    <row r="6" spans="1:33" x14ac:dyDescent="0.25">
      <c r="A6" t="s">
        <v>35</v>
      </c>
      <c r="B6" t="str" cm="1">
        <f t="array" ref="B6:F6">_xlfn.TEXTSPLIT(A6,"_")</f>
        <v>MVPRP</v>
      </c>
      <c r="C6" t="str">
        <v>C10</v>
      </c>
      <c r="D6" t="str">
        <v>P3</v>
      </c>
      <c r="E6" t="str">
        <v>V2</v>
      </c>
      <c r="F6" t="str">
        <v>I3</v>
      </c>
      <c r="G6" t="s">
        <v>136</v>
      </c>
      <c r="H6" t="s">
        <v>28</v>
      </c>
      <c r="I6">
        <v>22503.8999999997</v>
      </c>
      <c r="J6">
        <v>22503.8999999997</v>
      </c>
      <c r="K6">
        <v>0</v>
      </c>
      <c r="L6">
        <v>1.3024380207061801</v>
      </c>
      <c r="M6" t="s">
        <v>29</v>
      </c>
      <c r="N6">
        <v>198</v>
      </c>
      <c r="P6">
        <v>3</v>
      </c>
      <c r="Q6">
        <v>3000</v>
      </c>
      <c r="R6">
        <v>6390</v>
      </c>
      <c r="S6">
        <v>3345</v>
      </c>
      <c r="T6">
        <v>7016</v>
      </c>
      <c r="U6">
        <v>0</v>
      </c>
      <c r="V6">
        <v>0</v>
      </c>
      <c r="W6">
        <v>2752.9</v>
      </c>
      <c r="X6">
        <v>10</v>
      </c>
      <c r="Y6">
        <v>13</v>
      </c>
      <c r="Z6">
        <v>0</v>
      </c>
      <c r="AA6">
        <v>5</v>
      </c>
      <c r="AB6">
        <v>0</v>
      </c>
      <c r="AC6">
        <v>4.9845032069994102E-5</v>
      </c>
      <c r="AD6">
        <v>9.5414526668595703E-5</v>
      </c>
      <c r="AE6">
        <v>3.5735895467358999E-3</v>
      </c>
      <c r="AF6">
        <v>5.1375230153401698E-3</v>
      </c>
      <c r="AG6">
        <v>2.7586973630465E-2</v>
      </c>
    </row>
    <row r="7" spans="1:33" x14ac:dyDescent="0.25">
      <c r="A7" t="s">
        <v>36</v>
      </c>
      <c r="B7" t="str" cm="1">
        <f t="array" ref="B7:F7">_xlfn.TEXTSPLIT(A7,"_")</f>
        <v>MVPRP</v>
      </c>
      <c r="C7" t="str">
        <v>C40</v>
      </c>
      <c r="D7" t="str">
        <v>P3</v>
      </c>
      <c r="E7" t="str">
        <v>V3</v>
      </c>
      <c r="F7" t="str">
        <v>I3</v>
      </c>
      <c r="G7" t="s">
        <v>136</v>
      </c>
      <c r="H7" t="s">
        <v>30</v>
      </c>
      <c r="I7">
        <v>62384</v>
      </c>
      <c r="J7">
        <v>61100.429803347797</v>
      </c>
      <c r="K7">
        <v>2.0575310923509602E-2</v>
      </c>
      <c r="L7">
        <v>3601.18383789063</v>
      </c>
      <c r="M7" t="s">
        <v>29</v>
      </c>
      <c r="N7">
        <v>360</v>
      </c>
      <c r="P7">
        <v>3</v>
      </c>
      <c r="Q7">
        <v>3000</v>
      </c>
      <c r="R7">
        <v>27660</v>
      </c>
      <c r="S7">
        <v>10421</v>
      </c>
      <c r="T7">
        <v>21303</v>
      </c>
      <c r="U7">
        <v>0</v>
      </c>
      <c r="V7">
        <v>0</v>
      </c>
      <c r="W7">
        <v>0</v>
      </c>
      <c r="X7">
        <v>169</v>
      </c>
      <c r="Y7">
        <v>1342</v>
      </c>
      <c r="Z7">
        <v>0</v>
      </c>
      <c r="AA7">
        <v>204</v>
      </c>
      <c r="AB7">
        <v>0</v>
      </c>
      <c r="AC7">
        <v>1.7504647926048001E-4</v>
      </c>
      <c r="AD7">
        <v>4.5505466077151702E-4</v>
      </c>
      <c r="AE7">
        <v>6.0463310921028898E-3</v>
      </c>
      <c r="AF7">
        <v>1.31418735222841E-2</v>
      </c>
      <c r="AG7">
        <v>0.38438005763364103</v>
      </c>
    </row>
    <row r="8" spans="1:33" x14ac:dyDescent="0.25">
      <c r="A8" t="s">
        <v>37</v>
      </c>
      <c r="B8" t="str" cm="1">
        <f t="array" ref="B8:F8">_xlfn.TEXTSPLIT(A8,"_")</f>
        <v>MVPRP</v>
      </c>
      <c r="C8" t="str">
        <v>C15</v>
      </c>
      <c r="D8" t="str">
        <v>P9</v>
      </c>
      <c r="E8" t="str">
        <v>V2</v>
      </c>
      <c r="F8" t="str">
        <v>I3</v>
      </c>
      <c r="G8" t="s">
        <v>136</v>
      </c>
      <c r="H8" t="s">
        <v>30</v>
      </c>
      <c r="I8">
        <v>112773.899188209</v>
      </c>
      <c r="J8">
        <v>110806.082468658</v>
      </c>
      <c r="K8">
        <v>1.74492212623308E-2</v>
      </c>
      <c r="L8">
        <v>3600.4575526714302</v>
      </c>
      <c r="M8" t="s">
        <v>29</v>
      </c>
      <c r="N8">
        <v>198</v>
      </c>
      <c r="P8">
        <v>3</v>
      </c>
      <c r="Q8">
        <v>9000</v>
      </c>
      <c r="R8">
        <v>40950</v>
      </c>
      <c r="S8">
        <v>22130</v>
      </c>
      <c r="T8">
        <v>30201</v>
      </c>
      <c r="U8">
        <v>0</v>
      </c>
      <c r="V8">
        <v>0</v>
      </c>
      <c r="W8">
        <v>10492.899188208499</v>
      </c>
      <c r="X8">
        <v>265</v>
      </c>
      <c r="Y8">
        <v>1308</v>
      </c>
      <c r="Z8">
        <v>0</v>
      </c>
      <c r="AA8">
        <v>57</v>
      </c>
      <c r="AB8">
        <v>0</v>
      </c>
      <c r="AC8">
        <v>5.1034491721917002E-5</v>
      </c>
      <c r="AD8">
        <v>1.3691284503155999E-4</v>
      </c>
      <c r="AE8">
        <v>4.08692828353767E-3</v>
      </c>
      <c r="AF8">
        <v>6.2987849591816499E-3</v>
      </c>
      <c r="AG8">
        <v>9.0473116685946806E-2</v>
      </c>
    </row>
    <row r="9" spans="1:33" x14ac:dyDescent="0.25">
      <c r="A9" t="s">
        <v>38</v>
      </c>
      <c r="B9" t="str" cm="1">
        <f t="array" ref="B9:F9">_xlfn.TEXTSPLIT(A9,"_")</f>
        <v>MVPRP</v>
      </c>
      <c r="C9" t="str">
        <v>C45</v>
      </c>
      <c r="D9" t="str">
        <v>P3</v>
      </c>
      <c r="E9" t="str">
        <v>V3</v>
      </c>
      <c r="F9" t="str">
        <v>I3</v>
      </c>
      <c r="G9" t="s">
        <v>136</v>
      </c>
      <c r="H9" t="s">
        <v>30</v>
      </c>
      <c r="I9">
        <v>70371.8</v>
      </c>
      <c r="J9">
        <v>69207.039452047597</v>
      </c>
      <c r="K9">
        <v>1.6551524160990299E-2</v>
      </c>
      <c r="L9">
        <v>3601.5124537944798</v>
      </c>
      <c r="M9" t="s">
        <v>29</v>
      </c>
      <c r="N9">
        <v>360</v>
      </c>
      <c r="P9">
        <v>3</v>
      </c>
      <c r="Q9">
        <v>3000</v>
      </c>
      <c r="R9">
        <v>33060</v>
      </c>
      <c r="S9">
        <v>11026</v>
      </c>
      <c r="T9">
        <v>23268</v>
      </c>
      <c r="U9">
        <v>0</v>
      </c>
      <c r="V9">
        <v>0</v>
      </c>
      <c r="W9">
        <v>17.8</v>
      </c>
      <c r="X9">
        <v>72</v>
      </c>
      <c r="Y9">
        <v>1071</v>
      </c>
      <c r="Z9">
        <v>0</v>
      </c>
      <c r="AA9">
        <v>208</v>
      </c>
      <c r="AB9">
        <v>0</v>
      </c>
      <c r="AC9">
        <v>1.9348394058938499E-4</v>
      </c>
      <c r="AD9">
        <v>5.7748857827796297E-4</v>
      </c>
      <c r="AE9">
        <v>7.4218294105014302E-3</v>
      </c>
      <c r="AF9">
        <v>1.5720121747484099E-2</v>
      </c>
      <c r="AG9">
        <v>0.74373177119663803</v>
      </c>
    </row>
    <row r="10" spans="1:33" x14ac:dyDescent="0.25">
      <c r="A10" t="s">
        <v>39</v>
      </c>
      <c r="B10" t="str" cm="1">
        <f t="array" ref="B10:F10">_xlfn.TEXTSPLIT(A10,"_")</f>
        <v>MVPRP</v>
      </c>
      <c r="C10" t="str">
        <v>C35</v>
      </c>
      <c r="D10" t="str">
        <v>P6</v>
      </c>
      <c r="E10" t="str">
        <v>V4</v>
      </c>
      <c r="F10" t="str">
        <v>I3</v>
      </c>
      <c r="G10" t="s">
        <v>136</v>
      </c>
      <c r="H10" t="s">
        <v>30</v>
      </c>
      <c r="I10">
        <v>106336</v>
      </c>
      <c r="J10">
        <v>100192.91884095001</v>
      </c>
      <c r="K10">
        <v>5.7770474336532901E-2</v>
      </c>
      <c r="L10">
        <v>3601.9118187427498</v>
      </c>
      <c r="M10" t="s">
        <v>29</v>
      </c>
      <c r="N10">
        <v>207</v>
      </c>
      <c r="P10">
        <v>3</v>
      </c>
      <c r="Q10">
        <v>6000</v>
      </c>
      <c r="R10">
        <v>42900</v>
      </c>
      <c r="S10">
        <v>24413</v>
      </c>
      <c r="T10">
        <v>31797</v>
      </c>
      <c r="U10">
        <v>0</v>
      </c>
      <c r="V10">
        <v>0</v>
      </c>
      <c r="W10">
        <v>1226</v>
      </c>
      <c r="X10">
        <v>74</v>
      </c>
      <c r="Y10">
        <v>2948</v>
      </c>
      <c r="Z10">
        <v>0</v>
      </c>
      <c r="AA10">
        <v>436</v>
      </c>
      <c r="AB10">
        <v>0</v>
      </c>
      <c r="AC10">
        <v>1.0584459682745401E-4</v>
      </c>
      <c r="AD10">
        <v>2.97839344086742E-4</v>
      </c>
      <c r="AE10">
        <v>3.8339497848611601E-3</v>
      </c>
      <c r="AF10">
        <v>9.4123435329289008E-3</v>
      </c>
      <c r="AG10">
        <v>0.80877539027820899</v>
      </c>
    </row>
    <row r="11" spans="1:33" x14ac:dyDescent="0.25">
      <c r="A11" t="s">
        <v>40</v>
      </c>
      <c r="B11" t="str" cm="1">
        <f t="array" ref="B11:F11">_xlfn.TEXTSPLIT(A11,"_")</f>
        <v>MVPRP</v>
      </c>
      <c r="C11" t="str">
        <v>C25</v>
      </c>
      <c r="D11" t="str">
        <v>P6</v>
      </c>
      <c r="E11" t="str">
        <v>V2</v>
      </c>
      <c r="F11" t="str">
        <v>I3</v>
      </c>
      <c r="G11" t="s">
        <v>136</v>
      </c>
      <c r="H11" t="s">
        <v>30</v>
      </c>
      <c r="I11">
        <v>84269.999956308602</v>
      </c>
      <c r="J11">
        <v>82160.830897870997</v>
      </c>
      <c r="K11">
        <v>2.5028706058278699E-2</v>
      </c>
      <c r="L11">
        <v>3601.5074684619899</v>
      </c>
      <c r="M11" t="s">
        <v>29</v>
      </c>
      <c r="N11">
        <v>283</v>
      </c>
      <c r="P11">
        <v>3</v>
      </c>
      <c r="Q11">
        <v>6000</v>
      </c>
      <c r="R11">
        <v>28380</v>
      </c>
      <c r="S11">
        <v>20822</v>
      </c>
      <c r="T11">
        <v>21086</v>
      </c>
      <c r="U11">
        <v>0</v>
      </c>
      <c r="V11">
        <v>0</v>
      </c>
      <c r="W11">
        <v>7981.9999563086203</v>
      </c>
      <c r="X11">
        <v>585</v>
      </c>
      <c r="Y11">
        <v>1876</v>
      </c>
      <c r="Z11">
        <v>0</v>
      </c>
      <c r="AA11">
        <v>189</v>
      </c>
      <c r="AB11">
        <v>0</v>
      </c>
      <c r="AC11">
        <v>5.9311217429971097E-5</v>
      </c>
      <c r="AD11">
        <v>1.5266388830223099E-4</v>
      </c>
      <c r="AE11">
        <v>2.3925906469168599E-3</v>
      </c>
      <c r="AF11">
        <v>6.1288577649922897E-3</v>
      </c>
      <c r="AG11">
        <v>0.117262003450054</v>
      </c>
    </row>
    <row r="12" spans="1:33" x14ac:dyDescent="0.25">
      <c r="A12" t="s">
        <v>41</v>
      </c>
      <c r="B12" t="str" cm="1">
        <f t="array" ref="B12:F12">_xlfn.TEXTSPLIT(A12,"_")</f>
        <v>MVPRP</v>
      </c>
      <c r="C12" t="str">
        <v>C35</v>
      </c>
      <c r="D12" t="str">
        <v>P3</v>
      </c>
      <c r="E12" t="str">
        <v>V3</v>
      </c>
      <c r="F12" t="str">
        <v>I3</v>
      </c>
      <c r="G12" t="s">
        <v>136</v>
      </c>
      <c r="H12" t="s">
        <v>30</v>
      </c>
      <c r="I12">
        <v>50447</v>
      </c>
      <c r="J12">
        <v>49275.299585171</v>
      </c>
      <c r="K12">
        <v>2.3226364597083101E-2</v>
      </c>
      <c r="L12">
        <v>3601.7021923065199</v>
      </c>
      <c r="M12" t="s">
        <v>29</v>
      </c>
      <c r="N12">
        <v>276</v>
      </c>
      <c r="P12">
        <v>3</v>
      </c>
      <c r="Q12">
        <v>3000</v>
      </c>
      <c r="R12">
        <v>21600</v>
      </c>
      <c r="S12">
        <v>7440</v>
      </c>
      <c r="T12">
        <v>18407</v>
      </c>
      <c r="U12">
        <v>0</v>
      </c>
      <c r="V12">
        <v>0</v>
      </c>
      <c r="W12">
        <v>0</v>
      </c>
      <c r="X12">
        <v>645</v>
      </c>
      <c r="Y12">
        <v>1513</v>
      </c>
      <c r="Z12">
        <v>0</v>
      </c>
      <c r="AA12">
        <v>289</v>
      </c>
      <c r="AB12">
        <v>0</v>
      </c>
      <c r="AC12">
        <v>1.3584049908200099E-4</v>
      </c>
      <c r="AD12">
        <v>3.7757294905988798E-4</v>
      </c>
      <c r="AE12">
        <v>5.78648593714042E-3</v>
      </c>
      <c r="AF12">
        <v>1.1704537715839999E-2</v>
      </c>
      <c r="AG12">
        <v>0.17699226680791599</v>
      </c>
    </row>
    <row r="13" spans="1:33" x14ac:dyDescent="0.25">
      <c r="A13" t="s">
        <v>42</v>
      </c>
      <c r="B13" t="str" cm="1">
        <f t="array" ref="B13:F13">_xlfn.TEXTSPLIT(A13,"_")</f>
        <v>MVPRP</v>
      </c>
      <c r="C13" t="str">
        <v>C10</v>
      </c>
      <c r="D13" t="str">
        <v>P6</v>
      </c>
      <c r="E13" t="str">
        <v>V2</v>
      </c>
      <c r="F13" t="str">
        <v>I3</v>
      </c>
      <c r="G13" t="s">
        <v>136</v>
      </c>
      <c r="H13" t="s">
        <v>28</v>
      </c>
      <c r="I13">
        <v>44267.4</v>
      </c>
      <c r="J13">
        <v>44267.4</v>
      </c>
      <c r="K13">
        <v>0</v>
      </c>
      <c r="L13">
        <v>5.8747179508209202</v>
      </c>
      <c r="M13" t="s">
        <v>29</v>
      </c>
      <c r="N13">
        <v>198</v>
      </c>
      <c r="P13">
        <v>3</v>
      </c>
      <c r="Q13">
        <v>6000</v>
      </c>
      <c r="R13">
        <v>12690</v>
      </c>
      <c r="S13">
        <v>9183</v>
      </c>
      <c r="T13">
        <v>12959</v>
      </c>
      <c r="U13">
        <v>0</v>
      </c>
      <c r="V13">
        <v>0</v>
      </c>
      <c r="W13">
        <v>3435.4</v>
      </c>
      <c r="X13">
        <v>9</v>
      </c>
      <c r="Y13">
        <v>54</v>
      </c>
      <c r="Z13">
        <v>0</v>
      </c>
      <c r="AA13">
        <v>20</v>
      </c>
      <c r="AB13">
        <v>0</v>
      </c>
      <c r="AC13">
        <v>5.37399231918215E-5</v>
      </c>
      <c r="AD13">
        <v>6.8481715898665202E-5</v>
      </c>
      <c r="AE13">
        <v>3.8133859634399401E-3</v>
      </c>
      <c r="AF13">
        <v>3.0904725754855198E-3</v>
      </c>
      <c r="AG13">
        <v>5.9531974792480499E-2</v>
      </c>
    </row>
    <row r="14" spans="1:33" x14ac:dyDescent="0.25">
      <c r="A14" t="s">
        <v>43</v>
      </c>
      <c r="B14" t="str" cm="1">
        <f t="array" ref="B14:F14">_xlfn.TEXTSPLIT(A14,"_")</f>
        <v>MVPRP</v>
      </c>
      <c r="C14" t="str">
        <v>C30</v>
      </c>
      <c r="D14" t="str">
        <v>P9</v>
      </c>
      <c r="E14" t="str">
        <v>V4</v>
      </c>
      <c r="F14" t="str">
        <v>I3</v>
      </c>
      <c r="G14" t="s">
        <v>136</v>
      </c>
      <c r="H14" t="s">
        <v>30</v>
      </c>
      <c r="I14">
        <v>167693</v>
      </c>
      <c r="J14">
        <v>150100.60868326601</v>
      </c>
      <c r="K14">
        <v>0.10490832245074901</v>
      </c>
      <c r="L14">
        <v>3603.0223953723898</v>
      </c>
      <c r="M14" t="s">
        <v>29</v>
      </c>
      <c r="N14">
        <v>171</v>
      </c>
      <c r="P14">
        <v>3</v>
      </c>
      <c r="Q14">
        <v>12000</v>
      </c>
      <c r="R14">
        <v>67710</v>
      </c>
      <c r="S14">
        <v>29933</v>
      </c>
      <c r="T14">
        <v>55969</v>
      </c>
      <c r="U14">
        <v>0</v>
      </c>
      <c r="V14">
        <v>0</v>
      </c>
      <c r="W14">
        <v>2081</v>
      </c>
      <c r="X14">
        <v>56</v>
      </c>
      <c r="Y14">
        <v>4306</v>
      </c>
      <c r="Z14">
        <v>0</v>
      </c>
      <c r="AA14">
        <v>423</v>
      </c>
      <c r="AB14">
        <v>0</v>
      </c>
      <c r="AC14">
        <v>8.8472788582106803E-5</v>
      </c>
      <c r="AD14">
        <v>2.6615086472185498E-4</v>
      </c>
      <c r="AE14">
        <v>4.1621505683351401E-3</v>
      </c>
      <c r="AF14">
        <v>9.9091392183320703E-3</v>
      </c>
      <c r="AG14">
        <v>0.97666636854410205</v>
      </c>
    </row>
    <row r="15" spans="1:33" x14ac:dyDescent="0.25">
      <c r="A15" t="s">
        <v>44</v>
      </c>
      <c r="B15" t="str" cm="1">
        <f t="array" ref="B15:F15">_xlfn.TEXTSPLIT(A15,"_")</f>
        <v>MVPRP</v>
      </c>
      <c r="C15" t="str">
        <v>C10</v>
      </c>
      <c r="D15" t="str">
        <v>P3</v>
      </c>
      <c r="E15" t="str">
        <v>V3</v>
      </c>
      <c r="F15" t="str">
        <v>I3</v>
      </c>
      <c r="G15" t="s">
        <v>136</v>
      </c>
      <c r="H15" t="s">
        <v>28</v>
      </c>
      <c r="I15">
        <v>20550</v>
      </c>
      <c r="J15">
        <v>20550</v>
      </c>
      <c r="K15">
        <v>0</v>
      </c>
      <c r="L15">
        <v>4.3894960880279497</v>
      </c>
      <c r="M15" t="s">
        <v>29</v>
      </c>
      <c r="N15">
        <v>132</v>
      </c>
      <c r="P15">
        <v>3</v>
      </c>
      <c r="Q15">
        <v>3000</v>
      </c>
      <c r="R15">
        <v>6390</v>
      </c>
      <c r="S15">
        <v>3082</v>
      </c>
      <c r="T15">
        <v>8078</v>
      </c>
      <c r="U15">
        <v>0</v>
      </c>
      <c r="V15">
        <v>0</v>
      </c>
      <c r="W15">
        <v>0</v>
      </c>
      <c r="X15">
        <v>13</v>
      </c>
      <c r="Y15">
        <v>41</v>
      </c>
      <c r="Z15">
        <v>0</v>
      </c>
      <c r="AA15">
        <v>11</v>
      </c>
      <c r="AB15">
        <v>0</v>
      </c>
      <c r="AC15">
        <v>6.9514126844809096E-5</v>
      </c>
      <c r="AD15">
        <v>9.6582119760949602E-5</v>
      </c>
      <c r="AE15">
        <v>3.97361478497905E-3</v>
      </c>
      <c r="AF15">
        <v>4.5382929242346898E-3</v>
      </c>
      <c r="AG15">
        <v>3.5870051383972201E-2</v>
      </c>
    </row>
    <row r="16" spans="1:33" x14ac:dyDescent="0.25">
      <c r="A16" t="s">
        <v>45</v>
      </c>
      <c r="B16" t="str" cm="1">
        <f t="array" ref="B16:F16">_xlfn.TEXTSPLIT(A16,"_")</f>
        <v>MVPRP</v>
      </c>
      <c r="C16" t="str">
        <v>C30</v>
      </c>
      <c r="D16" t="str">
        <v>P3</v>
      </c>
      <c r="E16" t="str">
        <v>V3</v>
      </c>
      <c r="F16" t="str">
        <v>I3</v>
      </c>
      <c r="G16" t="s">
        <v>136</v>
      </c>
      <c r="H16" t="s">
        <v>28</v>
      </c>
      <c r="I16">
        <v>41726</v>
      </c>
      <c r="J16">
        <v>41726</v>
      </c>
      <c r="K16">
        <v>0</v>
      </c>
      <c r="L16">
        <v>1121.91365551949</v>
      </c>
      <c r="M16" t="s">
        <v>29</v>
      </c>
      <c r="N16">
        <v>228</v>
      </c>
      <c r="P16">
        <v>3</v>
      </c>
      <c r="Q16">
        <v>3000</v>
      </c>
      <c r="R16">
        <v>16680</v>
      </c>
      <c r="S16">
        <v>6255</v>
      </c>
      <c r="T16">
        <v>15791</v>
      </c>
      <c r="U16">
        <v>0</v>
      </c>
      <c r="V16">
        <v>0</v>
      </c>
      <c r="W16">
        <v>0</v>
      </c>
      <c r="X16">
        <v>491</v>
      </c>
      <c r="Y16">
        <v>492</v>
      </c>
      <c r="Z16">
        <v>0</v>
      </c>
      <c r="AA16">
        <v>142</v>
      </c>
      <c r="AB16">
        <v>0</v>
      </c>
      <c r="AC16">
        <v>1.1116094549987499E-4</v>
      </c>
      <c r="AD16">
        <v>3.0094284270948299E-4</v>
      </c>
      <c r="AE16">
        <v>5.1196713791042099E-3</v>
      </c>
      <c r="AF16">
        <v>1.03162260033517E-2</v>
      </c>
      <c r="AG16">
        <v>0.114764145727437</v>
      </c>
    </row>
    <row r="17" spans="1:33" x14ac:dyDescent="0.25">
      <c r="A17" t="s">
        <v>46</v>
      </c>
      <c r="B17" t="str" cm="1">
        <f t="array" ref="B17:F17">_xlfn.TEXTSPLIT(A17,"_")</f>
        <v>MVPRP</v>
      </c>
      <c r="C17" t="str">
        <v>C20</v>
      </c>
      <c r="D17" t="str">
        <v>P3</v>
      </c>
      <c r="E17" t="str">
        <v>V3</v>
      </c>
      <c r="F17" t="str">
        <v>I3</v>
      </c>
      <c r="G17" t="s">
        <v>136</v>
      </c>
      <c r="H17" t="s">
        <v>28</v>
      </c>
      <c r="I17">
        <v>33320.6</v>
      </c>
      <c r="J17">
        <v>33320.6</v>
      </c>
      <c r="K17">
        <v>0</v>
      </c>
      <c r="L17">
        <v>47.233073472976699</v>
      </c>
      <c r="M17" t="s">
        <v>29</v>
      </c>
      <c r="N17">
        <v>189</v>
      </c>
      <c r="P17">
        <v>3</v>
      </c>
      <c r="Q17">
        <v>3000</v>
      </c>
      <c r="R17">
        <v>12030</v>
      </c>
      <c r="S17">
        <v>5255</v>
      </c>
      <c r="T17">
        <v>12720</v>
      </c>
      <c r="U17">
        <v>0</v>
      </c>
      <c r="V17">
        <v>0</v>
      </c>
      <c r="W17">
        <v>315.60000000000002</v>
      </c>
      <c r="X17">
        <v>54</v>
      </c>
      <c r="Y17">
        <v>177</v>
      </c>
      <c r="Z17">
        <v>0</v>
      </c>
      <c r="AA17">
        <v>35</v>
      </c>
      <c r="AB17">
        <v>0</v>
      </c>
      <c r="AC17">
        <v>9.9139442610428303E-5</v>
      </c>
      <c r="AD17">
        <v>2.2113613134119501E-4</v>
      </c>
      <c r="AE17">
        <v>4.27278342274572E-3</v>
      </c>
      <c r="AF17">
        <v>8.7480252811905201E-3</v>
      </c>
      <c r="AG17">
        <v>8.0938724049350694E-2</v>
      </c>
    </row>
    <row r="18" spans="1:33" x14ac:dyDescent="0.25">
      <c r="A18" t="s">
        <v>47</v>
      </c>
      <c r="B18" t="str" cm="1">
        <f t="array" ref="B18:F18">_xlfn.TEXTSPLIT(A18,"_")</f>
        <v>MVPRP</v>
      </c>
      <c r="C18" t="str">
        <v>C35</v>
      </c>
      <c r="D18" t="str">
        <v>P6</v>
      </c>
      <c r="E18" t="str">
        <v>V3</v>
      </c>
      <c r="F18" t="str">
        <v>I3</v>
      </c>
      <c r="G18" t="s">
        <v>136</v>
      </c>
      <c r="H18" t="s">
        <v>30</v>
      </c>
      <c r="I18">
        <v>106416.5</v>
      </c>
      <c r="J18">
        <v>97175.933247746099</v>
      </c>
      <c r="K18">
        <v>8.6833966088472506E-2</v>
      </c>
      <c r="L18">
        <v>3600.3668332099901</v>
      </c>
      <c r="M18" t="s">
        <v>29</v>
      </c>
      <c r="N18">
        <v>276</v>
      </c>
      <c r="P18">
        <v>3</v>
      </c>
      <c r="Q18">
        <v>6000</v>
      </c>
      <c r="R18">
        <v>42900</v>
      </c>
      <c r="S18">
        <v>22375</v>
      </c>
      <c r="T18">
        <v>33903</v>
      </c>
      <c r="U18">
        <v>0</v>
      </c>
      <c r="V18">
        <v>0</v>
      </c>
      <c r="W18">
        <v>1238.5</v>
      </c>
      <c r="X18">
        <v>192</v>
      </c>
      <c r="Y18">
        <v>3009</v>
      </c>
      <c r="Z18">
        <v>0</v>
      </c>
      <c r="AA18">
        <v>577</v>
      </c>
      <c r="AB18">
        <v>0</v>
      </c>
      <c r="AC18">
        <v>1.0017729166311E-4</v>
      </c>
      <c r="AD18">
        <v>2.62381211482188E-4</v>
      </c>
      <c r="AE18">
        <v>3.7927055259786499E-3</v>
      </c>
      <c r="AF18">
        <v>8.4006598803505802E-3</v>
      </c>
      <c r="AG18">
        <v>0.59514500227841505</v>
      </c>
    </row>
    <row r="19" spans="1:33" x14ac:dyDescent="0.25">
      <c r="A19" t="s">
        <v>48</v>
      </c>
      <c r="B19" t="str" cm="1">
        <f t="array" ref="B19:F19">_xlfn.TEXTSPLIT(A19,"_")</f>
        <v>MVPRP</v>
      </c>
      <c r="C19" t="str">
        <v>C25</v>
      </c>
      <c r="D19" t="str">
        <v>P6</v>
      </c>
      <c r="E19" t="str">
        <v>V3</v>
      </c>
      <c r="F19" t="str">
        <v>I3</v>
      </c>
      <c r="G19" t="s">
        <v>136</v>
      </c>
      <c r="H19" t="s">
        <v>30</v>
      </c>
      <c r="I19">
        <v>81042.099998000005</v>
      </c>
      <c r="J19">
        <v>75548.814055922907</v>
      </c>
      <c r="K19">
        <v>6.7783114482628803E-2</v>
      </c>
      <c r="L19">
        <v>3600.9794929027598</v>
      </c>
      <c r="M19" t="s">
        <v>29</v>
      </c>
      <c r="N19">
        <v>189</v>
      </c>
      <c r="P19">
        <v>3</v>
      </c>
      <c r="Q19">
        <v>6000</v>
      </c>
      <c r="R19">
        <v>28380</v>
      </c>
      <c r="S19">
        <v>18553</v>
      </c>
      <c r="T19">
        <v>25384</v>
      </c>
      <c r="U19">
        <v>0</v>
      </c>
      <c r="V19">
        <v>0</v>
      </c>
      <c r="W19">
        <v>2725.09999899998</v>
      </c>
      <c r="X19">
        <v>449</v>
      </c>
      <c r="Y19">
        <v>3364</v>
      </c>
      <c r="Z19">
        <v>0</v>
      </c>
      <c r="AA19">
        <v>299</v>
      </c>
      <c r="AB19">
        <v>0</v>
      </c>
      <c r="AC19">
        <v>7.5217627916619398E-5</v>
      </c>
      <c r="AD19">
        <v>1.8932205973895699E-4</v>
      </c>
      <c r="AE19">
        <v>2.96011939225771E-3</v>
      </c>
      <c r="AF19">
        <v>7.1711750374403097E-3</v>
      </c>
      <c r="AG19">
        <v>0.221010173173775</v>
      </c>
    </row>
    <row r="20" spans="1:33" x14ac:dyDescent="0.25">
      <c r="A20" t="s">
        <v>49</v>
      </c>
      <c r="B20" t="str" cm="1">
        <f t="array" ref="B20:F20">_xlfn.TEXTSPLIT(A20,"_")</f>
        <v>MVPRP</v>
      </c>
      <c r="C20" t="str">
        <v>C30</v>
      </c>
      <c r="D20" t="str">
        <v>P6</v>
      </c>
      <c r="E20" t="str">
        <v>V4</v>
      </c>
      <c r="F20" t="str">
        <v>I3</v>
      </c>
      <c r="G20" t="s">
        <v>136</v>
      </c>
      <c r="H20" t="s">
        <v>30</v>
      </c>
      <c r="I20">
        <v>87441.1</v>
      </c>
      <c r="J20">
        <v>83415.198075822205</v>
      </c>
      <c r="K20">
        <v>4.6041300077170201E-2</v>
      </c>
      <c r="L20">
        <v>3601.5904810428601</v>
      </c>
      <c r="M20" t="s">
        <v>29</v>
      </c>
      <c r="N20">
        <v>171</v>
      </c>
      <c r="P20">
        <v>3</v>
      </c>
      <c r="Q20">
        <v>6000</v>
      </c>
      <c r="R20">
        <v>33150</v>
      </c>
      <c r="S20">
        <v>20150</v>
      </c>
      <c r="T20">
        <v>27153</v>
      </c>
      <c r="U20">
        <v>0</v>
      </c>
      <c r="V20">
        <v>0</v>
      </c>
      <c r="W20">
        <v>988.1</v>
      </c>
      <c r="X20">
        <v>115</v>
      </c>
      <c r="Y20">
        <v>2859</v>
      </c>
      <c r="Z20">
        <v>0</v>
      </c>
      <c r="AA20">
        <v>301</v>
      </c>
      <c r="AB20">
        <v>0</v>
      </c>
      <c r="AC20">
        <v>9.4621748357386003E-5</v>
      </c>
      <c r="AD20">
        <v>2.6932727047104999E-4</v>
      </c>
      <c r="AE20">
        <v>4.0339273911242698E-3</v>
      </c>
      <c r="AF20">
        <v>9.7498641344287602E-3</v>
      </c>
      <c r="AG20">
        <v>0.53089703684267797</v>
      </c>
    </row>
    <row r="21" spans="1:33" x14ac:dyDescent="0.25">
      <c r="A21" t="s">
        <v>50</v>
      </c>
      <c r="B21" t="str" cm="1">
        <f t="array" ref="B21:F21">_xlfn.TEXTSPLIT(A21,"_")</f>
        <v>MVPRP</v>
      </c>
      <c r="C21" t="str">
        <v>C15</v>
      </c>
      <c r="D21" t="str">
        <v>P6</v>
      </c>
      <c r="E21" t="str">
        <v>V3</v>
      </c>
      <c r="F21" t="str">
        <v>I3</v>
      </c>
      <c r="G21" t="s">
        <v>136</v>
      </c>
      <c r="H21" t="s">
        <v>30</v>
      </c>
      <c r="I21">
        <v>61616.7</v>
      </c>
      <c r="J21">
        <v>59821.347136004901</v>
      </c>
      <c r="K21">
        <v>2.91374394278682E-2</v>
      </c>
      <c r="L21">
        <v>3600.38172626495</v>
      </c>
      <c r="M21" t="s">
        <v>29</v>
      </c>
      <c r="N21">
        <v>132</v>
      </c>
      <c r="P21">
        <v>3</v>
      </c>
      <c r="Q21">
        <v>6000</v>
      </c>
      <c r="R21">
        <v>19800</v>
      </c>
      <c r="S21">
        <v>13779</v>
      </c>
      <c r="T21">
        <v>21584</v>
      </c>
      <c r="U21">
        <v>0</v>
      </c>
      <c r="V21">
        <v>0</v>
      </c>
      <c r="W21">
        <v>453.7</v>
      </c>
      <c r="X21">
        <v>217</v>
      </c>
      <c r="Y21">
        <v>1207</v>
      </c>
      <c r="Z21">
        <v>0</v>
      </c>
      <c r="AA21">
        <v>40</v>
      </c>
      <c r="AB21">
        <v>0</v>
      </c>
      <c r="AC21">
        <v>6.3494499632316096E-5</v>
      </c>
      <c r="AD21">
        <v>1.4417207324115801E-4</v>
      </c>
      <c r="AE21">
        <v>3.8194817337751201E-3</v>
      </c>
      <c r="AF21">
        <v>5.8318656270954497E-3</v>
      </c>
      <c r="AG21">
        <v>6.81529571843702E-2</v>
      </c>
    </row>
    <row r="22" spans="1:33" x14ac:dyDescent="0.25">
      <c r="A22" t="s">
        <v>51</v>
      </c>
      <c r="B22" t="str" cm="1">
        <f t="array" ref="B22:F22">_xlfn.TEXTSPLIT(A22,"_")</f>
        <v>MVPRP</v>
      </c>
      <c r="C22" t="str">
        <v>C50</v>
      </c>
      <c r="D22" t="str">
        <v>P3</v>
      </c>
      <c r="E22" t="str">
        <v>V3</v>
      </c>
      <c r="F22" t="str">
        <v>I3</v>
      </c>
      <c r="G22" t="s">
        <v>136</v>
      </c>
      <c r="H22" t="s">
        <v>30</v>
      </c>
      <c r="I22">
        <v>66153</v>
      </c>
      <c r="J22">
        <v>64287.171417048201</v>
      </c>
      <c r="K22">
        <v>2.8204746314631601E-2</v>
      </c>
      <c r="L22">
        <v>3603.1091153621701</v>
      </c>
      <c r="M22" t="s">
        <v>29</v>
      </c>
      <c r="N22">
        <v>360</v>
      </c>
      <c r="P22">
        <v>3</v>
      </c>
      <c r="Q22">
        <v>3000</v>
      </c>
      <c r="R22">
        <v>29580</v>
      </c>
      <c r="S22">
        <v>10714</v>
      </c>
      <c r="T22">
        <v>22859</v>
      </c>
      <c r="U22">
        <v>0</v>
      </c>
      <c r="V22">
        <v>0</v>
      </c>
      <c r="W22">
        <v>0</v>
      </c>
      <c r="X22">
        <v>37</v>
      </c>
      <c r="Y22">
        <v>1281</v>
      </c>
      <c r="Z22">
        <v>0</v>
      </c>
      <c r="AA22">
        <v>259</v>
      </c>
      <c r="AB22">
        <v>0</v>
      </c>
      <c r="AC22">
        <v>2.1001968097584601E-4</v>
      </c>
      <c r="AD22">
        <v>6.9749787976429803E-4</v>
      </c>
      <c r="AE22">
        <v>8.1118723589503096E-3</v>
      </c>
      <c r="AF22">
        <v>1.71233025217844E-2</v>
      </c>
      <c r="AG22">
        <v>1.2466418157544099</v>
      </c>
    </row>
    <row r="23" spans="1:33" x14ac:dyDescent="0.25">
      <c r="A23" t="s">
        <v>52</v>
      </c>
      <c r="B23" t="str" cm="1">
        <f t="array" ref="B23:F23">_xlfn.TEXTSPLIT(A23,"_")</f>
        <v>MVPRP</v>
      </c>
      <c r="C23" t="str">
        <v>C30</v>
      </c>
      <c r="D23" t="str">
        <v>P6</v>
      </c>
      <c r="E23" t="str">
        <v>V3</v>
      </c>
      <c r="F23" t="str">
        <v>I3</v>
      </c>
      <c r="G23" t="s">
        <v>136</v>
      </c>
      <c r="H23" t="s">
        <v>30</v>
      </c>
      <c r="I23">
        <v>84786.2</v>
      </c>
      <c r="J23">
        <v>81289.786939707701</v>
      </c>
      <c r="K23">
        <v>4.12379969888063E-2</v>
      </c>
      <c r="L23">
        <v>3601.7798182964302</v>
      </c>
      <c r="M23" t="s">
        <v>29</v>
      </c>
      <c r="N23">
        <v>228</v>
      </c>
      <c r="P23">
        <v>3</v>
      </c>
      <c r="Q23">
        <v>6000</v>
      </c>
      <c r="R23">
        <v>33150</v>
      </c>
      <c r="S23">
        <v>21228</v>
      </c>
      <c r="T23">
        <v>23548</v>
      </c>
      <c r="U23">
        <v>0</v>
      </c>
      <c r="V23">
        <v>0</v>
      </c>
      <c r="W23">
        <v>860.2</v>
      </c>
      <c r="X23">
        <v>110</v>
      </c>
      <c r="Y23">
        <v>2624</v>
      </c>
      <c r="Z23">
        <v>0</v>
      </c>
      <c r="AA23">
        <v>256</v>
      </c>
      <c r="AB23">
        <v>0</v>
      </c>
      <c r="AC23">
        <v>8.2617065706675695E-5</v>
      </c>
      <c r="AD23">
        <v>2.2755154789315599E-4</v>
      </c>
      <c r="AE23">
        <v>3.9704947795682699E-3</v>
      </c>
      <c r="AF23">
        <v>7.8462951297805106E-3</v>
      </c>
      <c r="AG23">
        <v>0.42690064377254899</v>
      </c>
    </row>
    <row r="24" spans="1:33" x14ac:dyDescent="0.25">
      <c r="A24" t="s">
        <v>53</v>
      </c>
      <c r="B24" t="str" cm="1">
        <f t="array" ref="B24:F24">_xlfn.TEXTSPLIT(A24,"_")</f>
        <v>MVPRP</v>
      </c>
      <c r="C24" t="str">
        <v>C25</v>
      </c>
      <c r="D24" t="str">
        <v>P3</v>
      </c>
      <c r="E24" t="str">
        <v>V2</v>
      </c>
      <c r="F24" t="str">
        <v>I3</v>
      </c>
      <c r="G24" t="s">
        <v>136</v>
      </c>
      <c r="H24" t="s">
        <v>30</v>
      </c>
      <c r="I24">
        <v>43946.8</v>
      </c>
      <c r="J24">
        <v>43642.785252960202</v>
      </c>
      <c r="K24">
        <v>6.9177903064575703E-3</v>
      </c>
      <c r="L24">
        <v>3600.23275327683</v>
      </c>
      <c r="M24" t="s">
        <v>29</v>
      </c>
      <c r="N24">
        <v>283</v>
      </c>
      <c r="P24">
        <v>3</v>
      </c>
      <c r="Q24">
        <v>3000</v>
      </c>
      <c r="R24">
        <v>14340</v>
      </c>
      <c r="S24">
        <v>6727</v>
      </c>
      <c r="T24">
        <v>12987</v>
      </c>
      <c r="U24">
        <v>0</v>
      </c>
      <c r="V24">
        <v>0</v>
      </c>
      <c r="W24">
        <v>6892.8</v>
      </c>
      <c r="X24">
        <v>2380</v>
      </c>
      <c r="Y24">
        <v>1095</v>
      </c>
      <c r="Z24">
        <v>0</v>
      </c>
      <c r="AA24">
        <v>157</v>
      </c>
      <c r="AB24">
        <v>0</v>
      </c>
      <c r="AC24">
        <v>7.4492380077503004E-5</v>
      </c>
      <c r="AD24">
        <v>1.9373441975513599E-4</v>
      </c>
      <c r="AE24">
        <v>2.8051024915388E-3</v>
      </c>
      <c r="AF24">
        <v>7.1729886601230699E-3</v>
      </c>
      <c r="AG24">
        <v>5.2579532651340299E-2</v>
      </c>
    </row>
    <row r="25" spans="1:33" x14ac:dyDescent="0.25">
      <c r="A25" t="s">
        <v>54</v>
      </c>
      <c r="B25" t="str" cm="1">
        <f t="array" ref="B25:F25">_xlfn.TEXTSPLIT(A25,"_")</f>
        <v>MVPRP</v>
      </c>
      <c r="C25" t="str">
        <v>C15</v>
      </c>
      <c r="D25" t="str">
        <v>P6</v>
      </c>
      <c r="E25" t="str">
        <v>V2</v>
      </c>
      <c r="F25" t="str">
        <v>I3</v>
      </c>
      <c r="G25" t="s">
        <v>136</v>
      </c>
      <c r="H25" t="s">
        <v>28</v>
      </c>
      <c r="I25">
        <v>64306</v>
      </c>
      <c r="J25">
        <v>64306</v>
      </c>
      <c r="K25">
        <v>0</v>
      </c>
      <c r="L25">
        <v>154.06189417839099</v>
      </c>
      <c r="M25" t="s">
        <v>29</v>
      </c>
      <c r="N25">
        <v>198</v>
      </c>
      <c r="P25">
        <v>3</v>
      </c>
      <c r="Q25">
        <v>6000</v>
      </c>
      <c r="R25">
        <v>19800</v>
      </c>
      <c r="S25">
        <v>14664</v>
      </c>
      <c r="T25">
        <v>18013</v>
      </c>
      <c r="U25">
        <v>0</v>
      </c>
      <c r="V25">
        <v>0</v>
      </c>
      <c r="W25">
        <v>5829</v>
      </c>
      <c r="X25">
        <v>112</v>
      </c>
      <c r="Y25">
        <v>333</v>
      </c>
      <c r="Z25">
        <v>0</v>
      </c>
      <c r="AA25">
        <v>38</v>
      </c>
      <c r="AB25">
        <v>0</v>
      </c>
      <c r="AC25">
        <v>5.54391850975796E-5</v>
      </c>
      <c r="AD25">
        <v>1.4582752062121499E-4</v>
      </c>
      <c r="AE25">
        <v>3.7073812737370201E-3</v>
      </c>
      <c r="AF25">
        <v>5.9712841809336798E-3</v>
      </c>
      <c r="AG25">
        <v>6.5882694336675804E-2</v>
      </c>
    </row>
    <row r="26" spans="1:33" x14ac:dyDescent="0.25">
      <c r="A26" t="s">
        <v>55</v>
      </c>
      <c r="B26" t="str" cm="1">
        <f t="array" ref="B26:F26">_xlfn.TEXTSPLIT(A26,"_")</f>
        <v>MVPRP</v>
      </c>
      <c r="C26" t="str">
        <v>C20</v>
      </c>
      <c r="D26" t="str">
        <v>P3</v>
      </c>
      <c r="E26" t="str">
        <v>V2</v>
      </c>
      <c r="F26" t="str">
        <v>I3</v>
      </c>
      <c r="G26" t="s">
        <v>136</v>
      </c>
      <c r="H26" t="s">
        <v>28</v>
      </c>
      <c r="I26">
        <v>37786.699999999997</v>
      </c>
      <c r="J26">
        <v>37786.699999999997</v>
      </c>
      <c r="K26">
        <v>0</v>
      </c>
      <c r="L26">
        <v>40.773032426834099</v>
      </c>
      <c r="M26" t="s">
        <v>29</v>
      </c>
      <c r="N26">
        <v>283</v>
      </c>
      <c r="P26">
        <v>3</v>
      </c>
      <c r="Q26">
        <v>3000</v>
      </c>
      <c r="R26">
        <v>12030</v>
      </c>
      <c r="S26">
        <v>5375</v>
      </c>
      <c r="T26">
        <v>11840</v>
      </c>
      <c r="U26">
        <v>0</v>
      </c>
      <c r="V26">
        <v>0</v>
      </c>
      <c r="W26">
        <v>5541.7</v>
      </c>
      <c r="X26">
        <v>254</v>
      </c>
      <c r="Y26">
        <v>98</v>
      </c>
      <c r="Z26">
        <v>0</v>
      </c>
      <c r="AA26">
        <v>60</v>
      </c>
      <c r="AB26">
        <v>0</v>
      </c>
      <c r="AC26">
        <v>6.5836763601698594E-5</v>
      </c>
      <c r="AD26">
        <v>1.4464098130357201E-4</v>
      </c>
      <c r="AE26">
        <v>3.0224875857432702E-3</v>
      </c>
      <c r="AF26">
        <v>4.6900989595523596E-3</v>
      </c>
      <c r="AG26">
        <v>4.5157158042330198E-2</v>
      </c>
    </row>
    <row r="27" spans="1:33" x14ac:dyDescent="0.25">
      <c r="A27" t="s">
        <v>56</v>
      </c>
      <c r="B27" t="str" cm="1">
        <f t="array" ref="B27:F27">_xlfn.TEXTSPLIT(A27,"_")</f>
        <v>MVPRP</v>
      </c>
      <c r="C27" t="str">
        <v>C10</v>
      </c>
      <c r="D27" t="str">
        <v>P6</v>
      </c>
      <c r="E27" t="str">
        <v>V3</v>
      </c>
      <c r="F27" t="str">
        <v>I3</v>
      </c>
      <c r="G27" t="s">
        <v>136</v>
      </c>
      <c r="H27" t="s">
        <v>28</v>
      </c>
      <c r="I27">
        <v>42064</v>
      </c>
      <c r="J27">
        <v>42064</v>
      </c>
      <c r="K27">
        <v>0</v>
      </c>
      <c r="L27">
        <v>20.329689979553201</v>
      </c>
      <c r="M27" t="s">
        <v>29</v>
      </c>
      <c r="N27">
        <v>132</v>
      </c>
      <c r="P27">
        <v>3</v>
      </c>
      <c r="Q27">
        <v>6000</v>
      </c>
      <c r="R27">
        <v>12690</v>
      </c>
      <c r="S27">
        <v>8865</v>
      </c>
      <c r="T27">
        <v>14509</v>
      </c>
      <c r="U27">
        <v>0</v>
      </c>
      <c r="V27">
        <v>0</v>
      </c>
      <c r="W27">
        <v>0</v>
      </c>
      <c r="X27">
        <v>36</v>
      </c>
      <c r="Y27">
        <v>82</v>
      </c>
      <c r="Z27">
        <v>0</v>
      </c>
      <c r="AA27">
        <v>17</v>
      </c>
      <c r="AB27">
        <v>0</v>
      </c>
      <c r="AC27">
        <v>5.1698833703994802E-5</v>
      </c>
      <c r="AD27">
        <v>8.7602638903959299E-5</v>
      </c>
      <c r="AE27">
        <v>3.7253204878274502E-3</v>
      </c>
      <c r="AF27">
        <v>4.04881496788192E-3</v>
      </c>
      <c r="AG27">
        <v>4.6063589013141101E-2</v>
      </c>
    </row>
    <row r="28" spans="1:33" x14ac:dyDescent="0.25">
      <c r="A28" t="s">
        <v>57</v>
      </c>
      <c r="B28" t="str" cm="1">
        <f t="array" ref="B28:F28">_xlfn.TEXTSPLIT(A28,"_")</f>
        <v>MVPRP</v>
      </c>
      <c r="C28" t="str">
        <v>C50</v>
      </c>
      <c r="D28" t="str">
        <v>P3</v>
      </c>
      <c r="E28" t="str">
        <v>V4</v>
      </c>
      <c r="F28" t="str">
        <v>I3</v>
      </c>
      <c r="G28" t="s">
        <v>136</v>
      </c>
      <c r="H28" t="s">
        <v>30</v>
      </c>
      <c r="I28">
        <v>68700</v>
      </c>
      <c r="J28">
        <v>66172.588977762804</v>
      </c>
      <c r="K28">
        <v>3.6789097849158799E-2</v>
      </c>
      <c r="L28">
        <v>3604.0687408447302</v>
      </c>
      <c r="M28" t="s">
        <v>29</v>
      </c>
      <c r="N28">
        <v>270</v>
      </c>
      <c r="P28">
        <v>3</v>
      </c>
      <c r="Q28">
        <v>3000</v>
      </c>
      <c r="R28">
        <v>29580</v>
      </c>
      <c r="S28">
        <v>11443</v>
      </c>
      <c r="T28">
        <v>24677</v>
      </c>
      <c r="U28">
        <v>0</v>
      </c>
      <c r="V28">
        <v>0</v>
      </c>
      <c r="W28">
        <v>0</v>
      </c>
      <c r="X28">
        <v>23</v>
      </c>
      <c r="Y28">
        <v>1395</v>
      </c>
      <c r="Z28">
        <v>0</v>
      </c>
      <c r="AA28">
        <v>211</v>
      </c>
      <c r="AB28">
        <v>0</v>
      </c>
      <c r="AC28">
        <v>2.30916759424042E-4</v>
      </c>
      <c r="AD28">
        <v>7.6716085104227302E-4</v>
      </c>
      <c r="AE28">
        <v>8.0823944165156498E-3</v>
      </c>
      <c r="AF28">
        <v>1.9319088364032198E-2</v>
      </c>
      <c r="AG28">
        <v>1.0903419711373099</v>
      </c>
    </row>
    <row r="29" spans="1:33" x14ac:dyDescent="0.25">
      <c r="A29" t="s">
        <v>58</v>
      </c>
      <c r="B29" t="str" cm="1">
        <f t="array" ref="B29:F29">_xlfn.TEXTSPLIT(A29,"_")</f>
        <v>MVPRP</v>
      </c>
      <c r="C29" t="str">
        <v>C15</v>
      </c>
      <c r="D29" t="str">
        <v>P3</v>
      </c>
      <c r="E29" t="str">
        <v>V2</v>
      </c>
      <c r="F29" t="str">
        <v>I3</v>
      </c>
      <c r="G29" t="s">
        <v>136</v>
      </c>
      <c r="H29" t="s">
        <v>28</v>
      </c>
      <c r="I29">
        <v>33212.9</v>
      </c>
      <c r="J29">
        <v>33212.9</v>
      </c>
      <c r="K29">
        <v>0</v>
      </c>
      <c r="L29">
        <v>8.1282238960266096</v>
      </c>
      <c r="M29" t="s">
        <v>29</v>
      </c>
      <c r="N29">
        <v>198</v>
      </c>
      <c r="P29">
        <v>3</v>
      </c>
      <c r="Q29">
        <v>3000</v>
      </c>
      <c r="R29">
        <v>9960</v>
      </c>
      <c r="S29">
        <v>4700</v>
      </c>
      <c r="T29">
        <v>11027</v>
      </c>
      <c r="U29">
        <v>0</v>
      </c>
      <c r="V29">
        <v>0</v>
      </c>
      <c r="W29">
        <v>4525.8999999999996</v>
      </c>
      <c r="X29">
        <v>12</v>
      </c>
      <c r="Y29">
        <v>92</v>
      </c>
      <c r="Z29">
        <v>0</v>
      </c>
      <c r="AA29">
        <v>16</v>
      </c>
      <c r="AB29">
        <v>0</v>
      </c>
      <c r="AC29">
        <v>8.8858372956803701E-5</v>
      </c>
      <c r="AD29">
        <v>1.24859625054884E-4</v>
      </c>
      <c r="AE29">
        <v>5.9643916869431398E-3</v>
      </c>
      <c r="AF29">
        <v>5.3030634826084404E-3</v>
      </c>
      <c r="AG29">
        <v>6.2002954811885398E-2</v>
      </c>
    </row>
    <row r="30" spans="1:33" x14ac:dyDescent="0.25">
      <c r="A30" t="s">
        <v>59</v>
      </c>
      <c r="B30" t="str" cm="1">
        <f t="array" ref="B30:F30">_xlfn.TEXTSPLIT(A30,"_")</f>
        <v>MVPRP</v>
      </c>
      <c r="C30" t="str">
        <v>C40</v>
      </c>
      <c r="D30" t="str">
        <v>P3</v>
      </c>
      <c r="E30" t="str">
        <v>V4</v>
      </c>
      <c r="F30" t="str">
        <v>I3</v>
      </c>
      <c r="G30" t="s">
        <v>136</v>
      </c>
      <c r="H30" t="s">
        <v>30</v>
      </c>
      <c r="I30">
        <v>63601</v>
      </c>
      <c r="J30">
        <v>62509.358040366198</v>
      </c>
      <c r="K30">
        <v>1.71639118824197E-2</v>
      </c>
      <c r="L30">
        <v>3601.1664106845901</v>
      </c>
      <c r="M30" t="s">
        <v>29</v>
      </c>
      <c r="N30">
        <v>270</v>
      </c>
      <c r="P30">
        <v>3</v>
      </c>
      <c r="Q30">
        <v>3000</v>
      </c>
      <c r="R30">
        <v>27660</v>
      </c>
      <c r="S30">
        <v>11056</v>
      </c>
      <c r="T30">
        <v>21885</v>
      </c>
      <c r="U30">
        <v>0</v>
      </c>
      <c r="V30">
        <v>0</v>
      </c>
      <c r="W30">
        <v>0</v>
      </c>
      <c r="X30">
        <v>6</v>
      </c>
      <c r="Y30">
        <v>1318</v>
      </c>
      <c r="Z30">
        <v>0</v>
      </c>
      <c r="AA30">
        <v>110</v>
      </c>
      <c r="AB30">
        <v>0</v>
      </c>
      <c r="AC30">
        <v>1.8554218744827499E-4</v>
      </c>
      <c r="AD30">
        <v>5.23793743031235E-4</v>
      </c>
      <c r="AE30">
        <v>7.4484646320343E-3</v>
      </c>
      <c r="AF30">
        <v>1.5709210262820499E-2</v>
      </c>
      <c r="AG30">
        <v>0.61707026511430696</v>
      </c>
    </row>
    <row r="31" spans="1:33" x14ac:dyDescent="0.25">
      <c r="A31" t="s">
        <v>60</v>
      </c>
      <c r="B31" t="str" cm="1">
        <f t="array" ref="B31:F31">_xlfn.TEXTSPLIT(A31,"_")</f>
        <v>MVPRP</v>
      </c>
      <c r="C31" t="str">
        <v>C25</v>
      </c>
      <c r="D31" t="str">
        <v>P3</v>
      </c>
      <c r="E31" t="str">
        <v>V3</v>
      </c>
      <c r="F31" t="str">
        <v>I3</v>
      </c>
      <c r="G31" t="s">
        <v>136</v>
      </c>
      <c r="H31" t="s">
        <v>30</v>
      </c>
      <c r="I31">
        <v>39170.499962691902</v>
      </c>
      <c r="J31">
        <v>38068.213247890402</v>
      </c>
      <c r="K31">
        <v>2.81407364177465E-2</v>
      </c>
      <c r="L31">
        <v>3600.6100161075601</v>
      </c>
      <c r="M31" t="s">
        <v>29</v>
      </c>
      <c r="N31">
        <v>189</v>
      </c>
      <c r="P31">
        <v>3</v>
      </c>
      <c r="Q31">
        <v>3000</v>
      </c>
      <c r="R31">
        <v>14340</v>
      </c>
      <c r="S31">
        <v>6770</v>
      </c>
      <c r="T31">
        <v>14039</v>
      </c>
      <c r="U31">
        <v>0</v>
      </c>
      <c r="V31">
        <v>0</v>
      </c>
      <c r="W31">
        <v>1021.4999626919</v>
      </c>
      <c r="X31">
        <v>714</v>
      </c>
      <c r="Y31">
        <v>1330</v>
      </c>
      <c r="Z31">
        <v>0</v>
      </c>
      <c r="AA31">
        <v>112</v>
      </c>
      <c r="AB31">
        <v>0</v>
      </c>
      <c r="AC31">
        <v>1.09375174342501E-4</v>
      </c>
      <c r="AD31">
        <v>2.5291107653818202E-4</v>
      </c>
      <c r="AE31">
        <v>4.6618199472099097E-3</v>
      </c>
      <c r="AF31">
        <v>9.1960879171749197E-3</v>
      </c>
      <c r="AG31">
        <v>8.0984371883381298E-2</v>
      </c>
    </row>
    <row r="32" spans="1:33" x14ac:dyDescent="0.25">
      <c r="A32" t="s">
        <v>61</v>
      </c>
      <c r="B32" t="str" cm="1">
        <f t="array" ref="B32:F32">_xlfn.TEXTSPLIT(A32,"_")</f>
        <v>MVPRP</v>
      </c>
      <c r="C32" t="str">
        <v>C20</v>
      </c>
      <c r="D32" t="str">
        <v>P6</v>
      </c>
      <c r="E32" t="str">
        <v>V3</v>
      </c>
      <c r="F32" t="str">
        <v>I3</v>
      </c>
      <c r="G32" t="s">
        <v>136</v>
      </c>
      <c r="H32" t="s">
        <v>30</v>
      </c>
      <c r="I32">
        <v>67592.7996438806</v>
      </c>
      <c r="J32">
        <v>65236.356430451699</v>
      </c>
      <c r="K32">
        <v>3.4862340749962598E-2</v>
      </c>
      <c r="L32">
        <v>3601.0754940509801</v>
      </c>
      <c r="M32" t="s">
        <v>29</v>
      </c>
      <c r="N32">
        <v>189</v>
      </c>
      <c r="P32">
        <v>3</v>
      </c>
      <c r="Q32">
        <v>6000</v>
      </c>
      <c r="R32">
        <v>23820</v>
      </c>
      <c r="S32">
        <v>16030</v>
      </c>
      <c r="T32">
        <v>20820</v>
      </c>
      <c r="U32">
        <v>0</v>
      </c>
      <c r="V32">
        <v>0</v>
      </c>
      <c r="W32">
        <v>922.79964610603599</v>
      </c>
      <c r="X32">
        <v>302</v>
      </c>
      <c r="Y32">
        <v>1659</v>
      </c>
      <c r="Z32">
        <v>0</v>
      </c>
      <c r="AA32">
        <v>125</v>
      </c>
      <c r="AB32">
        <v>0</v>
      </c>
      <c r="AC32">
        <v>5.89498208493603E-5</v>
      </c>
      <c r="AD32">
        <v>1.65443482741811E-4</v>
      </c>
      <c r="AE32">
        <v>2.9299144379275601E-3</v>
      </c>
      <c r="AF32">
        <v>6.5953725203525401E-3</v>
      </c>
      <c r="AG32">
        <v>0.124649784781716</v>
      </c>
    </row>
    <row r="33" spans="1:33" x14ac:dyDescent="0.25">
      <c r="A33" t="s">
        <v>62</v>
      </c>
      <c r="B33" t="str" cm="1">
        <f t="array" ref="B33:F33">_xlfn.TEXTSPLIT(A33,"_")</f>
        <v>MVPRP</v>
      </c>
      <c r="C33" t="str">
        <v>C20</v>
      </c>
      <c r="D33" t="str">
        <v>P9</v>
      </c>
      <c r="E33" t="str">
        <v>V3</v>
      </c>
      <c r="F33" t="str">
        <v>I3</v>
      </c>
      <c r="G33" t="s">
        <v>136</v>
      </c>
      <c r="H33" t="s">
        <v>30</v>
      </c>
      <c r="I33">
        <v>119834.699609213</v>
      </c>
      <c r="J33">
        <v>114187.955211354</v>
      </c>
      <c r="K33">
        <v>4.7121112801831101E-2</v>
      </c>
      <c r="L33">
        <v>3601.313185215</v>
      </c>
      <c r="M33" t="s">
        <v>29</v>
      </c>
      <c r="N33">
        <v>189</v>
      </c>
      <c r="P33">
        <v>3</v>
      </c>
      <c r="Q33">
        <v>9000.0005414480602</v>
      </c>
      <c r="R33">
        <v>48120</v>
      </c>
      <c r="S33">
        <v>23934.999067759101</v>
      </c>
      <c r="T33">
        <v>35825.000000006403</v>
      </c>
      <c r="U33">
        <v>0</v>
      </c>
      <c r="V33">
        <v>0</v>
      </c>
      <c r="W33">
        <v>2954.7</v>
      </c>
      <c r="X33">
        <v>364</v>
      </c>
      <c r="Y33">
        <v>2672</v>
      </c>
      <c r="Z33">
        <v>0</v>
      </c>
      <c r="AA33">
        <v>174</v>
      </c>
      <c r="AB33">
        <v>0</v>
      </c>
      <c r="AC33">
        <v>6.2557361265830596E-5</v>
      </c>
      <c r="AD33">
        <v>1.7632650174306699E-4</v>
      </c>
      <c r="AE33">
        <v>3.8352458457636602E-3</v>
      </c>
      <c r="AF33">
        <v>7.9142885281610603E-3</v>
      </c>
      <c r="AG33">
        <v>0.202814919307894</v>
      </c>
    </row>
    <row r="34" spans="1:33" x14ac:dyDescent="0.25">
      <c r="A34" t="s">
        <v>63</v>
      </c>
      <c r="B34" t="str" cm="1">
        <f t="array" ref="B34:F34">_xlfn.TEXTSPLIT(A34,"_")</f>
        <v>MVPRP</v>
      </c>
      <c r="C34" t="str">
        <v>C40</v>
      </c>
      <c r="D34" t="str">
        <v>P6</v>
      </c>
      <c r="E34" t="str">
        <v>V3</v>
      </c>
      <c r="F34" t="str">
        <v>I3</v>
      </c>
      <c r="G34" t="s">
        <v>136</v>
      </c>
      <c r="H34" t="s">
        <v>30</v>
      </c>
      <c r="I34">
        <v>144910.29999999999</v>
      </c>
      <c r="J34">
        <v>120729.267870102</v>
      </c>
      <c r="K34">
        <v>0.166868967422591</v>
      </c>
      <c r="L34">
        <v>3601.0143136978199</v>
      </c>
      <c r="M34" t="s">
        <v>29</v>
      </c>
      <c r="N34">
        <v>360</v>
      </c>
      <c r="P34">
        <v>3</v>
      </c>
      <c r="Q34">
        <v>6000</v>
      </c>
      <c r="R34">
        <v>55170</v>
      </c>
      <c r="S34">
        <v>32123</v>
      </c>
      <c r="T34">
        <v>34552</v>
      </c>
      <c r="U34">
        <v>0</v>
      </c>
      <c r="V34">
        <v>0</v>
      </c>
      <c r="W34">
        <v>17065.3</v>
      </c>
      <c r="X34">
        <v>150</v>
      </c>
      <c r="Y34">
        <v>3492</v>
      </c>
      <c r="Z34">
        <v>0</v>
      </c>
      <c r="AA34">
        <v>1483</v>
      </c>
      <c r="AB34">
        <v>0</v>
      </c>
      <c r="AC34">
        <v>1.16017524508436E-4</v>
      </c>
      <c r="AD34">
        <v>2.9393787578427298E-4</v>
      </c>
      <c r="AE34">
        <v>2.9860065582601801E-3</v>
      </c>
      <c r="AF34">
        <v>7.9714258746511907E-3</v>
      </c>
      <c r="AG34">
        <v>0.957750826615554</v>
      </c>
    </row>
    <row r="35" spans="1:33" x14ac:dyDescent="0.25">
      <c r="A35" t="s">
        <v>64</v>
      </c>
      <c r="B35" t="str" cm="1">
        <f t="array" ref="B35:F35">_xlfn.TEXTSPLIT(A35,"_")</f>
        <v>MVPRP</v>
      </c>
      <c r="C35" t="str">
        <v>C25</v>
      </c>
      <c r="D35" t="str">
        <v>P9</v>
      </c>
      <c r="E35" t="str">
        <v>V2</v>
      </c>
      <c r="F35" t="str">
        <v>I3</v>
      </c>
      <c r="G35" t="s">
        <v>136</v>
      </c>
      <c r="H35" t="s">
        <v>30</v>
      </c>
      <c r="I35">
        <v>160669.299998</v>
      </c>
      <c r="J35">
        <v>144393.161269359</v>
      </c>
      <c r="K35">
        <v>0.101302107676101</v>
      </c>
      <c r="L35">
        <v>3602.2785103321098</v>
      </c>
      <c r="M35" t="s">
        <v>29</v>
      </c>
      <c r="N35">
        <v>283</v>
      </c>
      <c r="P35">
        <v>3</v>
      </c>
      <c r="Q35">
        <v>12000</v>
      </c>
      <c r="R35">
        <v>59880</v>
      </c>
      <c r="S35">
        <v>30292</v>
      </c>
      <c r="T35">
        <v>37639</v>
      </c>
      <c r="U35">
        <v>0</v>
      </c>
      <c r="V35">
        <v>0</v>
      </c>
      <c r="W35">
        <v>20858.2999979997</v>
      </c>
      <c r="X35">
        <v>358</v>
      </c>
      <c r="Y35">
        <v>4371</v>
      </c>
      <c r="Z35">
        <v>0</v>
      </c>
      <c r="AA35">
        <v>576</v>
      </c>
      <c r="AB35">
        <v>0</v>
      </c>
      <c r="AC35">
        <v>7.4681074807784301E-5</v>
      </c>
      <c r="AD35">
        <v>1.7343692746521101E-4</v>
      </c>
      <c r="AE35">
        <v>3.35145147268523E-3</v>
      </c>
      <c r="AF35">
        <v>6.5913187821937998E-3</v>
      </c>
      <c r="AG35">
        <v>0.403654484038657</v>
      </c>
    </row>
    <row r="36" spans="1:33" x14ac:dyDescent="0.25">
      <c r="A36" t="s">
        <v>65</v>
      </c>
      <c r="B36" t="str" cm="1">
        <f t="array" ref="B36:F36">_xlfn.TEXTSPLIT(A36,"_")</f>
        <v>MVPRP</v>
      </c>
      <c r="C36" t="str">
        <v>C40</v>
      </c>
      <c r="D36" t="str">
        <v>P6</v>
      </c>
      <c r="E36" t="str">
        <v>V4</v>
      </c>
      <c r="F36" t="str">
        <v>I3</v>
      </c>
      <c r="G36" t="s">
        <v>136</v>
      </c>
      <c r="H36" t="s">
        <v>30</v>
      </c>
      <c r="I36">
        <v>138373.9</v>
      </c>
      <c r="J36">
        <v>123852.46247385599</v>
      </c>
      <c r="K36">
        <v>0.104943472187634</v>
      </c>
      <c r="L36">
        <v>3604.9511859416998</v>
      </c>
      <c r="M36" t="s">
        <v>29</v>
      </c>
      <c r="N36">
        <v>270</v>
      </c>
      <c r="P36">
        <v>3</v>
      </c>
      <c r="Q36">
        <v>6000</v>
      </c>
      <c r="R36">
        <v>55170</v>
      </c>
      <c r="S36">
        <v>29719</v>
      </c>
      <c r="T36">
        <v>42329</v>
      </c>
      <c r="U36">
        <v>0</v>
      </c>
      <c r="V36">
        <v>0</v>
      </c>
      <c r="W36">
        <v>5155.8999999999996</v>
      </c>
      <c r="X36">
        <v>39</v>
      </c>
      <c r="Y36">
        <v>3060</v>
      </c>
      <c r="Z36">
        <v>0</v>
      </c>
      <c r="AA36">
        <v>962</v>
      </c>
      <c r="AB36">
        <v>0</v>
      </c>
      <c r="AC36">
        <v>1.1852119150839801E-4</v>
      </c>
      <c r="AD36">
        <v>3.3412921845892701E-4</v>
      </c>
      <c r="AE36">
        <v>2.9964313679860799E-3</v>
      </c>
      <c r="AF36">
        <v>9.0837160237294892E-3</v>
      </c>
      <c r="AG36">
        <v>1.2290205680407</v>
      </c>
    </row>
    <row r="37" spans="1:33" x14ac:dyDescent="0.25">
      <c r="A37" t="s">
        <v>66</v>
      </c>
      <c r="B37" t="str" cm="1">
        <f t="array" ref="B37:F37">_xlfn.TEXTSPLIT(A37,"_")</f>
        <v>MVPRP</v>
      </c>
      <c r="C37" t="str">
        <v>C15</v>
      </c>
      <c r="D37" t="str">
        <v>P9</v>
      </c>
      <c r="E37" t="str">
        <v>V3</v>
      </c>
      <c r="F37" t="str">
        <v>I3</v>
      </c>
      <c r="G37" t="s">
        <v>136</v>
      </c>
      <c r="H37" t="s">
        <v>30</v>
      </c>
      <c r="I37">
        <v>110259.09992935001</v>
      </c>
      <c r="J37">
        <v>106660.24550762901</v>
      </c>
      <c r="K37">
        <v>3.2639976419422498E-2</v>
      </c>
      <c r="L37">
        <v>3600.5841038227099</v>
      </c>
      <c r="M37" t="s">
        <v>29</v>
      </c>
      <c r="N37">
        <v>132</v>
      </c>
      <c r="P37">
        <v>3</v>
      </c>
      <c r="Q37">
        <v>9000</v>
      </c>
      <c r="R37">
        <v>40950</v>
      </c>
      <c r="S37">
        <v>21120</v>
      </c>
      <c r="T37">
        <v>37495</v>
      </c>
      <c r="U37">
        <v>0</v>
      </c>
      <c r="V37">
        <v>0</v>
      </c>
      <c r="W37">
        <v>1694.0999293499899</v>
      </c>
      <c r="X37">
        <v>187</v>
      </c>
      <c r="Y37">
        <v>2026</v>
      </c>
      <c r="Z37">
        <v>0</v>
      </c>
      <c r="AA37">
        <v>50</v>
      </c>
      <c r="AB37">
        <v>0</v>
      </c>
      <c r="AC37">
        <v>6.3993752639064606E-5</v>
      </c>
      <c r="AD37">
        <v>1.56885619673081E-4</v>
      </c>
      <c r="AE37">
        <v>4.5771645214743202E-3</v>
      </c>
      <c r="AF37">
        <v>7.2814243817802497E-3</v>
      </c>
      <c r="AG37">
        <v>0.15995859902752299</v>
      </c>
    </row>
    <row r="38" spans="1:33" x14ac:dyDescent="0.25">
      <c r="A38" t="s">
        <v>67</v>
      </c>
      <c r="B38" t="str" cm="1">
        <f t="array" ref="B38:F38">_xlfn.TEXTSPLIT(A38,"_")</f>
        <v>MVPRP</v>
      </c>
      <c r="C38" t="str">
        <v>C35</v>
      </c>
      <c r="D38" t="str">
        <v>P3</v>
      </c>
      <c r="E38" t="str">
        <v>V4</v>
      </c>
      <c r="F38" t="str">
        <v>I3</v>
      </c>
      <c r="G38" t="s">
        <v>136</v>
      </c>
      <c r="H38" t="s">
        <v>30</v>
      </c>
      <c r="I38">
        <v>51475</v>
      </c>
      <c r="J38">
        <v>51001.771277534797</v>
      </c>
      <c r="K38">
        <v>9.1933700333209408E-3</v>
      </c>
      <c r="L38">
        <v>3600.2168905735002</v>
      </c>
      <c r="M38" t="s">
        <v>29</v>
      </c>
      <c r="N38">
        <v>207</v>
      </c>
      <c r="P38">
        <v>3</v>
      </c>
      <c r="Q38">
        <v>3000</v>
      </c>
      <c r="R38">
        <v>21600</v>
      </c>
      <c r="S38">
        <v>8387</v>
      </c>
      <c r="T38">
        <v>18488</v>
      </c>
      <c r="U38">
        <v>0</v>
      </c>
      <c r="V38">
        <v>0</v>
      </c>
      <c r="W38">
        <v>0</v>
      </c>
      <c r="X38">
        <v>22</v>
      </c>
      <c r="Y38">
        <v>1236</v>
      </c>
      <c r="Z38">
        <v>0</v>
      </c>
      <c r="AA38">
        <v>106</v>
      </c>
      <c r="AB38">
        <v>0</v>
      </c>
      <c r="AC38">
        <v>1.5361813025745901E-4</v>
      </c>
      <c r="AD38">
        <v>4.1290862636053199E-4</v>
      </c>
      <c r="AE38">
        <v>6.7324471321834898E-3</v>
      </c>
      <c r="AF38">
        <v>1.33371753207708E-2</v>
      </c>
      <c r="AG38">
        <v>0.50661553168783402</v>
      </c>
    </row>
    <row r="39" spans="1:33" x14ac:dyDescent="0.25">
      <c r="A39" t="s">
        <v>68</v>
      </c>
      <c r="B39" t="str" cm="1">
        <f t="array" ref="B39:F39">_xlfn.TEXTSPLIT(A39,"_")</f>
        <v>MVPRP</v>
      </c>
      <c r="C39" t="str">
        <v>C20</v>
      </c>
      <c r="D39" t="str">
        <v>P9</v>
      </c>
      <c r="E39" t="str">
        <v>V2</v>
      </c>
      <c r="F39" t="str">
        <v>I3</v>
      </c>
      <c r="G39" t="s">
        <v>136</v>
      </c>
      <c r="H39" t="s">
        <v>30</v>
      </c>
      <c r="I39">
        <v>126049.2</v>
      </c>
      <c r="J39">
        <v>121692.247646819</v>
      </c>
      <c r="K39">
        <v>3.4565489929181403E-2</v>
      </c>
      <c r="L39">
        <v>3601.5265693664601</v>
      </c>
      <c r="M39" t="s">
        <v>29</v>
      </c>
      <c r="N39">
        <v>283</v>
      </c>
      <c r="P39">
        <v>3</v>
      </c>
      <c r="Q39">
        <v>9000</v>
      </c>
      <c r="R39">
        <v>48120</v>
      </c>
      <c r="S39">
        <v>25167</v>
      </c>
      <c r="T39">
        <v>31545</v>
      </c>
      <c r="U39">
        <v>0</v>
      </c>
      <c r="V39">
        <v>0</v>
      </c>
      <c r="W39">
        <v>12217.2</v>
      </c>
      <c r="X39">
        <v>240</v>
      </c>
      <c r="Y39">
        <v>2831</v>
      </c>
      <c r="Z39">
        <v>0</v>
      </c>
      <c r="AA39">
        <v>189</v>
      </c>
      <c r="AB39">
        <v>0</v>
      </c>
      <c r="AC39">
        <v>6.0193250231454397E-5</v>
      </c>
      <c r="AD39">
        <v>1.47872005212299E-4</v>
      </c>
      <c r="AE39">
        <v>3.4844142522984902E-3</v>
      </c>
      <c r="AF39">
        <v>6.0370218144373102E-3</v>
      </c>
      <c r="AG39">
        <v>0.17067567763790001</v>
      </c>
    </row>
    <row r="40" spans="1:33" x14ac:dyDescent="0.25">
      <c r="A40" t="s">
        <v>69</v>
      </c>
      <c r="B40" t="str" cm="1">
        <f t="array" ref="B40:F40">_xlfn.TEXTSPLIT(A40,"_")</f>
        <v>MVPRP</v>
      </c>
      <c r="C40" t="str">
        <v>C45</v>
      </c>
      <c r="D40" t="str">
        <v>P3</v>
      </c>
      <c r="E40" t="str">
        <v>V4</v>
      </c>
      <c r="F40" t="str">
        <v>I3</v>
      </c>
      <c r="G40" t="s">
        <v>136</v>
      </c>
      <c r="H40" t="s">
        <v>30</v>
      </c>
      <c r="I40">
        <v>72307</v>
      </c>
      <c r="J40">
        <v>71100.030887107001</v>
      </c>
      <c r="K40">
        <v>1.669228584913E-2</v>
      </c>
      <c r="L40">
        <v>3601.9234492778801</v>
      </c>
      <c r="M40" t="s">
        <v>29</v>
      </c>
      <c r="N40">
        <v>270</v>
      </c>
      <c r="P40">
        <v>3</v>
      </c>
      <c r="Q40">
        <v>3000</v>
      </c>
      <c r="R40">
        <v>33060</v>
      </c>
      <c r="S40">
        <v>12283</v>
      </c>
      <c r="T40">
        <v>23964</v>
      </c>
      <c r="U40">
        <v>0</v>
      </c>
      <c r="V40">
        <v>0</v>
      </c>
      <c r="W40">
        <v>0</v>
      </c>
      <c r="X40">
        <v>32</v>
      </c>
      <c r="Y40">
        <v>1461</v>
      </c>
      <c r="Z40">
        <v>0</v>
      </c>
      <c r="AA40">
        <v>192</v>
      </c>
      <c r="AB40">
        <v>0</v>
      </c>
      <c r="AC40">
        <v>1.93426507780451E-4</v>
      </c>
      <c r="AD40">
        <v>6.38782978057861E-4</v>
      </c>
      <c r="AE40">
        <v>7.4639544195058399E-3</v>
      </c>
      <c r="AF40">
        <v>1.7328218208937499E-2</v>
      </c>
      <c r="AG40">
        <v>0.87745035395902804</v>
      </c>
    </row>
    <row r="41" spans="1:33" x14ac:dyDescent="0.25">
      <c r="A41" t="s">
        <v>70</v>
      </c>
      <c r="B41" t="str" cm="1">
        <f t="array" ref="B41:F41">_xlfn.TEXTSPLIT(A41,"_")</f>
        <v>MVPRP</v>
      </c>
      <c r="C41" t="str">
        <v>C10</v>
      </c>
      <c r="D41" t="str">
        <v>P9</v>
      </c>
      <c r="E41" t="str">
        <v>V3</v>
      </c>
      <c r="F41" t="str">
        <v>I3</v>
      </c>
      <c r="G41" t="s">
        <v>136</v>
      </c>
      <c r="H41" t="s">
        <v>28</v>
      </c>
      <c r="I41">
        <v>73128.099399474406</v>
      </c>
      <c r="J41">
        <v>73128.099399474406</v>
      </c>
      <c r="K41">
        <v>0</v>
      </c>
      <c r="L41">
        <v>210.355812311172</v>
      </c>
      <c r="M41" t="s">
        <v>29</v>
      </c>
      <c r="N41">
        <v>132</v>
      </c>
      <c r="P41">
        <v>3</v>
      </c>
      <c r="Q41">
        <v>9000</v>
      </c>
      <c r="R41">
        <v>26370</v>
      </c>
      <c r="S41">
        <v>14133</v>
      </c>
      <c r="T41">
        <v>22644.999992377201</v>
      </c>
      <c r="U41">
        <v>0</v>
      </c>
      <c r="V41">
        <v>0</v>
      </c>
      <c r="W41">
        <v>980.09940709723799</v>
      </c>
      <c r="X41">
        <v>98</v>
      </c>
      <c r="Y41">
        <v>181</v>
      </c>
      <c r="Z41">
        <v>0</v>
      </c>
      <c r="AA41">
        <v>24</v>
      </c>
      <c r="AB41">
        <v>0</v>
      </c>
      <c r="AC41">
        <v>4.5469288382670799E-5</v>
      </c>
      <c r="AD41">
        <v>1.13518424391556E-4</v>
      </c>
      <c r="AE41">
        <v>3.5863181395736602E-3</v>
      </c>
      <c r="AF41">
        <v>5.6091496298630297E-3</v>
      </c>
      <c r="AG41">
        <v>6.2470982241076098E-2</v>
      </c>
    </row>
    <row r="42" spans="1:33" x14ac:dyDescent="0.25">
      <c r="A42" t="s">
        <v>71</v>
      </c>
      <c r="B42" t="str" cm="1">
        <f t="array" ref="B42:F42">_xlfn.TEXTSPLIT(A42,"_")</f>
        <v>MVPRP</v>
      </c>
      <c r="C42" t="str">
        <v>C10</v>
      </c>
      <c r="D42" t="str">
        <v>P9</v>
      </c>
      <c r="E42" t="str">
        <v>V2</v>
      </c>
      <c r="F42" t="str">
        <v>I3</v>
      </c>
      <c r="G42" t="s">
        <v>136</v>
      </c>
      <c r="H42" t="s">
        <v>28</v>
      </c>
      <c r="I42">
        <v>76545.5</v>
      </c>
      <c r="J42">
        <v>76545.5</v>
      </c>
      <c r="K42">
        <v>0</v>
      </c>
      <c r="L42">
        <v>53.293395280837998</v>
      </c>
      <c r="M42" t="s">
        <v>29</v>
      </c>
      <c r="N42">
        <v>198</v>
      </c>
      <c r="P42">
        <v>3</v>
      </c>
      <c r="Q42">
        <v>9000</v>
      </c>
      <c r="R42">
        <v>26370</v>
      </c>
      <c r="S42">
        <v>14099</v>
      </c>
      <c r="T42">
        <v>21445</v>
      </c>
      <c r="U42">
        <v>0</v>
      </c>
      <c r="V42">
        <v>0</v>
      </c>
      <c r="W42">
        <v>5631.5</v>
      </c>
      <c r="X42">
        <v>96</v>
      </c>
      <c r="Y42">
        <v>145</v>
      </c>
      <c r="Z42">
        <v>0</v>
      </c>
      <c r="AA42">
        <v>21</v>
      </c>
      <c r="AB42">
        <v>0</v>
      </c>
      <c r="AC42">
        <v>4.9420128836332598E-5</v>
      </c>
      <c r="AD42">
        <v>1.12511396291381E-4</v>
      </c>
      <c r="AE42">
        <v>3.5787792232712498E-3</v>
      </c>
      <c r="AF42">
        <v>5.4725520053313199E-3</v>
      </c>
      <c r="AG42">
        <v>5.9335243701934798E-2</v>
      </c>
    </row>
    <row r="43" spans="1:33" x14ac:dyDescent="0.25">
      <c r="A43" t="s">
        <v>72</v>
      </c>
      <c r="B43" t="str" cm="1">
        <f t="array" ref="B43:F43">_xlfn.TEXTSPLIT(A43,"_")</f>
        <v>MVPRP</v>
      </c>
      <c r="C43" t="str">
        <v>C25</v>
      </c>
      <c r="D43" t="str">
        <v>P9</v>
      </c>
      <c r="E43" t="str">
        <v>V3</v>
      </c>
      <c r="F43" t="str">
        <v>I3</v>
      </c>
      <c r="G43" t="s">
        <v>136</v>
      </c>
      <c r="H43" t="s">
        <v>30</v>
      </c>
      <c r="I43">
        <v>151379.79999899899</v>
      </c>
      <c r="J43">
        <v>135286.47460748101</v>
      </c>
      <c r="K43">
        <v>0.106310917253319</v>
      </c>
      <c r="L43">
        <v>3600.8144268989599</v>
      </c>
      <c r="M43" t="s">
        <v>29</v>
      </c>
      <c r="N43">
        <v>189</v>
      </c>
      <c r="P43">
        <v>3</v>
      </c>
      <c r="Q43">
        <v>12000</v>
      </c>
      <c r="R43">
        <v>59880</v>
      </c>
      <c r="S43">
        <v>26684</v>
      </c>
      <c r="T43">
        <v>45327</v>
      </c>
      <c r="U43">
        <v>0</v>
      </c>
      <c r="V43">
        <v>0</v>
      </c>
      <c r="W43">
        <v>7488.7999989989403</v>
      </c>
      <c r="X43">
        <v>285</v>
      </c>
      <c r="Y43">
        <v>4209</v>
      </c>
      <c r="Z43">
        <v>0</v>
      </c>
      <c r="AA43">
        <v>412</v>
      </c>
      <c r="AB43">
        <v>0</v>
      </c>
      <c r="AC43">
        <v>8.3041556773741606E-5</v>
      </c>
      <c r="AD43">
        <v>2.1374003604205001E-4</v>
      </c>
      <c r="AE43">
        <v>3.5388929129021099E-3</v>
      </c>
      <c r="AF43">
        <v>8.5537339343202106E-3</v>
      </c>
      <c r="AG43">
        <v>0.54201578539471296</v>
      </c>
    </row>
    <row r="44" spans="1:33" x14ac:dyDescent="0.25">
      <c r="A44" t="s">
        <v>31</v>
      </c>
      <c r="B44" t="str" cm="1">
        <f t="array" ref="B44:F44">_xlfn.TEXTSPLIT(A44,"_")</f>
        <v>MVPRP</v>
      </c>
      <c r="C44" t="str">
        <v>C15</v>
      </c>
      <c r="D44" t="str">
        <v>P3</v>
      </c>
      <c r="E44" t="str">
        <v>V3</v>
      </c>
      <c r="F44" t="str">
        <v>I3</v>
      </c>
      <c r="G44" t="s">
        <v>113</v>
      </c>
      <c r="H44" t="s">
        <v>28</v>
      </c>
      <c r="I44">
        <v>30482.9</v>
      </c>
      <c r="J44">
        <v>30482.9</v>
      </c>
      <c r="K44">
        <v>0</v>
      </c>
      <c r="L44">
        <v>39.146364450454698</v>
      </c>
      <c r="M44" t="s">
        <v>29</v>
      </c>
      <c r="N44">
        <v>132</v>
      </c>
      <c r="P44">
        <v>3</v>
      </c>
      <c r="Q44">
        <v>3000</v>
      </c>
      <c r="R44">
        <v>9960</v>
      </c>
      <c r="S44">
        <v>4200</v>
      </c>
      <c r="T44">
        <v>13288</v>
      </c>
      <c r="U44">
        <v>104.7</v>
      </c>
      <c r="V44">
        <v>69.800000000000097</v>
      </c>
      <c r="W44">
        <v>34.900000000000198</v>
      </c>
      <c r="X44">
        <v>229</v>
      </c>
      <c r="Y44">
        <v>0</v>
      </c>
      <c r="Z44">
        <v>17</v>
      </c>
      <c r="AA44">
        <v>0</v>
      </c>
    </row>
    <row r="45" spans="1:33" x14ac:dyDescent="0.25">
      <c r="A45" t="s">
        <v>32</v>
      </c>
      <c r="B45" t="str" cm="1">
        <f t="array" ref="B45:F45">_xlfn.TEXTSPLIT(A45,"_")</f>
        <v>MVPRP</v>
      </c>
      <c r="C45" t="str">
        <v>C30</v>
      </c>
      <c r="D45" t="str">
        <v>P9</v>
      </c>
      <c r="E45" t="str">
        <v>V3</v>
      </c>
      <c r="F45" t="str">
        <v>I3</v>
      </c>
      <c r="G45" t="s">
        <v>113</v>
      </c>
      <c r="H45" t="s">
        <v>30</v>
      </c>
      <c r="I45">
        <v>162683.299076</v>
      </c>
      <c r="J45">
        <v>144172.674292554</v>
      </c>
      <c r="K45">
        <v>0.11378319033718701</v>
      </c>
      <c r="L45">
        <v>3600.79955863953</v>
      </c>
      <c r="M45" t="s">
        <v>29</v>
      </c>
      <c r="N45">
        <v>228</v>
      </c>
      <c r="P45">
        <v>3</v>
      </c>
      <c r="Q45">
        <v>12000</v>
      </c>
      <c r="R45">
        <v>67710</v>
      </c>
      <c r="S45">
        <v>27404</v>
      </c>
      <c r="T45">
        <v>50571</v>
      </c>
      <c r="U45">
        <v>6713.9990734225103</v>
      </c>
      <c r="V45">
        <v>1715.6999974226701</v>
      </c>
      <c r="W45">
        <v>4998.2990759998402</v>
      </c>
      <c r="X45">
        <v>1845</v>
      </c>
      <c r="Y45">
        <v>0</v>
      </c>
      <c r="Z45">
        <v>414</v>
      </c>
      <c r="AA45">
        <v>0</v>
      </c>
    </row>
    <row r="46" spans="1:33" x14ac:dyDescent="0.25">
      <c r="A46" t="s">
        <v>33</v>
      </c>
      <c r="B46" t="str" cm="1">
        <f t="array" ref="B46:F46">_xlfn.TEXTSPLIT(A46,"_")</f>
        <v>MVPRP</v>
      </c>
      <c r="C46" t="str">
        <v>C20</v>
      </c>
      <c r="D46" t="str">
        <v>P6</v>
      </c>
      <c r="E46" t="str">
        <v>V2</v>
      </c>
      <c r="F46" t="str">
        <v>I3</v>
      </c>
      <c r="G46" t="s">
        <v>113</v>
      </c>
      <c r="H46" t="s">
        <v>30</v>
      </c>
      <c r="I46">
        <v>70886.795148768797</v>
      </c>
      <c r="J46">
        <v>65480.681586551902</v>
      </c>
      <c r="K46">
        <v>7.6264042560693607E-2</v>
      </c>
      <c r="L46">
        <v>3601.42554068565</v>
      </c>
      <c r="M46" t="s">
        <v>29</v>
      </c>
      <c r="N46">
        <v>283</v>
      </c>
      <c r="P46">
        <v>3</v>
      </c>
      <c r="Q46">
        <v>6000</v>
      </c>
      <c r="R46">
        <v>23820</v>
      </c>
      <c r="S46">
        <v>15196</v>
      </c>
      <c r="T46">
        <v>18772</v>
      </c>
      <c r="U46">
        <v>8975.9946224978303</v>
      </c>
      <c r="V46">
        <v>1877.19947372912</v>
      </c>
      <c r="W46">
        <v>7098.7951487686996</v>
      </c>
      <c r="X46">
        <v>794</v>
      </c>
      <c r="Y46">
        <v>0</v>
      </c>
      <c r="Z46">
        <v>1215</v>
      </c>
      <c r="AA46">
        <v>0</v>
      </c>
    </row>
    <row r="47" spans="1:33" x14ac:dyDescent="0.25">
      <c r="A47" t="s">
        <v>34</v>
      </c>
      <c r="B47" t="str" cm="1">
        <f t="array" ref="B47:F47">_xlfn.TEXTSPLIT(A47,"_")</f>
        <v>MVPRP</v>
      </c>
      <c r="C47" t="str">
        <v>C30</v>
      </c>
      <c r="D47" t="str">
        <v>P3</v>
      </c>
      <c r="E47" t="str">
        <v>V4</v>
      </c>
      <c r="F47" t="str">
        <v>I3</v>
      </c>
      <c r="G47" t="s">
        <v>113</v>
      </c>
      <c r="H47" t="s">
        <v>28</v>
      </c>
      <c r="I47">
        <v>42543</v>
      </c>
      <c r="J47">
        <v>42543</v>
      </c>
      <c r="K47">
        <v>0</v>
      </c>
      <c r="L47">
        <v>368.929297685623</v>
      </c>
      <c r="M47" t="s">
        <v>29</v>
      </c>
      <c r="N47">
        <v>171</v>
      </c>
      <c r="P47">
        <v>3</v>
      </c>
      <c r="Q47">
        <v>3000</v>
      </c>
      <c r="R47">
        <v>16680</v>
      </c>
      <c r="S47">
        <v>6800</v>
      </c>
      <c r="T47">
        <v>16063</v>
      </c>
      <c r="U47">
        <v>0</v>
      </c>
      <c r="V47">
        <v>0</v>
      </c>
      <c r="W47">
        <v>0</v>
      </c>
      <c r="X47">
        <v>439</v>
      </c>
      <c r="Y47">
        <v>0</v>
      </c>
      <c r="Z47">
        <v>126</v>
      </c>
      <c r="AA47">
        <v>0</v>
      </c>
    </row>
    <row r="48" spans="1:33" x14ac:dyDescent="0.25">
      <c r="A48" t="s">
        <v>35</v>
      </c>
      <c r="B48" t="str" cm="1">
        <f t="array" ref="B48:F48">_xlfn.TEXTSPLIT(A48,"_")</f>
        <v>MVPRP</v>
      </c>
      <c r="C48" t="str">
        <v>C10</v>
      </c>
      <c r="D48" t="str">
        <v>P3</v>
      </c>
      <c r="E48" t="str">
        <v>V2</v>
      </c>
      <c r="F48" t="str">
        <v>I3</v>
      </c>
      <c r="G48" t="s">
        <v>113</v>
      </c>
      <c r="H48" t="s">
        <v>28</v>
      </c>
      <c r="I48">
        <v>22503.899925131202</v>
      </c>
      <c r="J48">
        <v>22503.899925131202</v>
      </c>
      <c r="K48">
        <v>0</v>
      </c>
      <c r="L48">
        <v>8.9799599647522008</v>
      </c>
      <c r="M48" t="s">
        <v>29</v>
      </c>
      <c r="N48">
        <v>198</v>
      </c>
      <c r="P48">
        <v>3</v>
      </c>
      <c r="Q48">
        <v>3000</v>
      </c>
      <c r="R48">
        <v>6390</v>
      </c>
      <c r="S48">
        <v>3345</v>
      </c>
      <c r="T48">
        <v>7016</v>
      </c>
      <c r="U48">
        <v>3454.4998853796101</v>
      </c>
      <c r="V48">
        <v>701.59996024838097</v>
      </c>
      <c r="W48">
        <v>2752.8999251312298</v>
      </c>
      <c r="X48">
        <v>61</v>
      </c>
      <c r="Y48">
        <v>0</v>
      </c>
      <c r="Z48">
        <v>53</v>
      </c>
      <c r="AA48">
        <v>0</v>
      </c>
    </row>
    <row r="49" spans="1:27" x14ac:dyDescent="0.25">
      <c r="A49" t="s">
        <v>36</v>
      </c>
      <c r="B49" t="str" cm="1">
        <f t="array" ref="B49:F49">_xlfn.TEXTSPLIT(A49,"_")</f>
        <v>MVPRP</v>
      </c>
      <c r="C49" t="str">
        <v>C40</v>
      </c>
      <c r="D49" t="str">
        <v>P3</v>
      </c>
      <c r="E49" t="str">
        <v>V3</v>
      </c>
      <c r="F49" t="str">
        <v>I3</v>
      </c>
      <c r="G49" t="s">
        <v>113</v>
      </c>
      <c r="H49" t="s">
        <v>30</v>
      </c>
      <c r="I49">
        <v>62226</v>
      </c>
      <c r="J49">
        <v>61274.7552416377</v>
      </c>
      <c r="K49">
        <v>1.52869340526835E-2</v>
      </c>
      <c r="L49">
        <v>3603.1847927570302</v>
      </c>
      <c r="M49" t="s">
        <v>29</v>
      </c>
      <c r="N49">
        <v>360</v>
      </c>
      <c r="P49">
        <v>3</v>
      </c>
      <c r="Q49">
        <v>3000</v>
      </c>
      <c r="R49">
        <v>27660</v>
      </c>
      <c r="S49">
        <v>9974</v>
      </c>
      <c r="T49">
        <v>21592</v>
      </c>
      <c r="U49">
        <v>0</v>
      </c>
      <c r="V49">
        <v>0</v>
      </c>
      <c r="W49">
        <v>0</v>
      </c>
      <c r="X49">
        <v>1065</v>
      </c>
      <c r="Y49">
        <v>0</v>
      </c>
      <c r="Z49">
        <v>332</v>
      </c>
      <c r="AA49">
        <v>0</v>
      </c>
    </row>
    <row r="50" spans="1:27" x14ac:dyDescent="0.25">
      <c r="A50" t="s">
        <v>37</v>
      </c>
      <c r="B50" t="str" cm="1">
        <f t="array" ref="B50:F50">_xlfn.TEXTSPLIT(A50,"_")</f>
        <v>MVPRP</v>
      </c>
      <c r="C50" t="str">
        <v>C15</v>
      </c>
      <c r="D50" t="str">
        <v>P9</v>
      </c>
      <c r="E50" t="str">
        <v>V2</v>
      </c>
      <c r="F50" t="str">
        <v>I3</v>
      </c>
      <c r="G50" t="s">
        <v>113</v>
      </c>
      <c r="H50" t="s">
        <v>30</v>
      </c>
      <c r="I50">
        <v>113981.29645675801</v>
      </c>
      <c r="J50">
        <v>102462.288912769</v>
      </c>
      <c r="K50">
        <v>0.101060506434568</v>
      </c>
      <c r="L50">
        <v>3602.2378308773</v>
      </c>
      <c r="M50" t="s">
        <v>29</v>
      </c>
      <c r="N50">
        <v>198</v>
      </c>
      <c r="P50">
        <v>3</v>
      </c>
      <c r="Q50">
        <v>9000</v>
      </c>
      <c r="R50">
        <v>40950</v>
      </c>
      <c r="S50">
        <v>22629</v>
      </c>
      <c r="T50">
        <v>31289</v>
      </c>
      <c r="U50">
        <v>14024.9949658064</v>
      </c>
      <c r="V50">
        <v>3911.6985090440598</v>
      </c>
      <c r="W50">
        <v>10113.2964567624</v>
      </c>
      <c r="X50">
        <v>1258</v>
      </c>
      <c r="Y50">
        <v>0</v>
      </c>
      <c r="Z50">
        <v>167</v>
      </c>
      <c r="AA50">
        <v>0</v>
      </c>
    </row>
    <row r="51" spans="1:27" x14ac:dyDescent="0.25">
      <c r="A51" t="s">
        <v>38</v>
      </c>
      <c r="B51" t="str" cm="1">
        <f t="array" ref="B51:F51">_xlfn.TEXTSPLIT(A51,"_")</f>
        <v>MVPRP</v>
      </c>
      <c r="C51" t="str">
        <v>C45</v>
      </c>
      <c r="D51" t="str">
        <v>P3</v>
      </c>
      <c r="E51" t="str">
        <v>V3</v>
      </c>
      <c r="F51" t="str">
        <v>I3</v>
      </c>
      <c r="G51" t="s">
        <v>113</v>
      </c>
      <c r="H51" t="s">
        <v>30</v>
      </c>
      <c r="I51">
        <v>70749.8</v>
      </c>
      <c r="J51">
        <v>69035.973901652105</v>
      </c>
      <c r="K51">
        <v>2.4223758913068699E-2</v>
      </c>
      <c r="L51">
        <v>3606.0490489006002</v>
      </c>
      <c r="M51" t="s">
        <v>29</v>
      </c>
      <c r="N51">
        <v>360</v>
      </c>
      <c r="P51">
        <v>3</v>
      </c>
      <c r="Q51">
        <v>3000</v>
      </c>
      <c r="R51">
        <v>33060</v>
      </c>
      <c r="S51">
        <v>11040</v>
      </c>
      <c r="T51">
        <v>23632</v>
      </c>
      <c r="U51">
        <v>53.399999999999601</v>
      </c>
      <c r="V51">
        <v>35.599999999999902</v>
      </c>
      <c r="W51">
        <v>17.799999999999599</v>
      </c>
      <c r="X51">
        <v>1154</v>
      </c>
      <c r="Y51">
        <v>0</v>
      </c>
      <c r="Z51">
        <v>634</v>
      </c>
      <c r="AA51">
        <v>0</v>
      </c>
    </row>
    <row r="52" spans="1:27" x14ac:dyDescent="0.25">
      <c r="A52" t="s">
        <v>39</v>
      </c>
      <c r="B52" t="str" cm="1">
        <f t="array" ref="B52:F52">_xlfn.TEXTSPLIT(A52,"_")</f>
        <v>MVPRP</v>
      </c>
      <c r="C52" t="str">
        <v>C35</v>
      </c>
      <c r="D52" t="str">
        <v>P6</v>
      </c>
      <c r="E52" t="str">
        <v>V4</v>
      </c>
      <c r="F52" t="str">
        <v>I3</v>
      </c>
      <c r="G52" t="s">
        <v>113</v>
      </c>
      <c r="H52" t="s">
        <v>30</v>
      </c>
      <c r="I52">
        <v>124048.3</v>
      </c>
      <c r="J52">
        <v>99834.496609706301</v>
      </c>
      <c r="K52">
        <v>0.19519657577164401</v>
      </c>
      <c r="L52">
        <v>3603.4668841362</v>
      </c>
      <c r="M52" t="s">
        <v>29</v>
      </c>
      <c r="N52">
        <v>207</v>
      </c>
      <c r="P52">
        <v>3</v>
      </c>
      <c r="Q52">
        <v>6000</v>
      </c>
      <c r="R52">
        <v>42900</v>
      </c>
      <c r="S52">
        <v>22805</v>
      </c>
      <c r="T52">
        <v>49209</v>
      </c>
      <c r="U52">
        <v>4334.1000000000004</v>
      </c>
      <c r="V52">
        <v>1199.8</v>
      </c>
      <c r="W52">
        <v>3134.3</v>
      </c>
      <c r="X52">
        <v>2359</v>
      </c>
      <c r="Y52">
        <v>0</v>
      </c>
      <c r="Z52">
        <v>1008</v>
      </c>
      <c r="AA52">
        <v>0</v>
      </c>
    </row>
    <row r="53" spans="1:27" x14ac:dyDescent="0.25">
      <c r="A53" t="s">
        <v>40</v>
      </c>
      <c r="B53" t="str" cm="1">
        <f t="array" ref="B53:F53">_xlfn.TEXTSPLIT(A53,"_")</f>
        <v>MVPRP</v>
      </c>
      <c r="C53" t="str">
        <v>C25</v>
      </c>
      <c r="D53" t="str">
        <v>P6</v>
      </c>
      <c r="E53" t="str">
        <v>V2</v>
      </c>
      <c r="F53" t="str">
        <v>I3</v>
      </c>
      <c r="G53" t="s">
        <v>113</v>
      </c>
      <c r="H53" t="s">
        <v>30</v>
      </c>
      <c r="I53">
        <v>84894</v>
      </c>
      <c r="J53">
        <v>75030.646098408193</v>
      </c>
      <c r="K53">
        <v>0.116184346380095</v>
      </c>
      <c r="L53">
        <v>3600.2311711311299</v>
      </c>
      <c r="M53" t="s">
        <v>29</v>
      </c>
      <c r="N53">
        <v>283</v>
      </c>
      <c r="P53">
        <v>3</v>
      </c>
      <c r="Q53">
        <v>6000</v>
      </c>
      <c r="R53">
        <v>28380</v>
      </c>
      <c r="S53">
        <v>21685</v>
      </c>
      <c r="T53">
        <v>19925</v>
      </c>
      <c r="U53">
        <v>11498.7</v>
      </c>
      <c r="V53">
        <v>2594.6999999999998</v>
      </c>
      <c r="W53">
        <v>8904</v>
      </c>
      <c r="X53">
        <v>1445</v>
      </c>
      <c r="Y53">
        <v>0</v>
      </c>
      <c r="Z53">
        <v>1757</v>
      </c>
      <c r="AA53">
        <v>0</v>
      </c>
    </row>
    <row r="54" spans="1:27" x14ac:dyDescent="0.25">
      <c r="A54" t="s">
        <v>41</v>
      </c>
      <c r="B54" t="str" cm="1">
        <f t="array" ref="B54:F54">_xlfn.TEXTSPLIT(A54,"_")</f>
        <v>MVPRP</v>
      </c>
      <c r="C54" t="str">
        <v>C35</v>
      </c>
      <c r="D54" t="str">
        <v>P3</v>
      </c>
      <c r="E54" t="str">
        <v>V3</v>
      </c>
      <c r="F54" t="str">
        <v>I3</v>
      </c>
      <c r="G54" t="s">
        <v>113</v>
      </c>
      <c r="H54" t="s">
        <v>30</v>
      </c>
      <c r="I54">
        <v>50425.998150676904</v>
      </c>
      <c r="J54">
        <v>49703.198475104698</v>
      </c>
      <c r="K54">
        <v>1.43338694736875E-2</v>
      </c>
      <c r="L54">
        <v>3600.0472021102901</v>
      </c>
      <c r="M54" t="s">
        <v>29</v>
      </c>
      <c r="N54">
        <v>276</v>
      </c>
      <c r="P54">
        <v>3</v>
      </c>
      <c r="Q54">
        <v>3000</v>
      </c>
      <c r="R54">
        <v>21600</v>
      </c>
      <c r="S54">
        <v>7526</v>
      </c>
      <c r="T54">
        <v>18300</v>
      </c>
      <c r="U54">
        <v>-2.1115578603030402E-3</v>
      </c>
      <c r="V54">
        <v>-2.6223480614362399E-4</v>
      </c>
      <c r="W54">
        <v>-1.84932305415941E-3</v>
      </c>
      <c r="X54">
        <v>864</v>
      </c>
      <c r="Y54">
        <v>0</v>
      </c>
      <c r="Z54">
        <v>167</v>
      </c>
      <c r="AA54">
        <v>0</v>
      </c>
    </row>
    <row r="55" spans="1:27" x14ac:dyDescent="0.25">
      <c r="A55" t="s">
        <v>42</v>
      </c>
      <c r="B55" t="str" cm="1">
        <f t="array" ref="B55:F55">_xlfn.TEXTSPLIT(A55,"_")</f>
        <v>MVPRP</v>
      </c>
      <c r="C55" t="str">
        <v>C10</v>
      </c>
      <c r="D55" t="str">
        <v>P6</v>
      </c>
      <c r="E55" t="str">
        <v>V2</v>
      </c>
      <c r="F55" t="str">
        <v>I3</v>
      </c>
      <c r="G55" t="s">
        <v>113</v>
      </c>
      <c r="H55" t="s">
        <v>28</v>
      </c>
      <c r="I55">
        <v>44267.397500551197</v>
      </c>
      <c r="J55">
        <v>44267.397500551197</v>
      </c>
      <c r="K55">
        <v>0</v>
      </c>
      <c r="L55">
        <v>388.03633999824501</v>
      </c>
      <c r="M55" t="s">
        <v>29</v>
      </c>
      <c r="N55">
        <v>198</v>
      </c>
      <c r="P55">
        <v>3</v>
      </c>
      <c r="Q55">
        <v>6000</v>
      </c>
      <c r="R55">
        <v>12690</v>
      </c>
      <c r="S55">
        <v>9183</v>
      </c>
      <c r="T55">
        <v>12959</v>
      </c>
      <c r="U55">
        <v>4731.2971395029999</v>
      </c>
      <c r="V55">
        <v>1295.8996389517799</v>
      </c>
      <c r="W55">
        <v>3435.3975005512202</v>
      </c>
      <c r="X55">
        <v>145</v>
      </c>
      <c r="Y55">
        <v>0</v>
      </c>
      <c r="Z55">
        <v>75</v>
      </c>
      <c r="AA55">
        <v>0</v>
      </c>
    </row>
    <row r="56" spans="1:27" x14ac:dyDescent="0.25">
      <c r="A56" t="s">
        <v>43</v>
      </c>
      <c r="B56" t="str" cm="1">
        <f t="array" ref="B56:F56">_xlfn.TEXTSPLIT(A56,"_")</f>
        <v>MVPRP</v>
      </c>
      <c r="C56" t="str">
        <v>C30</v>
      </c>
      <c r="D56" t="str">
        <v>P9</v>
      </c>
      <c r="E56" t="str">
        <v>V4</v>
      </c>
      <c r="F56" t="str">
        <v>I3</v>
      </c>
      <c r="G56" t="s">
        <v>113</v>
      </c>
      <c r="H56" t="s">
        <v>30</v>
      </c>
      <c r="I56">
        <v>161822.70000000001</v>
      </c>
      <c r="J56">
        <v>148780.97627009399</v>
      </c>
      <c r="K56">
        <v>8.0592671670327701E-2</v>
      </c>
      <c r="L56">
        <v>3613.2097108364101</v>
      </c>
      <c r="M56" t="s">
        <v>29</v>
      </c>
      <c r="N56">
        <v>171</v>
      </c>
      <c r="P56">
        <v>3</v>
      </c>
      <c r="Q56">
        <v>12000</v>
      </c>
      <c r="R56">
        <v>67710</v>
      </c>
      <c r="S56">
        <v>25820</v>
      </c>
      <c r="T56">
        <v>53649</v>
      </c>
      <c r="U56">
        <v>3404.1</v>
      </c>
      <c r="V56">
        <v>760.4</v>
      </c>
      <c r="W56">
        <v>2643.7</v>
      </c>
      <c r="X56">
        <v>2003</v>
      </c>
      <c r="Y56">
        <v>0</v>
      </c>
      <c r="Z56">
        <v>291</v>
      </c>
      <c r="AA56">
        <v>0</v>
      </c>
    </row>
    <row r="57" spans="1:27" x14ac:dyDescent="0.25">
      <c r="A57" t="s">
        <v>44</v>
      </c>
      <c r="B57" t="str" cm="1">
        <f t="array" ref="B57:F57">_xlfn.TEXTSPLIT(A57,"_")</f>
        <v>MVPRP</v>
      </c>
      <c r="C57" t="str">
        <v>C10</v>
      </c>
      <c r="D57" t="str">
        <v>P3</v>
      </c>
      <c r="E57" t="str">
        <v>V3</v>
      </c>
      <c r="F57" t="str">
        <v>I3</v>
      </c>
      <c r="G57" t="s">
        <v>113</v>
      </c>
      <c r="H57" t="s">
        <v>28</v>
      </c>
      <c r="I57">
        <v>20550</v>
      </c>
      <c r="J57">
        <v>20550</v>
      </c>
      <c r="K57">
        <v>0</v>
      </c>
      <c r="L57">
        <v>4.1496675014495903</v>
      </c>
      <c r="M57" t="s">
        <v>29</v>
      </c>
      <c r="N57">
        <v>132</v>
      </c>
      <c r="P57">
        <v>3</v>
      </c>
      <c r="Q57">
        <v>3000</v>
      </c>
      <c r="R57">
        <v>6390</v>
      </c>
      <c r="S57">
        <v>3082</v>
      </c>
      <c r="T57">
        <v>8078</v>
      </c>
      <c r="U57">
        <v>0</v>
      </c>
      <c r="V57">
        <v>0</v>
      </c>
      <c r="W57">
        <v>0</v>
      </c>
      <c r="X57">
        <v>42</v>
      </c>
      <c r="Y57">
        <v>0</v>
      </c>
      <c r="Z57">
        <v>7</v>
      </c>
      <c r="AA57">
        <v>0</v>
      </c>
    </row>
    <row r="58" spans="1:27" x14ac:dyDescent="0.25">
      <c r="A58" t="s">
        <v>45</v>
      </c>
      <c r="B58" t="str" cm="1">
        <f t="array" ref="B58:F58">_xlfn.TEXTSPLIT(A58,"_")</f>
        <v>MVPRP</v>
      </c>
      <c r="C58" t="str">
        <v>C30</v>
      </c>
      <c r="D58" t="str">
        <v>P3</v>
      </c>
      <c r="E58" t="str">
        <v>V3</v>
      </c>
      <c r="F58" t="str">
        <v>I3</v>
      </c>
      <c r="G58" t="s">
        <v>113</v>
      </c>
      <c r="H58" t="s">
        <v>28</v>
      </c>
      <c r="I58">
        <v>41726</v>
      </c>
      <c r="J58">
        <v>41726</v>
      </c>
      <c r="K58">
        <v>0</v>
      </c>
      <c r="L58">
        <v>553.63665390014705</v>
      </c>
      <c r="M58" t="s">
        <v>29</v>
      </c>
      <c r="N58">
        <v>228</v>
      </c>
      <c r="P58">
        <v>3</v>
      </c>
      <c r="Q58">
        <v>3000</v>
      </c>
      <c r="R58">
        <v>16680</v>
      </c>
      <c r="S58">
        <v>6255</v>
      </c>
      <c r="T58">
        <v>15791</v>
      </c>
      <c r="U58">
        <v>0</v>
      </c>
      <c r="V58">
        <v>0</v>
      </c>
      <c r="W58">
        <v>0</v>
      </c>
      <c r="X58">
        <v>481</v>
      </c>
      <c r="Y58">
        <v>0</v>
      </c>
      <c r="Z58">
        <v>294</v>
      </c>
      <c r="AA58">
        <v>0</v>
      </c>
    </row>
    <row r="59" spans="1:27" x14ac:dyDescent="0.25">
      <c r="A59" t="s">
        <v>46</v>
      </c>
      <c r="B59" t="str" cm="1">
        <f t="array" ref="B59:F59">_xlfn.TEXTSPLIT(A59,"_")</f>
        <v>MVPRP</v>
      </c>
      <c r="C59" t="str">
        <v>C20</v>
      </c>
      <c r="D59" t="str">
        <v>P3</v>
      </c>
      <c r="E59" t="str">
        <v>V3</v>
      </c>
      <c r="F59" t="str">
        <v>I3</v>
      </c>
      <c r="G59" t="s">
        <v>113</v>
      </c>
      <c r="H59" t="s">
        <v>28</v>
      </c>
      <c r="I59">
        <v>33320.599128845803</v>
      </c>
      <c r="J59">
        <v>33320.599128845803</v>
      </c>
      <c r="K59">
        <v>0</v>
      </c>
      <c r="L59">
        <v>60.607998132705703</v>
      </c>
      <c r="M59" t="s">
        <v>29</v>
      </c>
      <c r="N59">
        <v>189</v>
      </c>
      <c r="P59">
        <v>3</v>
      </c>
      <c r="Q59">
        <v>3000</v>
      </c>
      <c r="R59">
        <v>12030</v>
      </c>
      <c r="S59">
        <v>5255</v>
      </c>
      <c r="T59">
        <v>12720</v>
      </c>
      <c r="U59">
        <v>536.39913119977302</v>
      </c>
      <c r="V59">
        <v>220.80000235399399</v>
      </c>
      <c r="W59">
        <v>315.59912884578</v>
      </c>
      <c r="X59">
        <v>208</v>
      </c>
      <c r="Y59">
        <v>0</v>
      </c>
      <c r="Z59">
        <v>28</v>
      </c>
      <c r="AA59">
        <v>0</v>
      </c>
    </row>
    <row r="60" spans="1:27" x14ac:dyDescent="0.25">
      <c r="A60" t="s">
        <v>47</v>
      </c>
      <c r="B60" t="str" cm="1">
        <f t="array" ref="B60:F60">_xlfn.TEXTSPLIT(A60,"_")</f>
        <v>MVPRP</v>
      </c>
      <c r="C60" t="str">
        <v>C35</v>
      </c>
      <c r="D60" t="str">
        <v>P6</v>
      </c>
      <c r="E60" t="str">
        <v>V3</v>
      </c>
      <c r="F60" t="str">
        <v>I3</v>
      </c>
      <c r="G60" t="s">
        <v>113</v>
      </c>
      <c r="H60" t="s">
        <v>30</v>
      </c>
      <c r="I60">
        <v>116386.9</v>
      </c>
      <c r="J60">
        <v>97566.197939696402</v>
      </c>
      <c r="K60">
        <v>0.161708079348308</v>
      </c>
      <c r="L60">
        <v>3608.6910338401799</v>
      </c>
      <c r="M60" t="s">
        <v>29</v>
      </c>
      <c r="N60">
        <v>276</v>
      </c>
      <c r="P60">
        <v>3</v>
      </c>
      <c r="Q60">
        <v>6000</v>
      </c>
      <c r="R60">
        <v>42900</v>
      </c>
      <c r="S60">
        <v>22283</v>
      </c>
      <c r="T60">
        <v>40136</v>
      </c>
      <c r="U60">
        <v>6708.3000000000102</v>
      </c>
      <c r="V60">
        <v>1640.4</v>
      </c>
      <c r="W60">
        <v>5067.9000000000096</v>
      </c>
      <c r="X60">
        <v>1939</v>
      </c>
      <c r="Y60">
        <v>0</v>
      </c>
      <c r="Z60">
        <v>1141</v>
      </c>
      <c r="AA60">
        <v>0</v>
      </c>
    </row>
    <row r="61" spans="1:27" x14ac:dyDescent="0.25">
      <c r="A61" t="s">
        <v>48</v>
      </c>
      <c r="B61" t="str" cm="1">
        <f t="array" ref="B61:F61">_xlfn.TEXTSPLIT(A61,"_")</f>
        <v>MVPRP</v>
      </c>
      <c r="C61" t="str">
        <v>C25</v>
      </c>
      <c r="D61" t="str">
        <v>P6</v>
      </c>
      <c r="E61" t="str">
        <v>V3</v>
      </c>
      <c r="F61" t="str">
        <v>I3</v>
      </c>
      <c r="G61" t="s">
        <v>113</v>
      </c>
      <c r="H61" t="s">
        <v>30</v>
      </c>
      <c r="I61">
        <v>80092.699200675299</v>
      </c>
      <c r="J61">
        <v>75740.1687522922</v>
      </c>
      <c r="K61">
        <v>5.4343660431241503E-2</v>
      </c>
      <c r="L61">
        <v>3601.4901332855202</v>
      </c>
      <c r="M61" t="s">
        <v>29</v>
      </c>
      <c r="N61">
        <v>189</v>
      </c>
      <c r="P61">
        <v>3</v>
      </c>
      <c r="Q61">
        <v>6000</v>
      </c>
      <c r="R61">
        <v>28380</v>
      </c>
      <c r="S61">
        <v>20605</v>
      </c>
      <c r="T61">
        <v>23746</v>
      </c>
      <c r="U61">
        <v>1948.4991571993901</v>
      </c>
      <c r="V61">
        <v>586.79995652405705</v>
      </c>
      <c r="W61">
        <v>1361.6992006753301</v>
      </c>
      <c r="X61">
        <v>1233</v>
      </c>
      <c r="Y61">
        <v>0</v>
      </c>
      <c r="Z61">
        <v>191</v>
      </c>
      <c r="AA61">
        <v>0</v>
      </c>
    </row>
    <row r="62" spans="1:27" x14ac:dyDescent="0.25">
      <c r="A62" t="s">
        <v>49</v>
      </c>
      <c r="B62" t="str" cm="1">
        <f t="array" ref="B62:F62">_xlfn.TEXTSPLIT(A62,"_")</f>
        <v>MVPRP</v>
      </c>
      <c r="C62" t="str">
        <v>C30</v>
      </c>
      <c r="D62" t="str">
        <v>P6</v>
      </c>
      <c r="E62" t="str">
        <v>V4</v>
      </c>
      <c r="F62" t="str">
        <v>I3</v>
      </c>
      <c r="G62" t="s">
        <v>113</v>
      </c>
      <c r="H62" t="s">
        <v>30</v>
      </c>
      <c r="I62">
        <v>87264.5</v>
      </c>
      <c r="J62">
        <v>83955.839007897404</v>
      </c>
      <c r="K62">
        <v>3.7915314842835397E-2</v>
      </c>
      <c r="L62">
        <v>3601.4720306396498</v>
      </c>
      <c r="M62" t="s">
        <v>29</v>
      </c>
      <c r="N62">
        <v>171</v>
      </c>
      <c r="P62">
        <v>3</v>
      </c>
      <c r="Q62">
        <v>6000</v>
      </c>
      <c r="R62">
        <v>33150</v>
      </c>
      <c r="S62">
        <v>19988</v>
      </c>
      <c r="T62">
        <v>27270</v>
      </c>
      <c r="U62">
        <v>1074.3</v>
      </c>
      <c r="V62">
        <v>217.8</v>
      </c>
      <c r="W62">
        <v>856.49999999999898</v>
      </c>
      <c r="X62">
        <v>1487</v>
      </c>
      <c r="Y62">
        <v>0</v>
      </c>
      <c r="Z62">
        <v>216</v>
      </c>
      <c r="AA62">
        <v>0</v>
      </c>
    </row>
    <row r="63" spans="1:27" x14ac:dyDescent="0.25">
      <c r="A63" t="s">
        <v>50</v>
      </c>
      <c r="B63" t="str" cm="1">
        <f t="array" ref="B63:F63">_xlfn.TEXTSPLIT(A63,"_")</f>
        <v>MVPRP</v>
      </c>
      <c r="C63" t="str">
        <v>C15</v>
      </c>
      <c r="D63" t="str">
        <v>P6</v>
      </c>
      <c r="E63" t="str">
        <v>V3</v>
      </c>
      <c r="F63" t="str">
        <v>I3</v>
      </c>
      <c r="G63" t="s">
        <v>113</v>
      </c>
      <c r="H63" t="s">
        <v>30</v>
      </c>
      <c r="I63">
        <v>61616.698824698396</v>
      </c>
      <c r="J63">
        <v>60134.854429681</v>
      </c>
      <c r="K63">
        <v>2.40493960774067E-2</v>
      </c>
      <c r="L63">
        <v>3600.3887243270901</v>
      </c>
      <c r="M63" t="s">
        <v>29</v>
      </c>
      <c r="N63">
        <v>132</v>
      </c>
      <c r="P63">
        <v>3</v>
      </c>
      <c r="Q63">
        <v>6000</v>
      </c>
      <c r="R63">
        <v>19800</v>
      </c>
      <c r="S63">
        <v>13779</v>
      </c>
      <c r="T63">
        <v>21584</v>
      </c>
      <c r="U63">
        <v>688.19860869024103</v>
      </c>
      <c r="V63">
        <v>234.499783991784</v>
      </c>
      <c r="W63">
        <v>453.69882469845697</v>
      </c>
      <c r="X63">
        <v>679</v>
      </c>
      <c r="Y63">
        <v>0</v>
      </c>
      <c r="Z63">
        <v>41</v>
      </c>
      <c r="AA63">
        <v>0</v>
      </c>
    </row>
    <row r="64" spans="1:27" x14ac:dyDescent="0.25">
      <c r="A64" t="s">
        <v>51</v>
      </c>
      <c r="B64" t="str" cm="1">
        <f t="array" ref="B64:F64">_xlfn.TEXTSPLIT(A64,"_")</f>
        <v>MVPRP</v>
      </c>
      <c r="C64" t="str">
        <v>C50</v>
      </c>
      <c r="D64" t="str">
        <v>P3</v>
      </c>
      <c r="E64" t="str">
        <v>V3</v>
      </c>
      <c r="F64" t="str">
        <v>I3</v>
      </c>
      <c r="G64" t="s">
        <v>113</v>
      </c>
      <c r="H64" t="s">
        <v>30</v>
      </c>
      <c r="I64">
        <v>66308</v>
      </c>
      <c r="J64">
        <v>64445.914987937504</v>
      </c>
      <c r="K64">
        <v>2.80823582684218E-2</v>
      </c>
      <c r="L64">
        <v>3607.0675878524798</v>
      </c>
      <c r="M64" t="s">
        <v>29</v>
      </c>
      <c r="N64">
        <v>360</v>
      </c>
      <c r="P64">
        <v>3</v>
      </c>
      <c r="Q64">
        <v>3000</v>
      </c>
      <c r="R64">
        <v>29580</v>
      </c>
      <c r="S64">
        <v>10972</v>
      </c>
      <c r="T64">
        <v>22756</v>
      </c>
      <c r="U64">
        <v>0</v>
      </c>
      <c r="V64">
        <v>0</v>
      </c>
      <c r="W64">
        <v>0</v>
      </c>
      <c r="X64">
        <v>629</v>
      </c>
      <c r="Y64">
        <v>0</v>
      </c>
      <c r="Z64">
        <v>335</v>
      </c>
      <c r="AA64">
        <v>0</v>
      </c>
    </row>
    <row r="65" spans="1:27" x14ac:dyDescent="0.25">
      <c r="A65" t="s">
        <v>52</v>
      </c>
      <c r="B65" t="str" cm="1">
        <f t="array" ref="B65:F65">_xlfn.TEXTSPLIT(A65,"_")</f>
        <v>MVPRP</v>
      </c>
      <c r="C65" t="str">
        <v>C30</v>
      </c>
      <c r="D65" t="str">
        <v>P6</v>
      </c>
      <c r="E65" t="str">
        <v>V3</v>
      </c>
      <c r="F65" t="str">
        <v>I3</v>
      </c>
      <c r="G65" t="s">
        <v>113</v>
      </c>
      <c r="H65" t="s">
        <v>30</v>
      </c>
      <c r="I65">
        <v>84743.2</v>
      </c>
      <c r="J65">
        <v>81999.410055671004</v>
      </c>
      <c r="K65">
        <v>3.2377700444743598E-2</v>
      </c>
      <c r="L65">
        <v>3601.6885232925401</v>
      </c>
      <c r="M65" t="s">
        <v>29</v>
      </c>
      <c r="N65">
        <v>228</v>
      </c>
      <c r="P65">
        <v>3</v>
      </c>
      <c r="Q65">
        <v>6000</v>
      </c>
      <c r="R65">
        <v>33150</v>
      </c>
      <c r="S65">
        <v>21278</v>
      </c>
      <c r="T65">
        <v>23562</v>
      </c>
      <c r="U65">
        <v>950.099999999999</v>
      </c>
      <c r="V65">
        <v>196.9</v>
      </c>
      <c r="W65">
        <v>753.19999999999902</v>
      </c>
      <c r="X65">
        <v>1062</v>
      </c>
      <c r="Y65">
        <v>0</v>
      </c>
      <c r="Z65">
        <v>353</v>
      </c>
      <c r="AA65">
        <v>0</v>
      </c>
    </row>
    <row r="66" spans="1:27" x14ac:dyDescent="0.25">
      <c r="A66" t="s">
        <v>53</v>
      </c>
      <c r="B66" t="str" cm="1">
        <f t="array" ref="B66:F66">_xlfn.TEXTSPLIT(A66,"_")</f>
        <v>MVPRP</v>
      </c>
      <c r="C66" t="str">
        <v>C25</v>
      </c>
      <c r="D66" t="str">
        <v>P3</v>
      </c>
      <c r="E66" t="str">
        <v>V2</v>
      </c>
      <c r="F66" t="str">
        <v>I3</v>
      </c>
      <c r="G66" t="s">
        <v>113</v>
      </c>
      <c r="H66" t="s">
        <v>30</v>
      </c>
      <c r="I66">
        <v>44206.400000000001</v>
      </c>
      <c r="J66">
        <v>38171.396811792401</v>
      </c>
      <c r="K66">
        <v>0.13651876624668799</v>
      </c>
      <c r="L66">
        <v>3600.8973674774202</v>
      </c>
      <c r="M66" t="s">
        <v>29</v>
      </c>
      <c r="N66">
        <v>283</v>
      </c>
      <c r="P66">
        <v>3</v>
      </c>
      <c r="Q66">
        <v>3000</v>
      </c>
      <c r="R66">
        <v>14340</v>
      </c>
      <c r="S66">
        <v>6731</v>
      </c>
      <c r="T66">
        <v>12899</v>
      </c>
      <c r="U66">
        <v>8526.2999999999993</v>
      </c>
      <c r="V66">
        <v>1289.9000000000001</v>
      </c>
      <c r="W66">
        <v>7236.4</v>
      </c>
      <c r="X66">
        <v>771</v>
      </c>
      <c r="Y66">
        <v>0</v>
      </c>
      <c r="Z66">
        <v>6508</v>
      </c>
      <c r="AA66">
        <v>0</v>
      </c>
    </row>
    <row r="67" spans="1:27" x14ac:dyDescent="0.25">
      <c r="A67" t="s">
        <v>54</v>
      </c>
      <c r="B67" t="str" cm="1">
        <f t="array" ref="B67:F67">_xlfn.TEXTSPLIT(A67,"_")</f>
        <v>MVPRP</v>
      </c>
      <c r="C67" t="str">
        <v>C15</v>
      </c>
      <c r="D67" t="str">
        <v>P6</v>
      </c>
      <c r="E67" t="str">
        <v>V2</v>
      </c>
      <c r="F67" t="str">
        <v>I3</v>
      </c>
      <c r="G67" t="s">
        <v>113</v>
      </c>
      <c r="H67" t="s">
        <v>30</v>
      </c>
      <c r="I67">
        <v>64487.1</v>
      </c>
      <c r="J67">
        <v>59000.925083838702</v>
      </c>
      <c r="K67">
        <v>8.5073990242410399E-2</v>
      </c>
      <c r="L67">
        <v>3600.6188485622401</v>
      </c>
      <c r="M67" t="s">
        <v>29</v>
      </c>
      <c r="N67">
        <v>198</v>
      </c>
      <c r="P67">
        <v>3</v>
      </c>
      <c r="Q67">
        <v>6000</v>
      </c>
      <c r="R67">
        <v>19800</v>
      </c>
      <c r="S67">
        <v>13368</v>
      </c>
      <c r="T67">
        <v>18930</v>
      </c>
      <c r="U67">
        <v>8774.1000000000095</v>
      </c>
      <c r="V67">
        <v>2385</v>
      </c>
      <c r="W67">
        <v>6389.1000000000104</v>
      </c>
      <c r="X67">
        <v>744</v>
      </c>
      <c r="Y67">
        <v>0</v>
      </c>
      <c r="Z67">
        <v>512</v>
      </c>
      <c r="AA67">
        <v>0</v>
      </c>
    </row>
    <row r="68" spans="1:27" x14ac:dyDescent="0.25">
      <c r="A68" t="s">
        <v>55</v>
      </c>
      <c r="B68" t="str" cm="1">
        <f t="array" ref="B68:F68">_xlfn.TEXTSPLIT(A68,"_")</f>
        <v>MVPRP</v>
      </c>
      <c r="C68" t="str">
        <v>C20</v>
      </c>
      <c r="D68" t="str">
        <v>P3</v>
      </c>
      <c r="E68" t="str">
        <v>V2</v>
      </c>
      <c r="F68" t="str">
        <v>I3</v>
      </c>
      <c r="G68" t="s">
        <v>113</v>
      </c>
      <c r="H68" t="s">
        <v>30</v>
      </c>
      <c r="I68">
        <v>38091.5</v>
      </c>
      <c r="J68">
        <v>34087.892957397497</v>
      </c>
      <c r="K68">
        <v>0.105104998296274</v>
      </c>
      <c r="L68">
        <v>3600.9544765949299</v>
      </c>
      <c r="M68" t="s">
        <v>29</v>
      </c>
      <c r="N68">
        <v>283</v>
      </c>
      <c r="P68">
        <v>3</v>
      </c>
      <c r="Q68">
        <v>3000</v>
      </c>
      <c r="R68">
        <v>12030</v>
      </c>
      <c r="S68">
        <v>5270</v>
      </c>
      <c r="T68">
        <v>11860</v>
      </c>
      <c r="U68">
        <v>7117.5</v>
      </c>
      <c r="V68">
        <v>1186</v>
      </c>
      <c r="W68">
        <v>5931.5</v>
      </c>
      <c r="X68">
        <v>590</v>
      </c>
      <c r="Y68">
        <v>0</v>
      </c>
      <c r="Z68">
        <v>5452</v>
      </c>
      <c r="AA68">
        <v>0</v>
      </c>
    </row>
    <row r="69" spans="1:27" x14ac:dyDescent="0.25">
      <c r="A69" t="s">
        <v>56</v>
      </c>
      <c r="B69" t="str" cm="1">
        <f t="array" ref="B69:F69">_xlfn.TEXTSPLIT(A69,"_")</f>
        <v>MVPRP</v>
      </c>
      <c r="C69" t="str">
        <v>C10</v>
      </c>
      <c r="D69" t="str">
        <v>P6</v>
      </c>
      <c r="E69" t="str">
        <v>V3</v>
      </c>
      <c r="F69" t="str">
        <v>I3</v>
      </c>
      <c r="G69" t="s">
        <v>113</v>
      </c>
      <c r="H69" t="s">
        <v>28</v>
      </c>
      <c r="I69">
        <v>42064</v>
      </c>
      <c r="J69">
        <v>42064</v>
      </c>
      <c r="K69">
        <v>0</v>
      </c>
      <c r="L69">
        <v>25.5676190853119</v>
      </c>
      <c r="M69" t="s">
        <v>29</v>
      </c>
      <c r="N69">
        <v>132</v>
      </c>
      <c r="P69">
        <v>3</v>
      </c>
      <c r="Q69">
        <v>6000</v>
      </c>
      <c r="R69">
        <v>12690</v>
      </c>
      <c r="S69">
        <v>8865</v>
      </c>
      <c r="T69">
        <v>14509</v>
      </c>
      <c r="U69">
        <v>0</v>
      </c>
      <c r="V69">
        <v>0</v>
      </c>
      <c r="W69">
        <v>0</v>
      </c>
      <c r="X69">
        <v>118</v>
      </c>
      <c r="Y69">
        <v>0</v>
      </c>
      <c r="Z69">
        <v>10</v>
      </c>
      <c r="AA69">
        <v>0</v>
      </c>
    </row>
    <row r="70" spans="1:27" x14ac:dyDescent="0.25">
      <c r="A70" t="s">
        <v>57</v>
      </c>
      <c r="B70" t="str" cm="1">
        <f t="array" ref="B70:F70">_xlfn.TEXTSPLIT(A70,"_")</f>
        <v>MVPRP</v>
      </c>
      <c r="C70" t="str">
        <v>C50</v>
      </c>
      <c r="D70" t="str">
        <v>P3</v>
      </c>
      <c r="E70" t="str">
        <v>V4</v>
      </c>
      <c r="F70" t="str">
        <v>I3</v>
      </c>
      <c r="G70" t="s">
        <v>113</v>
      </c>
      <c r="H70" t="s">
        <v>30</v>
      </c>
      <c r="I70">
        <v>69044.999999999898</v>
      </c>
      <c r="J70">
        <v>66185.524417683002</v>
      </c>
      <c r="K70">
        <v>4.14146655415586E-2</v>
      </c>
      <c r="L70">
        <v>3602.7329893112201</v>
      </c>
      <c r="M70" t="s">
        <v>29</v>
      </c>
      <c r="N70">
        <v>270</v>
      </c>
      <c r="P70">
        <v>3</v>
      </c>
      <c r="Q70">
        <v>3000</v>
      </c>
      <c r="R70">
        <v>29580</v>
      </c>
      <c r="S70">
        <v>11648</v>
      </c>
      <c r="T70">
        <v>24817</v>
      </c>
      <c r="U70">
        <v>0</v>
      </c>
      <c r="V70">
        <v>0</v>
      </c>
      <c r="W70">
        <v>0</v>
      </c>
      <c r="X70">
        <v>972</v>
      </c>
      <c r="Y70">
        <v>0</v>
      </c>
      <c r="Z70">
        <v>456</v>
      </c>
      <c r="AA70">
        <v>0</v>
      </c>
    </row>
    <row r="71" spans="1:27" x14ac:dyDescent="0.25">
      <c r="A71" t="s">
        <v>58</v>
      </c>
      <c r="B71" t="str" cm="1">
        <f t="array" ref="B71:F71">_xlfn.TEXTSPLIT(A71,"_")</f>
        <v>MVPRP</v>
      </c>
      <c r="C71" t="str">
        <v>C15</v>
      </c>
      <c r="D71" t="str">
        <v>P3</v>
      </c>
      <c r="E71" t="str">
        <v>V2</v>
      </c>
      <c r="F71" t="str">
        <v>I3</v>
      </c>
      <c r="G71" t="s">
        <v>113</v>
      </c>
      <c r="H71" t="s">
        <v>30</v>
      </c>
      <c r="I71">
        <v>33553</v>
      </c>
      <c r="J71">
        <v>31629.744444444401</v>
      </c>
      <c r="K71">
        <v>5.7319928338913903E-2</v>
      </c>
      <c r="L71">
        <v>3600.5002810955002</v>
      </c>
      <c r="M71" t="s">
        <v>29</v>
      </c>
      <c r="N71">
        <v>198</v>
      </c>
      <c r="P71">
        <v>3</v>
      </c>
      <c r="Q71">
        <v>3000</v>
      </c>
      <c r="R71">
        <v>9960</v>
      </c>
      <c r="S71">
        <v>4534</v>
      </c>
      <c r="T71">
        <v>11724</v>
      </c>
      <c r="U71">
        <v>5507.4</v>
      </c>
      <c r="V71">
        <v>1172.4000000000001</v>
      </c>
      <c r="W71">
        <v>4335</v>
      </c>
      <c r="X71">
        <v>553</v>
      </c>
      <c r="Y71">
        <v>0</v>
      </c>
      <c r="Z71">
        <v>974</v>
      </c>
      <c r="AA71">
        <v>0</v>
      </c>
    </row>
    <row r="72" spans="1:27" x14ac:dyDescent="0.25">
      <c r="A72" t="s">
        <v>59</v>
      </c>
      <c r="B72" t="str" cm="1">
        <f t="array" ref="B72:F72">_xlfn.TEXTSPLIT(A72,"_")</f>
        <v>MVPRP</v>
      </c>
      <c r="C72" t="str">
        <v>C40</v>
      </c>
      <c r="D72" t="str">
        <v>P3</v>
      </c>
      <c r="E72" t="str">
        <v>V4</v>
      </c>
      <c r="F72" t="str">
        <v>I3</v>
      </c>
      <c r="G72" t="s">
        <v>113</v>
      </c>
      <c r="H72" t="s">
        <v>30</v>
      </c>
      <c r="I72">
        <v>64508.999999999898</v>
      </c>
      <c r="J72">
        <v>62191.279112336902</v>
      </c>
      <c r="K72">
        <v>3.5928643873925498E-2</v>
      </c>
      <c r="L72">
        <v>3602.13712382317</v>
      </c>
      <c r="M72" t="s">
        <v>29</v>
      </c>
      <c r="N72">
        <v>270</v>
      </c>
      <c r="P72">
        <v>3</v>
      </c>
      <c r="Q72">
        <v>3000</v>
      </c>
      <c r="R72">
        <v>27660</v>
      </c>
      <c r="S72">
        <v>11875</v>
      </c>
      <c r="T72">
        <v>21974</v>
      </c>
      <c r="U72">
        <v>0</v>
      </c>
      <c r="V72">
        <v>0</v>
      </c>
      <c r="W72">
        <v>0</v>
      </c>
      <c r="X72">
        <v>1293</v>
      </c>
      <c r="Y72">
        <v>0</v>
      </c>
      <c r="Z72">
        <v>560</v>
      </c>
      <c r="AA72">
        <v>0</v>
      </c>
    </row>
    <row r="73" spans="1:27" x14ac:dyDescent="0.25">
      <c r="A73" t="s">
        <v>60</v>
      </c>
      <c r="B73" t="str" cm="1">
        <f t="array" ref="B73:F73">_xlfn.TEXTSPLIT(A73,"_")</f>
        <v>MVPRP</v>
      </c>
      <c r="C73" t="str">
        <v>C25</v>
      </c>
      <c r="D73" t="str">
        <v>P3</v>
      </c>
      <c r="E73" t="str">
        <v>V3</v>
      </c>
      <c r="F73" t="str">
        <v>I3</v>
      </c>
      <c r="G73" t="s">
        <v>113</v>
      </c>
      <c r="H73" t="s">
        <v>30</v>
      </c>
      <c r="I73">
        <v>39170.5</v>
      </c>
      <c r="J73">
        <v>38583.2851437481</v>
      </c>
      <c r="K73">
        <v>1.49912525051223E-2</v>
      </c>
      <c r="L73">
        <v>3600.4137811660798</v>
      </c>
      <c r="M73" t="s">
        <v>29</v>
      </c>
      <c r="N73">
        <v>189</v>
      </c>
      <c r="P73">
        <v>3</v>
      </c>
      <c r="Q73">
        <v>3000</v>
      </c>
      <c r="R73">
        <v>14340</v>
      </c>
      <c r="S73">
        <v>6770</v>
      </c>
      <c r="T73">
        <v>14039</v>
      </c>
      <c r="U73">
        <v>1376.1</v>
      </c>
      <c r="V73">
        <v>354.6</v>
      </c>
      <c r="W73">
        <v>1021.5</v>
      </c>
      <c r="X73">
        <v>767</v>
      </c>
      <c r="Y73">
        <v>0</v>
      </c>
      <c r="Z73">
        <v>123</v>
      </c>
      <c r="AA73">
        <v>0</v>
      </c>
    </row>
    <row r="74" spans="1:27" x14ac:dyDescent="0.25">
      <c r="A74" t="s">
        <v>61</v>
      </c>
      <c r="B74" t="str" cm="1">
        <f t="array" ref="B74:F74">_xlfn.TEXTSPLIT(A74,"_")</f>
        <v>MVPRP</v>
      </c>
      <c r="C74" t="str">
        <v>C20</v>
      </c>
      <c r="D74" t="str">
        <v>P6</v>
      </c>
      <c r="E74" t="str">
        <v>V3</v>
      </c>
      <c r="F74" t="str">
        <v>I3</v>
      </c>
      <c r="G74" t="s">
        <v>113</v>
      </c>
      <c r="H74" t="s">
        <v>30</v>
      </c>
      <c r="I74">
        <v>68139.599832867199</v>
      </c>
      <c r="J74">
        <v>65235.525210592597</v>
      </c>
      <c r="K74">
        <v>4.2619484549333397E-2</v>
      </c>
      <c r="L74">
        <v>3601.6639139652302</v>
      </c>
      <c r="M74" t="s">
        <v>29</v>
      </c>
      <c r="N74">
        <v>189</v>
      </c>
      <c r="P74">
        <v>3</v>
      </c>
      <c r="Q74">
        <v>6000</v>
      </c>
      <c r="R74">
        <v>23820</v>
      </c>
      <c r="S74">
        <v>14269</v>
      </c>
      <c r="T74">
        <v>23735</v>
      </c>
      <c r="U74">
        <v>536.39977246874901</v>
      </c>
      <c r="V74">
        <v>220.79993960156301</v>
      </c>
      <c r="W74">
        <v>315.59983286718602</v>
      </c>
      <c r="X74">
        <v>911</v>
      </c>
      <c r="Y74">
        <v>0</v>
      </c>
      <c r="Z74">
        <v>150</v>
      </c>
      <c r="AA74">
        <v>0</v>
      </c>
    </row>
    <row r="75" spans="1:27" x14ac:dyDescent="0.25">
      <c r="A75" t="s">
        <v>62</v>
      </c>
      <c r="B75" t="str" cm="1">
        <f t="array" ref="B75:F75">_xlfn.TEXTSPLIT(A75,"_")</f>
        <v>MVPRP</v>
      </c>
      <c r="C75" t="str">
        <v>C20</v>
      </c>
      <c r="D75" t="str">
        <v>P9</v>
      </c>
      <c r="E75" t="str">
        <v>V3</v>
      </c>
      <c r="F75" t="str">
        <v>I3</v>
      </c>
      <c r="G75" t="s">
        <v>113</v>
      </c>
      <c r="H75" t="s">
        <v>30</v>
      </c>
      <c r="I75">
        <v>120228.5</v>
      </c>
      <c r="J75">
        <v>114841.78146116</v>
      </c>
      <c r="K75">
        <v>4.4804006860599897E-2</v>
      </c>
      <c r="L75">
        <v>3600.29789686203</v>
      </c>
      <c r="M75" t="s">
        <v>29</v>
      </c>
      <c r="N75">
        <v>189</v>
      </c>
      <c r="P75">
        <v>3</v>
      </c>
      <c r="Q75">
        <v>9000</v>
      </c>
      <c r="R75">
        <v>48120</v>
      </c>
      <c r="S75">
        <v>24090</v>
      </c>
      <c r="T75">
        <v>35842</v>
      </c>
      <c r="U75">
        <v>4728.8999999999996</v>
      </c>
      <c r="V75">
        <v>1552.4</v>
      </c>
      <c r="W75">
        <v>3176.5</v>
      </c>
      <c r="X75">
        <v>1599</v>
      </c>
      <c r="Y75">
        <v>0</v>
      </c>
      <c r="Z75">
        <v>123</v>
      </c>
      <c r="AA75">
        <v>0</v>
      </c>
    </row>
    <row r="76" spans="1:27" x14ac:dyDescent="0.25">
      <c r="A76" t="s">
        <v>63</v>
      </c>
      <c r="B76" t="str" cm="1">
        <f t="array" ref="B76:F76">_xlfn.TEXTSPLIT(A76,"_")</f>
        <v>MVPRP</v>
      </c>
      <c r="C76" t="str">
        <v>C40</v>
      </c>
      <c r="D76" t="str">
        <v>P6</v>
      </c>
      <c r="E76" t="str">
        <v>V3</v>
      </c>
      <c r="F76" t="str">
        <v>I3</v>
      </c>
      <c r="G76" t="s">
        <v>113</v>
      </c>
      <c r="H76" t="s">
        <v>30</v>
      </c>
      <c r="I76">
        <v>154565.4</v>
      </c>
      <c r="J76">
        <v>120613.100134944</v>
      </c>
      <c r="K76">
        <v>0.21966300261932101</v>
      </c>
      <c r="L76">
        <v>3600.18352198601</v>
      </c>
      <c r="M76" t="s">
        <v>29</v>
      </c>
      <c r="N76">
        <v>360</v>
      </c>
      <c r="P76">
        <v>3</v>
      </c>
      <c r="Q76">
        <v>6000</v>
      </c>
      <c r="R76">
        <v>55170</v>
      </c>
      <c r="S76">
        <v>34706</v>
      </c>
      <c r="T76">
        <v>44096</v>
      </c>
      <c r="U76">
        <v>18661.2</v>
      </c>
      <c r="V76">
        <v>4067.8</v>
      </c>
      <c r="W76">
        <v>14593.4</v>
      </c>
      <c r="X76">
        <v>976</v>
      </c>
      <c r="Y76">
        <v>0</v>
      </c>
      <c r="Z76">
        <v>887</v>
      </c>
      <c r="AA76">
        <v>0</v>
      </c>
    </row>
    <row r="77" spans="1:27" x14ac:dyDescent="0.25">
      <c r="A77" t="s">
        <v>64</v>
      </c>
      <c r="B77" t="str" cm="1">
        <f t="array" ref="B77:F77">_xlfn.TEXTSPLIT(A77,"_")</f>
        <v>MVPRP</v>
      </c>
      <c r="C77" t="str">
        <v>C25</v>
      </c>
      <c r="D77" t="str">
        <v>P9</v>
      </c>
      <c r="E77" t="str">
        <v>V2</v>
      </c>
      <c r="F77" t="str">
        <v>I3</v>
      </c>
      <c r="G77" t="s">
        <v>113</v>
      </c>
      <c r="H77" t="s">
        <v>30</v>
      </c>
      <c r="I77">
        <v>152264</v>
      </c>
      <c r="J77">
        <v>130673.61412068699</v>
      </c>
      <c r="K77">
        <v>0.141795735560031</v>
      </c>
      <c r="L77">
        <v>3601.6615478992499</v>
      </c>
      <c r="M77" t="s">
        <v>29</v>
      </c>
      <c r="N77">
        <v>283</v>
      </c>
      <c r="P77">
        <v>3</v>
      </c>
      <c r="Q77">
        <v>9000</v>
      </c>
      <c r="R77">
        <v>59880</v>
      </c>
      <c r="S77">
        <v>31010</v>
      </c>
      <c r="T77">
        <v>36143</v>
      </c>
      <c r="U77">
        <v>21243.9</v>
      </c>
      <c r="V77">
        <v>5012.8999999999996</v>
      </c>
      <c r="W77">
        <v>16231</v>
      </c>
      <c r="X77">
        <v>1374</v>
      </c>
      <c r="Y77">
        <v>0</v>
      </c>
      <c r="Z77">
        <v>994</v>
      </c>
      <c r="AA77">
        <v>0</v>
      </c>
    </row>
    <row r="78" spans="1:27" x14ac:dyDescent="0.25">
      <c r="A78" t="s">
        <v>65</v>
      </c>
      <c r="B78" t="str" cm="1">
        <f t="array" ref="B78:F78">_xlfn.TEXTSPLIT(A78,"_")</f>
        <v>MVPRP</v>
      </c>
      <c r="C78" t="str">
        <v>C40</v>
      </c>
      <c r="D78" t="str">
        <v>P6</v>
      </c>
      <c r="E78" t="str">
        <v>V4</v>
      </c>
      <c r="F78" t="str">
        <v>I3</v>
      </c>
      <c r="G78" t="s">
        <v>113</v>
      </c>
      <c r="H78" t="s">
        <v>30</v>
      </c>
      <c r="I78">
        <v>151700.4</v>
      </c>
      <c r="J78">
        <v>122916.337429234</v>
      </c>
      <c r="K78">
        <v>0.189742825798522</v>
      </c>
      <c r="L78">
        <v>3613.5900466442099</v>
      </c>
      <c r="M78" t="s">
        <v>29</v>
      </c>
      <c r="N78">
        <v>270</v>
      </c>
      <c r="P78">
        <v>3</v>
      </c>
      <c r="Q78">
        <v>6000</v>
      </c>
      <c r="R78">
        <v>55170</v>
      </c>
      <c r="S78">
        <v>31191</v>
      </c>
      <c r="T78">
        <v>55272</v>
      </c>
      <c r="U78">
        <v>5960.7000000000098</v>
      </c>
      <c r="V78">
        <v>1893.3</v>
      </c>
      <c r="W78">
        <v>4067.4000000000101</v>
      </c>
      <c r="X78">
        <v>1379</v>
      </c>
      <c r="Y78">
        <v>0</v>
      </c>
      <c r="Z78">
        <v>768</v>
      </c>
      <c r="AA78">
        <v>0</v>
      </c>
    </row>
    <row r="79" spans="1:27" x14ac:dyDescent="0.25">
      <c r="A79" t="s">
        <v>66</v>
      </c>
      <c r="B79" t="str" cm="1">
        <f t="array" ref="B79:F79">_xlfn.TEXTSPLIT(A79,"_")</f>
        <v>MVPRP</v>
      </c>
      <c r="C79" t="str">
        <v>C15</v>
      </c>
      <c r="D79" t="str">
        <v>P9</v>
      </c>
      <c r="E79" t="str">
        <v>V3</v>
      </c>
      <c r="F79" t="str">
        <v>I3</v>
      </c>
      <c r="G79" t="s">
        <v>113</v>
      </c>
      <c r="H79" t="s">
        <v>30</v>
      </c>
      <c r="I79">
        <v>110311.8</v>
      </c>
      <c r="J79">
        <v>107394.899696072</v>
      </c>
      <c r="K79">
        <v>2.6442323522308901E-2</v>
      </c>
      <c r="L79">
        <v>3601.2467870712298</v>
      </c>
      <c r="M79" t="s">
        <v>29</v>
      </c>
      <c r="N79">
        <v>132</v>
      </c>
      <c r="P79">
        <v>3</v>
      </c>
      <c r="Q79">
        <v>9000</v>
      </c>
      <c r="R79">
        <v>40950</v>
      </c>
      <c r="S79">
        <v>21811</v>
      </c>
      <c r="T79">
        <v>36986</v>
      </c>
      <c r="U79">
        <v>2633.7</v>
      </c>
      <c r="V79">
        <v>1068.9000000000001</v>
      </c>
      <c r="W79">
        <v>1564.8</v>
      </c>
      <c r="X79">
        <v>1300</v>
      </c>
      <c r="Y79">
        <v>0</v>
      </c>
      <c r="Z79">
        <v>59</v>
      </c>
      <c r="AA79">
        <v>0</v>
      </c>
    </row>
    <row r="80" spans="1:27" x14ac:dyDescent="0.25">
      <c r="A80" t="s">
        <v>67</v>
      </c>
      <c r="B80" t="str" cm="1">
        <f t="array" ref="B80:F80">_xlfn.TEXTSPLIT(A80,"_")</f>
        <v>MVPRP</v>
      </c>
      <c r="C80" t="str">
        <v>C35</v>
      </c>
      <c r="D80" t="str">
        <v>P3</v>
      </c>
      <c r="E80" t="str">
        <v>V4</v>
      </c>
      <c r="F80" t="str">
        <v>I3</v>
      </c>
      <c r="G80" t="s">
        <v>113</v>
      </c>
      <c r="H80" t="s">
        <v>30</v>
      </c>
      <c r="I80">
        <v>51538</v>
      </c>
      <c r="J80">
        <v>50937.622253521702</v>
      </c>
      <c r="K80">
        <v>1.16492247754741E-2</v>
      </c>
      <c r="L80">
        <v>3600.6937305927299</v>
      </c>
      <c r="M80" t="s">
        <v>29</v>
      </c>
      <c r="N80">
        <v>207</v>
      </c>
      <c r="P80">
        <v>3</v>
      </c>
      <c r="Q80">
        <v>3000</v>
      </c>
      <c r="R80">
        <v>21600</v>
      </c>
      <c r="S80">
        <v>8568</v>
      </c>
      <c r="T80">
        <v>18370</v>
      </c>
      <c r="U80">
        <v>0</v>
      </c>
      <c r="V80">
        <v>0</v>
      </c>
      <c r="W80">
        <v>0</v>
      </c>
      <c r="X80">
        <v>1018</v>
      </c>
      <c r="Y80">
        <v>0</v>
      </c>
      <c r="Z80">
        <v>130</v>
      </c>
      <c r="AA80">
        <v>0</v>
      </c>
    </row>
    <row r="81" spans="1:27" x14ac:dyDescent="0.25">
      <c r="A81" t="s">
        <v>68</v>
      </c>
      <c r="B81" t="str" cm="1">
        <f t="array" ref="B81:F81">_xlfn.TEXTSPLIT(A81,"_")</f>
        <v>MVPRP</v>
      </c>
      <c r="C81" t="str">
        <v>C20</v>
      </c>
      <c r="D81" t="str">
        <v>P9</v>
      </c>
      <c r="E81" t="str">
        <v>V2</v>
      </c>
      <c r="F81" t="str">
        <v>I3</v>
      </c>
      <c r="G81" t="s">
        <v>113</v>
      </c>
      <c r="H81" t="s">
        <v>30</v>
      </c>
      <c r="I81">
        <v>125282</v>
      </c>
      <c r="J81">
        <v>111080.29688370699</v>
      </c>
      <c r="K81">
        <v>0.113357889531564</v>
      </c>
      <c r="L81">
        <v>3602.3222491741199</v>
      </c>
      <c r="M81" t="s">
        <v>29</v>
      </c>
      <c r="N81">
        <v>283</v>
      </c>
      <c r="P81">
        <v>3</v>
      </c>
      <c r="Q81">
        <v>9000</v>
      </c>
      <c r="R81">
        <v>48120</v>
      </c>
      <c r="S81">
        <v>23759</v>
      </c>
      <c r="T81">
        <v>32495</v>
      </c>
      <c r="U81">
        <v>15157.5</v>
      </c>
      <c r="V81">
        <v>3249.5</v>
      </c>
      <c r="W81">
        <v>11908</v>
      </c>
      <c r="X81">
        <v>1495</v>
      </c>
      <c r="Y81">
        <v>0</v>
      </c>
      <c r="Z81">
        <v>637</v>
      </c>
      <c r="AA81">
        <v>0</v>
      </c>
    </row>
    <row r="82" spans="1:27" x14ac:dyDescent="0.25">
      <c r="A82" t="s">
        <v>69</v>
      </c>
      <c r="B82" t="str" cm="1">
        <f t="array" ref="B82:F82">_xlfn.TEXTSPLIT(A82,"_")</f>
        <v>MVPRP</v>
      </c>
      <c r="C82" t="str">
        <v>C45</v>
      </c>
      <c r="D82" t="str">
        <v>P3</v>
      </c>
      <c r="E82" t="str">
        <v>V4</v>
      </c>
      <c r="F82" t="str">
        <v>I3</v>
      </c>
      <c r="G82" t="s">
        <v>113</v>
      </c>
      <c r="H82" t="s">
        <v>30</v>
      </c>
      <c r="I82">
        <v>73491</v>
      </c>
      <c r="J82">
        <v>70954.689086946499</v>
      </c>
      <c r="K82">
        <v>3.4511857411839E-2</v>
      </c>
      <c r="L82">
        <v>3600.8610382080101</v>
      </c>
      <c r="M82" t="s">
        <v>29</v>
      </c>
      <c r="N82">
        <v>270</v>
      </c>
      <c r="P82">
        <v>3</v>
      </c>
      <c r="Q82">
        <v>3000</v>
      </c>
      <c r="R82">
        <v>33060</v>
      </c>
      <c r="S82">
        <v>12083</v>
      </c>
      <c r="T82">
        <v>25348</v>
      </c>
      <c r="U82">
        <v>0</v>
      </c>
      <c r="V82">
        <v>0</v>
      </c>
      <c r="W82">
        <v>0</v>
      </c>
      <c r="X82">
        <v>1512</v>
      </c>
      <c r="Y82">
        <v>0</v>
      </c>
      <c r="Z82">
        <v>370</v>
      </c>
      <c r="AA82">
        <v>0</v>
      </c>
    </row>
    <row r="83" spans="1:27" x14ac:dyDescent="0.25">
      <c r="A83" t="s">
        <v>70</v>
      </c>
      <c r="B83" t="str" cm="1">
        <f t="array" ref="B83:F83">_xlfn.TEXTSPLIT(A83,"_")</f>
        <v>MVPRP</v>
      </c>
      <c r="C83" t="str">
        <v>C10</v>
      </c>
      <c r="D83" t="str">
        <v>P9</v>
      </c>
      <c r="E83" t="str">
        <v>V3</v>
      </c>
      <c r="F83" t="str">
        <v>I3</v>
      </c>
      <c r="G83" t="s">
        <v>113</v>
      </c>
      <c r="H83" t="s">
        <v>28</v>
      </c>
      <c r="I83">
        <v>73128.099652323101</v>
      </c>
      <c r="J83">
        <v>73128.099652323101</v>
      </c>
      <c r="K83">
        <v>0</v>
      </c>
      <c r="L83">
        <v>103.288182735443</v>
      </c>
      <c r="M83" t="s">
        <v>29</v>
      </c>
      <c r="N83">
        <v>132</v>
      </c>
      <c r="P83">
        <v>3</v>
      </c>
      <c r="Q83">
        <v>9000</v>
      </c>
      <c r="R83">
        <v>26370</v>
      </c>
      <c r="S83">
        <v>14133</v>
      </c>
      <c r="T83">
        <v>22645</v>
      </c>
      <c r="U83">
        <v>1411.79956131056</v>
      </c>
      <c r="V83">
        <v>431.69990871597298</v>
      </c>
      <c r="W83">
        <v>980.09965259458704</v>
      </c>
      <c r="X83">
        <v>155</v>
      </c>
      <c r="Y83">
        <v>0</v>
      </c>
      <c r="Z83">
        <v>11</v>
      </c>
      <c r="AA83">
        <v>0</v>
      </c>
    </row>
    <row r="84" spans="1:27" x14ac:dyDescent="0.25">
      <c r="A84" t="s">
        <v>71</v>
      </c>
      <c r="B84" t="str" cm="1">
        <f t="array" ref="B84:F84">_xlfn.TEXTSPLIT(A84,"_")</f>
        <v>MVPRP</v>
      </c>
      <c r="C84" t="str">
        <v>C10</v>
      </c>
      <c r="D84" t="str">
        <v>P9</v>
      </c>
      <c r="E84" t="str">
        <v>V2</v>
      </c>
      <c r="F84" t="str">
        <v>I3</v>
      </c>
      <c r="G84" t="s">
        <v>113</v>
      </c>
      <c r="H84" t="s">
        <v>30</v>
      </c>
      <c r="I84">
        <v>76893.098734675004</v>
      </c>
      <c r="J84">
        <v>73302.201382458807</v>
      </c>
      <c r="K84">
        <v>4.6699865284488003E-2</v>
      </c>
      <c r="L84">
        <v>3600.2885596752199</v>
      </c>
      <c r="M84" t="s">
        <v>29</v>
      </c>
      <c r="N84">
        <v>198</v>
      </c>
      <c r="P84">
        <v>3</v>
      </c>
      <c r="Q84">
        <v>9000</v>
      </c>
      <c r="R84">
        <v>26370</v>
      </c>
      <c r="S84">
        <v>14158</v>
      </c>
      <c r="T84">
        <v>21450</v>
      </c>
      <c r="U84">
        <v>8060.0984367000101</v>
      </c>
      <c r="V84">
        <v>2144.9997020249998</v>
      </c>
      <c r="W84">
        <v>5915.0987346750098</v>
      </c>
      <c r="X84">
        <v>294</v>
      </c>
      <c r="Y84">
        <v>0</v>
      </c>
      <c r="Z84">
        <v>101</v>
      </c>
      <c r="AA84">
        <v>0</v>
      </c>
    </row>
    <row r="85" spans="1:27" x14ac:dyDescent="0.25">
      <c r="A85" t="s">
        <v>72</v>
      </c>
      <c r="B85" t="str" cm="1">
        <f t="array" ref="B85:F85">_xlfn.TEXTSPLIT(A85,"_")</f>
        <v>MVPRP</v>
      </c>
      <c r="C85" t="str">
        <v>C25</v>
      </c>
      <c r="D85" t="str">
        <v>P9</v>
      </c>
      <c r="E85" t="str">
        <v>V3</v>
      </c>
      <c r="F85" t="str">
        <v>I3</v>
      </c>
      <c r="G85" t="s">
        <v>113</v>
      </c>
      <c r="H85" t="s">
        <v>30</v>
      </c>
      <c r="I85">
        <v>144145.099497021</v>
      </c>
      <c r="J85">
        <v>135918.56712106199</v>
      </c>
      <c r="K85">
        <v>5.7071190104035899E-2</v>
      </c>
      <c r="L85">
        <v>3601.8935978412601</v>
      </c>
      <c r="M85" t="s">
        <v>29</v>
      </c>
      <c r="N85">
        <v>189</v>
      </c>
      <c r="P85">
        <v>3</v>
      </c>
      <c r="Q85">
        <v>9000</v>
      </c>
      <c r="R85">
        <v>59880</v>
      </c>
      <c r="S85">
        <v>30546</v>
      </c>
      <c r="T85">
        <v>41193</v>
      </c>
      <c r="U85">
        <v>5063.9992995101602</v>
      </c>
      <c r="V85">
        <v>1537.8998024888001</v>
      </c>
      <c r="W85">
        <v>3526.0994970213601</v>
      </c>
      <c r="X85">
        <v>1929</v>
      </c>
      <c r="Y85">
        <v>0</v>
      </c>
      <c r="Z85">
        <v>184</v>
      </c>
      <c r="AA85">
        <v>0</v>
      </c>
    </row>
    <row r="86" spans="1:27" x14ac:dyDescent="0.25">
      <c r="A86" t="s">
        <v>31</v>
      </c>
      <c r="B86" t="str" cm="1">
        <f t="array" ref="B86:F86">_xlfn.TEXTSPLIT(A86,"_")</f>
        <v>MVPRP</v>
      </c>
      <c r="C86" t="str">
        <v>C15</v>
      </c>
      <c r="D86" t="str">
        <v>P3</v>
      </c>
      <c r="E86" t="str">
        <v>V3</v>
      </c>
      <c r="F86" t="str">
        <v>I3</v>
      </c>
      <c r="G86" t="s">
        <v>114</v>
      </c>
      <c r="H86" t="s">
        <v>28</v>
      </c>
      <c r="I86">
        <v>30482.9</v>
      </c>
      <c r="J86">
        <v>30482.9</v>
      </c>
      <c r="K86">
        <v>0</v>
      </c>
      <c r="L86">
        <v>4.2337355613708496</v>
      </c>
      <c r="M86" t="s">
        <v>73</v>
      </c>
      <c r="N86">
        <v>132</v>
      </c>
      <c r="P86">
        <v>3</v>
      </c>
      <c r="Q86">
        <v>3000</v>
      </c>
      <c r="R86">
        <v>9960</v>
      </c>
      <c r="S86">
        <v>4200</v>
      </c>
      <c r="T86">
        <v>13322.9</v>
      </c>
      <c r="U86">
        <v>-1</v>
      </c>
      <c r="V86">
        <v>-1</v>
      </c>
      <c r="W86">
        <v>-1</v>
      </c>
    </row>
    <row r="87" spans="1:27" x14ac:dyDescent="0.25">
      <c r="A87" t="s">
        <v>32</v>
      </c>
      <c r="B87" t="str" cm="1">
        <f t="array" ref="B87:F87">_xlfn.TEXTSPLIT(A87,"_")</f>
        <v>MVPRP</v>
      </c>
      <c r="C87" t="str">
        <v>C30</v>
      </c>
      <c r="D87" t="str">
        <v>P9</v>
      </c>
      <c r="E87" t="str">
        <v>V3</v>
      </c>
      <c r="F87" t="str">
        <v>I3</v>
      </c>
      <c r="G87" t="s">
        <v>114</v>
      </c>
      <c r="H87" t="s">
        <v>30</v>
      </c>
      <c r="I87">
        <v>156410.6</v>
      </c>
      <c r="J87">
        <v>146422.095570056</v>
      </c>
      <c r="K87">
        <v>6.3860789677578897E-2</v>
      </c>
      <c r="L87">
        <v>3600.25168609619</v>
      </c>
      <c r="M87" t="s">
        <v>115</v>
      </c>
      <c r="N87">
        <v>228</v>
      </c>
      <c r="P87">
        <v>3</v>
      </c>
      <c r="Q87">
        <v>12000</v>
      </c>
      <c r="R87">
        <v>67710</v>
      </c>
      <c r="S87">
        <v>31167</v>
      </c>
      <c r="T87">
        <v>45533.599999999999</v>
      </c>
      <c r="U87">
        <v>-1</v>
      </c>
      <c r="V87">
        <v>-1</v>
      </c>
      <c r="W87">
        <v>-1</v>
      </c>
    </row>
    <row r="88" spans="1:27" x14ac:dyDescent="0.25">
      <c r="A88" t="s">
        <v>33</v>
      </c>
      <c r="B88" t="str" cm="1">
        <f t="array" ref="B88:F88">_xlfn.TEXTSPLIT(A88,"_")</f>
        <v>MVPRP</v>
      </c>
      <c r="C88" t="str">
        <v>C20</v>
      </c>
      <c r="D88" t="str">
        <v>P6</v>
      </c>
      <c r="E88" t="str">
        <v>V2</v>
      </c>
      <c r="F88" t="str">
        <v>I3</v>
      </c>
      <c r="G88" t="s">
        <v>114</v>
      </c>
      <c r="H88" t="s">
        <v>28</v>
      </c>
      <c r="I88">
        <v>70886.8</v>
      </c>
      <c r="J88">
        <v>70886.8</v>
      </c>
      <c r="K88">
        <v>0</v>
      </c>
      <c r="L88">
        <v>15.780412673950201</v>
      </c>
      <c r="M88" t="s">
        <v>74</v>
      </c>
      <c r="N88">
        <v>283</v>
      </c>
      <c r="P88">
        <v>3</v>
      </c>
      <c r="Q88">
        <v>6000</v>
      </c>
      <c r="R88">
        <v>23820</v>
      </c>
      <c r="S88">
        <v>15196</v>
      </c>
      <c r="T88">
        <v>25870.799999999999</v>
      </c>
      <c r="U88">
        <v>-1</v>
      </c>
      <c r="V88">
        <v>-1</v>
      </c>
      <c r="W88">
        <v>-1</v>
      </c>
    </row>
    <row r="89" spans="1:27" x14ac:dyDescent="0.25">
      <c r="A89" t="s">
        <v>34</v>
      </c>
      <c r="B89" t="str" cm="1">
        <f t="array" ref="B89:F89">_xlfn.TEXTSPLIT(A89,"_")</f>
        <v>MVPRP</v>
      </c>
      <c r="C89" t="str">
        <v>C30</v>
      </c>
      <c r="D89" t="str">
        <v>P3</v>
      </c>
      <c r="E89" t="str">
        <v>V4</v>
      </c>
      <c r="F89" t="str">
        <v>I3</v>
      </c>
      <c r="G89" t="s">
        <v>114</v>
      </c>
      <c r="H89" t="s">
        <v>28</v>
      </c>
      <c r="I89">
        <v>42543</v>
      </c>
      <c r="J89">
        <v>42543</v>
      </c>
      <c r="K89">
        <v>0</v>
      </c>
      <c r="L89">
        <v>646.24540495872498</v>
      </c>
      <c r="M89" t="s">
        <v>124</v>
      </c>
      <c r="N89">
        <v>171</v>
      </c>
      <c r="P89">
        <v>3</v>
      </c>
      <c r="Q89">
        <v>3000</v>
      </c>
      <c r="R89">
        <v>16680</v>
      </c>
      <c r="S89">
        <v>6800</v>
      </c>
      <c r="T89">
        <v>16063</v>
      </c>
      <c r="U89">
        <v>-1</v>
      </c>
      <c r="V89">
        <v>-1</v>
      </c>
      <c r="W89">
        <v>-1</v>
      </c>
    </row>
    <row r="90" spans="1:27" x14ac:dyDescent="0.25">
      <c r="A90" t="s">
        <v>35</v>
      </c>
      <c r="B90" t="str" cm="1">
        <f t="array" ref="B90:F90">_xlfn.TEXTSPLIT(A90,"_")</f>
        <v>MVPRP</v>
      </c>
      <c r="C90" t="str">
        <v>C10</v>
      </c>
      <c r="D90" t="str">
        <v>P3</v>
      </c>
      <c r="E90" t="str">
        <v>V2</v>
      </c>
      <c r="F90" t="str">
        <v>I3</v>
      </c>
      <c r="G90" t="s">
        <v>114</v>
      </c>
      <c r="H90" t="s">
        <v>28</v>
      </c>
      <c r="I90">
        <v>22503.9</v>
      </c>
      <c r="J90">
        <v>22503.9</v>
      </c>
      <c r="K90">
        <v>0</v>
      </c>
      <c r="L90">
        <v>0.48762822151184099</v>
      </c>
      <c r="M90" t="s">
        <v>75</v>
      </c>
      <c r="N90">
        <v>198</v>
      </c>
      <c r="P90">
        <v>3</v>
      </c>
      <c r="Q90">
        <v>3000</v>
      </c>
      <c r="R90">
        <v>6390</v>
      </c>
      <c r="S90">
        <v>3345</v>
      </c>
      <c r="T90">
        <v>9768.9</v>
      </c>
      <c r="U90">
        <v>-1</v>
      </c>
      <c r="V90">
        <v>-1</v>
      </c>
      <c r="W90">
        <v>-1</v>
      </c>
    </row>
    <row r="91" spans="1:27" x14ac:dyDescent="0.25">
      <c r="A91" t="s">
        <v>36</v>
      </c>
      <c r="B91" t="str" cm="1">
        <f t="array" ref="B91:F91">_xlfn.TEXTSPLIT(A91,"_")</f>
        <v>MVPRP</v>
      </c>
      <c r="C91" t="str">
        <v>C40</v>
      </c>
      <c r="D91" t="str">
        <v>P3</v>
      </c>
      <c r="E91" t="str">
        <v>V3</v>
      </c>
      <c r="F91" t="str">
        <v>I3</v>
      </c>
      <c r="G91" t="s">
        <v>114</v>
      </c>
      <c r="H91" t="s">
        <v>28</v>
      </c>
      <c r="I91">
        <v>62080.9997925157</v>
      </c>
      <c r="J91">
        <v>62080.9997925157</v>
      </c>
      <c r="K91">
        <v>0</v>
      </c>
      <c r="L91">
        <v>375.79713726043701</v>
      </c>
      <c r="M91" t="s">
        <v>116</v>
      </c>
      <c r="N91">
        <v>360</v>
      </c>
      <c r="P91">
        <v>3</v>
      </c>
      <c r="Q91">
        <v>3000</v>
      </c>
      <c r="R91">
        <v>27660</v>
      </c>
      <c r="S91">
        <v>9576.9999813333307</v>
      </c>
      <c r="T91">
        <v>21843.999811182399</v>
      </c>
      <c r="U91">
        <v>-1</v>
      </c>
      <c r="V91">
        <v>-1</v>
      </c>
      <c r="W91">
        <v>-1</v>
      </c>
    </row>
    <row r="92" spans="1:27" x14ac:dyDescent="0.25">
      <c r="A92" t="s">
        <v>37</v>
      </c>
      <c r="B92" t="str" cm="1">
        <f t="array" ref="B92:F92">_xlfn.TEXTSPLIT(A92,"_")</f>
        <v>MVPRP</v>
      </c>
      <c r="C92" t="str">
        <v>C15</v>
      </c>
      <c r="D92" t="str">
        <v>P9</v>
      </c>
      <c r="E92" t="str">
        <v>V2</v>
      </c>
      <c r="F92" t="str">
        <v>I3</v>
      </c>
      <c r="G92" t="s">
        <v>114</v>
      </c>
      <c r="H92" t="s">
        <v>28</v>
      </c>
      <c r="I92">
        <v>112773.9</v>
      </c>
      <c r="J92">
        <v>112773.9</v>
      </c>
      <c r="K92">
        <v>0</v>
      </c>
      <c r="L92">
        <v>296.349786043167</v>
      </c>
      <c r="M92" t="s">
        <v>76</v>
      </c>
      <c r="N92">
        <v>198</v>
      </c>
      <c r="P92">
        <v>3</v>
      </c>
      <c r="Q92">
        <v>9000</v>
      </c>
      <c r="R92">
        <v>40950</v>
      </c>
      <c r="S92">
        <v>22130</v>
      </c>
      <c r="T92">
        <v>40693.9</v>
      </c>
      <c r="U92">
        <v>-1</v>
      </c>
      <c r="V92">
        <v>-1</v>
      </c>
      <c r="W92">
        <v>-1</v>
      </c>
    </row>
    <row r="93" spans="1:27" x14ac:dyDescent="0.25">
      <c r="A93" t="s">
        <v>38</v>
      </c>
      <c r="B93" t="str" cm="1">
        <f t="array" ref="B93:F93">_xlfn.TEXTSPLIT(A93,"_")</f>
        <v>MVPRP</v>
      </c>
      <c r="C93" t="str">
        <v>C45</v>
      </c>
      <c r="D93" t="str">
        <v>P3</v>
      </c>
      <c r="E93" t="str">
        <v>V3</v>
      </c>
      <c r="F93" t="str">
        <v>I3</v>
      </c>
      <c r="G93" t="s">
        <v>114</v>
      </c>
      <c r="H93" t="s">
        <v>28</v>
      </c>
      <c r="I93">
        <v>70340.800000000003</v>
      </c>
      <c r="J93">
        <v>70338.193341850099</v>
      </c>
      <c r="K93" s="6">
        <v>3.7057556210670398E-5</v>
      </c>
      <c r="L93">
        <v>628.17763352394104</v>
      </c>
      <c r="M93" t="s">
        <v>77</v>
      </c>
      <c r="N93">
        <v>360</v>
      </c>
      <c r="P93">
        <v>3</v>
      </c>
      <c r="Q93">
        <v>3000</v>
      </c>
      <c r="R93">
        <v>33060</v>
      </c>
      <c r="S93">
        <v>11010</v>
      </c>
      <c r="T93">
        <v>23270.799999999999</v>
      </c>
      <c r="U93">
        <v>-1</v>
      </c>
      <c r="V93">
        <v>-1</v>
      </c>
      <c r="W93">
        <v>-1</v>
      </c>
    </row>
    <row r="94" spans="1:27" x14ac:dyDescent="0.25">
      <c r="A94" t="s">
        <v>39</v>
      </c>
      <c r="B94" t="str" cm="1">
        <f t="array" ref="B94:F94">_xlfn.TEXTSPLIT(A94,"_")</f>
        <v>MVPRP</v>
      </c>
      <c r="C94" t="str">
        <v>C35</v>
      </c>
      <c r="D94" t="str">
        <v>P6</v>
      </c>
      <c r="E94" t="str">
        <v>V4</v>
      </c>
      <c r="F94" t="str">
        <v>I3</v>
      </c>
      <c r="G94" t="s">
        <v>114</v>
      </c>
      <c r="H94" t="s">
        <v>30</v>
      </c>
      <c r="I94">
        <v>104927.999997552</v>
      </c>
      <c r="J94">
        <v>101586.808579993</v>
      </c>
      <c r="K94">
        <v>3.18427056423203E-2</v>
      </c>
      <c r="L94">
        <v>3600.4764773228562</v>
      </c>
      <c r="M94" t="s">
        <v>125</v>
      </c>
      <c r="N94">
        <v>207</v>
      </c>
      <c r="P94">
        <v>3</v>
      </c>
      <c r="Q94">
        <v>6000</v>
      </c>
      <c r="R94">
        <v>42900</v>
      </c>
      <c r="S94">
        <v>23712</v>
      </c>
      <c r="T94">
        <v>32315.999997552299</v>
      </c>
      <c r="U94">
        <v>-1</v>
      </c>
      <c r="V94">
        <v>-1</v>
      </c>
      <c r="W94">
        <v>-1</v>
      </c>
    </row>
    <row r="95" spans="1:27" x14ac:dyDescent="0.25">
      <c r="A95" t="s">
        <v>40</v>
      </c>
      <c r="B95" t="str" cm="1">
        <f t="array" ref="B95:F95">_xlfn.TEXTSPLIT(A95,"_")</f>
        <v>MVPRP</v>
      </c>
      <c r="C95" t="str">
        <v>C25</v>
      </c>
      <c r="D95" t="str">
        <v>P6</v>
      </c>
      <c r="E95" t="str">
        <v>V2</v>
      </c>
      <c r="F95" t="str">
        <v>I3</v>
      </c>
      <c r="G95" t="s">
        <v>114</v>
      </c>
      <c r="H95" t="s">
        <v>28</v>
      </c>
      <c r="I95">
        <v>84118.7</v>
      </c>
      <c r="J95">
        <v>84118.7</v>
      </c>
      <c r="K95">
        <v>0</v>
      </c>
      <c r="L95">
        <v>136.61029672622701</v>
      </c>
      <c r="M95" t="s">
        <v>78</v>
      </c>
      <c r="N95">
        <v>283</v>
      </c>
      <c r="P95">
        <v>3</v>
      </c>
      <c r="Q95">
        <v>6000</v>
      </c>
      <c r="R95">
        <v>28380</v>
      </c>
      <c r="S95">
        <v>21221</v>
      </c>
      <c r="T95">
        <v>28517.7</v>
      </c>
      <c r="U95">
        <v>-1</v>
      </c>
      <c r="V95">
        <v>-1</v>
      </c>
      <c r="W95">
        <v>-1</v>
      </c>
    </row>
    <row r="96" spans="1:27" x14ac:dyDescent="0.25">
      <c r="A96" t="s">
        <v>41</v>
      </c>
      <c r="B96" t="str" cm="1">
        <f t="array" ref="B96:F96">_xlfn.TEXTSPLIT(A96,"_")</f>
        <v>MVPRP</v>
      </c>
      <c r="C96" t="str">
        <v>C35</v>
      </c>
      <c r="D96" t="str">
        <v>P3</v>
      </c>
      <c r="E96" t="str">
        <v>V3</v>
      </c>
      <c r="F96" t="str">
        <v>I3</v>
      </c>
      <c r="G96" t="s">
        <v>114</v>
      </c>
      <c r="H96" t="s">
        <v>28</v>
      </c>
      <c r="I96">
        <v>50425</v>
      </c>
      <c r="J96">
        <v>50425</v>
      </c>
      <c r="K96">
        <v>0</v>
      </c>
      <c r="L96">
        <v>184.30754327774</v>
      </c>
      <c r="M96" t="s">
        <v>79</v>
      </c>
      <c r="N96">
        <v>276</v>
      </c>
      <c r="P96">
        <v>3</v>
      </c>
      <c r="Q96">
        <v>3000</v>
      </c>
      <c r="R96">
        <v>21600</v>
      </c>
      <c r="S96">
        <v>7494</v>
      </c>
      <c r="T96">
        <v>18331</v>
      </c>
      <c r="U96">
        <v>-1</v>
      </c>
      <c r="V96">
        <v>-1</v>
      </c>
      <c r="W96">
        <v>-1</v>
      </c>
    </row>
    <row r="97" spans="1:23" x14ac:dyDescent="0.25">
      <c r="A97" t="s">
        <v>42</v>
      </c>
      <c r="B97" t="str" cm="1">
        <f t="array" ref="B97:F97">_xlfn.TEXTSPLIT(A97,"_")</f>
        <v>MVPRP</v>
      </c>
      <c r="C97" t="str">
        <v>C10</v>
      </c>
      <c r="D97" t="str">
        <v>P6</v>
      </c>
      <c r="E97" t="str">
        <v>V2</v>
      </c>
      <c r="F97" t="str">
        <v>I3</v>
      </c>
      <c r="G97" t="s">
        <v>114</v>
      </c>
      <c r="H97" t="s">
        <v>28</v>
      </c>
      <c r="I97">
        <v>44267.4</v>
      </c>
      <c r="J97">
        <v>44267.4</v>
      </c>
      <c r="K97">
        <v>0</v>
      </c>
      <c r="L97">
        <v>3.8709852695465101</v>
      </c>
      <c r="M97" t="s">
        <v>80</v>
      </c>
      <c r="N97">
        <v>198</v>
      </c>
      <c r="P97">
        <v>3</v>
      </c>
      <c r="Q97">
        <v>6000</v>
      </c>
      <c r="R97">
        <v>12690</v>
      </c>
      <c r="S97">
        <v>9183</v>
      </c>
      <c r="T97">
        <v>16394.400000000001</v>
      </c>
      <c r="U97">
        <v>-1</v>
      </c>
      <c r="V97">
        <v>-1</v>
      </c>
      <c r="W97">
        <v>-1</v>
      </c>
    </row>
    <row r="98" spans="1:23" x14ac:dyDescent="0.25">
      <c r="A98" t="s">
        <v>43</v>
      </c>
      <c r="B98" t="str" cm="1">
        <f t="array" ref="B98:F98">_xlfn.TEXTSPLIT(A98,"_")</f>
        <v>MVPRP</v>
      </c>
      <c r="C98" t="str">
        <v>C30</v>
      </c>
      <c r="D98" t="str">
        <v>P9</v>
      </c>
      <c r="E98" t="str">
        <v>V4</v>
      </c>
      <c r="F98" t="str">
        <v>I3</v>
      </c>
      <c r="G98" t="s">
        <v>114</v>
      </c>
      <c r="H98" t="s">
        <v>30</v>
      </c>
      <c r="I98">
        <v>159237.70000000001</v>
      </c>
      <c r="J98">
        <v>151333.884825994</v>
      </c>
      <c r="K98">
        <v>4.9635326144538403E-2</v>
      </c>
      <c r="L98">
        <v>3600.57289789785</v>
      </c>
      <c r="M98" t="s">
        <v>126</v>
      </c>
      <c r="N98">
        <v>171</v>
      </c>
      <c r="P98">
        <v>3</v>
      </c>
      <c r="Q98">
        <v>12000</v>
      </c>
      <c r="R98">
        <v>67710</v>
      </c>
      <c r="S98">
        <v>28345</v>
      </c>
      <c r="T98">
        <v>51182.7</v>
      </c>
      <c r="U98">
        <v>-1</v>
      </c>
      <c r="V98">
        <v>-1</v>
      </c>
      <c r="W98">
        <v>-1</v>
      </c>
    </row>
    <row r="99" spans="1:23" x14ac:dyDescent="0.25">
      <c r="A99" t="s">
        <v>44</v>
      </c>
      <c r="B99" t="str" cm="1">
        <f t="array" ref="B99:F99">_xlfn.TEXTSPLIT(A99,"_")</f>
        <v>MVPRP</v>
      </c>
      <c r="C99" t="str">
        <v>C10</v>
      </c>
      <c r="D99" t="str">
        <v>P3</v>
      </c>
      <c r="E99" t="str">
        <v>V3</v>
      </c>
      <c r="F99" t="str">
        <v>I3</v>
      </c>
      <c r="G99" t="s">
        <v>114</v>
      </c>
      <c r="H99" t="s">
        <v>28</v>
      </c>
      <c r="I99">
        <v>20550</v>
      </c>
      <c r="J99">
        <v>20550</v>
      </c>
      <c r="K99">
        <v>0</v>
      </c>
      <c r="L99">
        <v>1.20941686630249</v>
      </c>
      <c r="M99" t="s">
        <v>81</v>
      </c>
      <c r="N99">
        <v>132</v>
      </c>
      <c r="P99">
        <v>3</v>
      </c>
      <c r="Q99">
        <v>3000</v>
      </c>
      <c r="R99">
        <v>6390</v>
      </c>
      <c r="S99">
        <v>3082</v>
      </c>
      <c r="T99">
        <v>8078</v>
      </c>
      <c r="U99">
        <v>-1</v>
      </c>
      <c r="V99">
        <v>-1</v>
      </c>
      <c r="W99">
        <v>-1</v>
      </c>
    </row>
    <row r="100" spans="1:23" x14ac:dyDescent="0.25">
      <c r="A100" t="s">
        <v>45</v>
      </c>
      <c r="B100" t="str" cm="1">
        <f t="array" ref="B100:F100">_xlfn.TEXTSPLIT(A100,"_")</f>
        <v>MVPRP</v>
      </c>
      <c r="C100" t="str">
        <v>C30</v>
      </c>
      <c r="D100" t="str">
        <v>P3</v>
      </c>
      <c r="E100" t="str">
        <v>V3</v>
      </c>
      <c r="F100" t="str">
        <v>I3</v>
      </c>
      <c r="G100" t="s">
        <v>114</v>
      </c>
      <c r="H100" t="s">
        <v>28</v>
      </c>
      <c r="I100">
        <v>41726</v>
      </c>
      <c r="J100">
        <v>41726</v>
      </c>
      <c r="K100">
        <v>0</v>
      </c>
      <c r="L100">
        <v>114.659799814224</v>
      </c>
      <c r="M100" t="s">
        <v>82</v>
      </c>
      <c r="N100">
        <v>228</v>
      </c>
      <c r="P100">
        <v>3</v>
      </c>
      <c r="Q100">
        <v>3000</v>
      </c>
      <c r="R100">
        <v>16680</v>
      </c>
      <c r="S100">
        <v>6255</v>
      </c>
      <c r="T100">
        <v>15791</v>
      </c>
      <c r="U100">
        <v>-1</v>
      </c>
      <c r="V100">
        <v>-1</v>
      </c>
      <c r="W100">
        <v>-1</v>
      </c>
    </row>
    <row r="101" spans="1:23" x14ac:dyDescent="0.25">
      <c r="A101" t="s">
        <v>46</v>
      </c>
      <c r="B101" t="str" cm="1">
        <f t="array" ref="B101:F101">_xlfn.TEXTSPLIT(A101,"_")</f>
        <v>MVPRP</v>
      </c>
      <c r="C101" t="str">
        <v>C20</v>
      </c>
      <c r="D101" t="str">
        <v>P3</v>
      </c>
      <c r="E101" t="str">
        <v>V3</v>
      </c>
      <c r="F101" t="str">
        <v>I3</v>
      </c>
      <c r="G101" t="s">
        <v>114</v>
      </c>
      <c r="H101" t="s">
        <v>28</v>
      </c>
      <c r="I101">
        <v>33320.6</v>
      </c>
      <c r="J101">
        <v>33320.6</v>
      </c>
      <c r="K101">
        <v>0</v>
      </c>
      <c r="L101">
        <v>9.1030476093292201</v>
      </c>
      <c r="M101" t="s">
        <v>83</v>
      </c>
      <c r="N101">
        <v>189</v>
      </c>
      <c r="P101">
        <v>3</v>
      </c>
      <c r="Q101">
        <v>3000</v>
      </c>
      <c r="R101">
        <v>12030</v>
      </c>
      <c r="S101">
        <v>5255</v>
      </c>
      <c r="T101">
        <v>13035.6</v>
      </c>
      <c r="U101">
        <v>-1</v>
      </c>
      <c r="V101">
        <v>-1</v>
      </c>
      <c r="W101">
        <v>-1</v>
      </c>
    </row>
    <row r="102" spans="1:23" x14ac:dyDescent="0.25">
      <c r="A102" t="s">
        <v>47</v>
      </c>
      <c r="B102" t="str" cm="1">
        <f t="array" ref="B102:F102">_xlfn.TEXTSPLIT(A102,"_")</f>
        <v>MVPRP</v>
      </c>
      <c r="C102" t="str">
        <v>C35</v>
      </c>
      <c r="D102" t="str">
        <v>P6</v>
      </c>
      <c r="E102" t="str">
        <v>V3</v>
      </c>
      <c r="F102" t="str">
        <v>I3</v>
      </c>
      <c r="G102" t="s">
        <v>114</v>
      </c>
      <c r="H102" t="s">
        <v>30</v>
      </c>
      <c r="I102">
        <v>101891.79979235699</v>
      </c>
      <c r="J102">
        <v>101077.96808607101</v>
      </c>
      <c r="K102">
        <v>7.98721494707442E-3</v>
      </c>
      <c r="L102">
        <v>3600.1684639453902</v>
      </c>
      <c r="M102" t="s">
        <v>117</v>
      </c>
      <c r="N102">
        <v>276</v>
      </c>
      <c r="P102">
        <v>3</v>
      </c>
      <c r="Q102">
        <v>6000</v>
      </c>
      <c r="R102">
        <v>42900</v>
      </c>
      <c r="S102">
        <v>23663.999920191902</v>
      </c>
      <c r="T102">
        <v>29327.799872164898</v>
      </c>
      <c r="U102">
        <v>-1</v>
      </c>
      <c r="V102">
        <v>-1</v>
      </c>
      <c r="W102">
        <v>-1</v>
      </c>
    </row>
    <row r="103" spans="1:23" x14ac:dyDescent="0.25">
      <c r="A103" t="s">
        <v>48</v>
      </c>
      <c r="B103" t="str" cm="1">
        <f t="array" ref="B103:F103">_xlfn.TEXTSPLIT(A103,"_")</f>
        <v>MVPRP</v>
      </c>
      <c r="C103" t="str">
        <v>C25</v>
      </c>
      <c r="D103" t="str">
        <v>P6</v>
      </c>
      <c r="E103" t="str">
        <v>V3</v>
      </c>
      <c r="F103" t="str">
        <v>I3</v>
      </c>
      <c r="G103" t="s">
        <v>114</v>
      </c>
      <c r="H103" t="s">
        <v>28</v>
      </c>
      <c r="I103">
        <v>78890</v>
      </c>
      <c r="J103">
        <v>78890</v>
      </c>
      <c r="K103">
        <v>0</v>
      </c>
      <c r="L103">
        <v>313.02506589889498</v>
      </c>
      <c r="M103" t="s">
        <v>84</v>
      </c>
      <c r="N103">
        <v>189</v>
      </c>
      <c r="P103">
        <v>3</v>
      </c>
      <c r="Q103">
        <v>6000</v>
      </c>
      <c r="R103">
        <v>28380</v>
      </c>
      <c r="S103">
        <v>18542</v>
      </c>
      <c r="T103">
        <v>25968</v>
      </c>
      <c r="U103">
        <v>-1</v>
      </c>
      <c r="V103">
        <v>-1</v>
      </c>
      <c r="W103">
        <v>-1</v>
      </c>
    </row>
    <row r="104" spans="1:23" x14ac:dyDescent="0.25">
      <c r="A104" t="s">
        <v>49</v>
      </c>
      <c r="B104" t="str" cm="1">
        <f t="array" ref="B104:F104">_xlfn.TEXTSPLIT(A104,"_")</f>
        <v>MVPRP</v>
      </c>
      <c r="C104" t="str">
        <v>C30</v>
      </c>
      <c r="D104" t="str">
        <v>P6</v>
      </c>
      <c r="E104" t="str">
        <v>V4</v>
      </c>
      <c r="F104" t="str">
        <v>I3</v>
      </c>
      <c r="G104" t="s">
        <v>114</v>
      </c>
      <c r="H104" t="s">
        <v>30</v>
      </c>
      <c r="I104">
        <v>86589.999656468906</v>
      </c>
      <c r="J104">
        <v>84901.703041333094</v>
      </c>
      <c r="K104">
        <v>1.9497593507725099E-2</v>
      </c>
      <c r="L104">
        <v>3600.2798741717979</v>
      </c>
      <c r="M104" t="s">
        <v>127</v>
      </c>
      <c r="N104">
        <v>171</v>
      </c>
      <c r="P104">
        <v>3</v>
      </c>
      <c r="Q104">
        <v>6000.0000057531997</v>
      </c>
      <c r="R104">
        <v>33150</v>
      </c>
      <c r="S104">
        <v>21067.999650715799</v>
      </c>
      <c r="T104">
        <v>26372</v>
      </c>
      <c r="U104">
        <v>-1</v>
      </c>
      <c r="V104">
        <v>-1</v>
      </c>
      <c r="W104">
        <v>-1</v>
      </c>
    </row>
    <row r="105" spans="1:23" x14ac:dyDescent="0.25">
      <c r="A105" t="s">
        <v>50</v>
      </c>
      <c r="B105" t="str" cm="1">
        <f t="array" ref="B105:F105">_xlfn.TEXTSPLIT(A105,"_")</f>
        <v>MVPRP</v>
      </c>
      <c r="C105" t="str">
        <v>C15</v>
      </c>
      <c r="D105" t="str">
        <v>P6</v>
      </c>
      <c r="E105" t="str">
        <v>V3</v>
      </c>
      <c r="F105" t="str">
        <v>I3</v>
      </c>
      <c r="G105" t="s">
        <v>114</v>
      </c>
      <c r="H105" t="s">
        <v>28</v>
      </c>
      <c r="I105">
        <v>61575.7</v>
      </c>
      <c r="J105">
        <v>61575.7</v>
      </c>
      <c r="K105">
        <v>0</v>
      </c>
      <c r="L105">
        <v>113.85683441162099</v>
      </c>
      <c r="M105" t="s">
        <v>118</v>
      </c>
      <c r="N105">
        <v>132</v>
      </c>
      <c r="P105">
        <v>3</v>
      </c>
      <c r="Q105">
        <v>6000</v>
      </c>
      <c r="R105">
        <v>19800</v>
      </c>
      <c r="S105">
        <v>14124</v>
      </c>
      <c r="T105">
        <v>21651.7</v>
      </c>
      <c r="U105">
        <v>-1</v>
      </c>
      <c r="V105">
        <v>-1</v>
      </c>
      <c r="W105">
        <v>-1</v>
      </c>
    </row>
    <row r="106" spans="1:23" x14ac:dyDescent="0.25">
      <c r="A106" t="s">
        <v>51</v>
      </c>
      <c r="B106" t="str" cm="1">
        <f t="array" ref="B106:F106">_xlfn.TEXTSPLIT(A106,"_")</f>
        <v>MVPRP</v>
      </c>
      <c r="C106" t="str">
        <v>C50</v>
      </c>
      <c r="D106" t="str">
        <v>P3</v>
      </c>
      <c r="E106" t="str">
        <v>V3</v>
      </c>
      <c r="F106" t="str">
        <v>I3</v>
      </c>
      <c r="G106" t="s">
        <v>114</v>
      </c>
      <c r="H106" t="s">
        <v>28</v>
      </c>
      <c r="I106">
        <v>65829</v>
      </c>
      <c r="J106">
        <v>65829</v>
      </c>
      <c r="K106">
        <v>0</v>
      </c>
      <c r="L106">
        <v>1175.9930360317201</v>
      </c>
      <c r="M106" t="s">
        <v>85</v>
      </c>
      <c r="N106">
        <v>360</v>
      </c>
      <c r="P106">
        <v>3</v>
      </c>
      <c r="Q106">
        <v>3000</v>
      </c>
      <c r="R106">
        <v>29580</v>
      </c>
      <c r="S106">
        <v>10569</v>
      </c>
      <c r="T106">
        <v>22680</v>
      </c>
      <c r="U106">
        <v>-1</v>
      </c>
      <c r="V106">
        <v>-1</v>
      </c>
      <c r="W106">
        <v>-1</v>
      </c>
    </row>
    <row r="107" spans="1:23" x14ac:dyDescent="0.25">
      <c r="A107" t="s">
        <v>52</v>
      </c>
      <c r="B107" t="str" cm="1">
        <f t="array" ref="B107:F107">_xlfn.TEXTSPLIT(A107,"_")</f>
        <v>MVPRP</v>
      </c>
      <c r="C107" t="str">
        <v>C30</v>
      </c>
      <c r="D107" t="str">
        <v>P6</v>
      </c>
      <c r="E107" t="str">
        <v>V3</v>
      </c>
      <c r="F107" t="str">
        <v>I3</v>
      </c>
      <c r="G107" t="s">
        <v>114</v>
      </c>
      <c r="H107" t="s">
        <v>28</v>
      </c>
      <c r="I107">
        <v>84724.4</v>
      </c>
      <c r="J107">
        <v>84719.022041580698</v>
      </c>
      <c r="K107" s="6">
        <v>6.34759103548339E-5</v>
      </c>
      <c r="L107">
        <v>2204.1647367477399</v>
      </c>
      <c r="M107" t="s">
        <v>86</v>
      </c>
      <c r="N107">
        <v>228</v>
      </c>
      <c r="P107">
        <v>3</v>
      </c>
      <c r="Q107">
        <v>6000</v>
      </c>
      <c r="R107">
        <v>33150</v>
      </c>
      <c r="S107">
        <v>21374</v>
      </c>
      <c r="T107">
        <v>24200.400000000001</v>
      </c>
      <c r="U107">
        <v>-1</v>
      </c>
      <c r="V107">
        <v>-1</v>
      </c>
      <c r="W107">
        <v>-1</v>
      </c>
    </row>
    <row r="108" spans="1:23" x14ac:dyDescent="0.25">
      <c r="A108" t="s">
        <v>53</v>
      </c>
      <c r="B108" t="str" cm="1">
        <f t="array" ref="B108:F108">_xlfn.TEXTSPLIT(A108,"_")</f>
        <v>MVPRP</v>
      </c>
      <c r="C108" t="str">
        <v>C25</v>
      </c>
      <c r="D108" t="str">
        <v>P3</v>
      </c>
      <c r="E108" t="str">
        <v>V2</v>
      </c>
      <c r="F108" t="str">
        <v>I3</v>
      </c>
      <c r="G108" t="s">
        <v>114</v>
      </c>
      <c r="H108" t="s">
        <v>28</v>
      </c>
      <c r="I108">
        <v>43946.8</v>
      </c>
      <c r="J108">
        <v>43946.8</v>
      </c>
      <c r="K108">
        <v>0</v>
      </c>
      <c r="L108">
        <v>8.0891377925872803</v>
      </c>
      <c r="M108" t="s">
        <v>87</v>
      </c>
      <c r="N108">
        <v>283</v>
      </c>
      <c r="P108">
        <v>3</v>
      </c>
      <c r="Q108">
        <v>3000</v>
      </c>
      <c r="R108">
        <v>14340</v>
      </c>
      <c r="S108">
        <v>6727</v>
      </c>
      <c r="T108">
        <v>19879.8</v>
      </c>
      <c r="U108">
        <v>-1</v>
      </c>
      <c r="V108">
        <v>-1</v>
      </c>
      <c r="W108">
        <v>-1</v>
      </c>
    </row>
    <row r="109" spans="1:23" x14ac:dyDescent="0.25">
      <c r="A109" t="s">
        <v>54</v>
      </c>
      <c r="B109" t="str" cm="1">
        <f t="array" ref="B109:F109">_xlfn.TEXTSPLIT(A109,"_")</f>
        <v>MVPRP</v>
      </c>
      <c r="C109" t="str">
        <v>C15</v>
      </c>
      <c r="D109" t="str">
        <v>P6</v>
      </c>
      <c r="E109" t="str">
        <v>V2</v>
      </c>
      <c r="F109" t="str">
        <v>I3</v>
      </c>
      <c r="G109" t="s">
        <v>114</v>
      </c>
      <c r="H109" t="s">
        <v>28</v>
      </c>
      <c r="I109">
        <v>64306</v>
      </c>
      <c r="J109">
        <v>64306</v>
      </c>
      <c r="K109">
        <v>0</v>
      </c>
      <c r="L109">
        <v>13.0548288822174</v>
      </c>
      <c r="M109" t="s">
        <v>88</v>
      </c>
      <c r="N109">
        <v>198</v>
      </c>
      <c r="P109">
        <v>3</v>
      </c>
      <c r="Q109">
        <v>6000</v>
      </c>
      <c r="R109">
        <v>19800</v>
      </c>
      <c r="S109">
        <v>14664</v>
      </c>
      <c r="T109">
        <v>23842</v>
      </c>
      <c r="U109">
        <v>-1</v>
      </c>
      <c r="V109">
        <v>-1</v>
      </c>
      <c r="W109">
        <v>-1</v>
      </c>
    </row>
    <row r="110" spans="1:23" x14ac:dyDescent="0.25">
      <c r="A110" t="s">
        <v>55</v>
      </c>
      <c r="B110" t="str" cm="1">
        <f t="array" ref="B110:F110">_xlfn.TEXTSPLIT(A110,"_")</f>
        <v>MVPRP</v>
      </c>
      <c r="C110" t="str">
        <v>C20</v>
      </c>
      <c r="D110" t="str">
        <v>P3</v>
      </c>
      <c r="E110" t="str">
        <v>V2</v>
      </c>
      <c r="F110" t="str">
        <v>I3</v>
      </c>
      <c r="G110" t="s">
        <v>114</v>
      </c>
      <c r="H110" t="s">
        <v>28</v>
      </c>
      <c r="I110">
        <v>37786.699999999997</v>
      </c>
      <c r="J110">
        <v>37786.699999999997</v>
      </c>
      <c r="K110">
        <v>0</v>
      </c>
      <c r="L110">
        <v>7.0421454906463596</v>
      </c>
      <c r="M110" t="s">
        <v>89</v>
      </c>
      <c r="N110">
        <v>283</v>
      </c>
      <c r="P110">
        <v>3</v>
      </c>
      <c r="Q110">
        <v>3000</v>
      </c>
      <c r="R110">
        <v>12030</v>
      </c>
      <c r="S110">
        <v>5375</v>
      </c>
      <c r="T110">
        <v>17381.7</v>
      </c>
      <c r="U110">
        <v>-1</v>
      </c>
      <c r="V110">
        <v>-1</v>
      </c>
      <c r="W110">
        <v>-1</v>
      </c>
    </row>
    <row r="111" spans="1:23" x14ac:dyDescent="0.25">
      <c r="A111" t="s">
        <v>56</v>
      </c>
      <c r="B111" t="str" cm="1">
        <f t="array" ref="B111:F111">_xlfn.TEXTSPLIT(A111,"_")</f>
        <v>MVPRP</v>
      </c>
      <c r="C111" t="str">
        <v>C10</v>
      </c>
      <c r="D111" t="str">
        <v>P6</v>
      </c>
      <c r="E111" t="str">
        <v>V3</v>
      </c>
      <c r="F111" t="str">
        <v>I3</v>
      </c>
      <c r="G111" t="s">
        <v>114</v>
      </c>
      <c r="H111" t="s">
        <v>28</v>
      </c>
      <c r="I111">
        <v>42064</v>
      </c>
      <c r="J111">
        <v>42064</v>
      </c>
      <c r="K111">
        <v>0</v>
      </c>
      <c r="L111">
        <v>5.3152327537536603</v>
      </c>
      <c r="M111" t="s">
        <v>90</v>
      </c>
      <c r="N111">
        <v>132</v>
      </c>
      <c r="P111">
        <v>3</v>
      </c>
      <c r="Q111">
        <v>6000</v>
      </c>
      <c r="R111">
        <v>12690</v>
      </c>
      <c r="S111">
        <v>8865</v>
      </c>
      <c r="T111">
        <v>14509</v>
      </c>
      <c r="U111">
        <v>-1</v>
      </c>
      <c r="V111">
        <v>-1</v>
      </c>
      <c r="W111">
        <v>-1</v>
      </c>
    </row>
    <row r="112" spans="1:23" x14ac:dyDescent="0.25">
      <c r="A112" t="s">
        <v>57</v>
      </c>
      <c r="B112" t="str" cm="1">
        <f t="array" ref="B112:F112">_xlfn.TEXTSPLIT(A112,"_")</f>
        <v>MVPRP</v>
      </c>
      <c r="C112" t="str">
        <v>C50</v>
      </c>
      <c r="D112" t="str">
        <v>P3</v>
      </c>
      <c r="E112" t="str">
        <v>V4</v>
      </c>
      <c r="F112" t="str">
        <v>I3</v>
      </c>
      <c r="G112" t="s">
        <v>114</v>
      </c>
      <c r="H112" t="s">
        <v>30</v>
      </c>
      <c r="I112">
        <v>67851</v>
      </c>
      <c r="J112">
        <v>66566.512701132699</v>
      </c>
      <c r="K112">
        <v>1.8931000263330802E-2</v>
      </c>
      <c r="L112">
        <v>3600.7685867935807</v>
      </c>
      <c r="M112" t="s">
        <v>128</v>
      </c>
      <c r="N112">
        <v>270</v>
      </c>
      <c r="P112">
        <v>3</v>
      </c>
      <c r="Q112">
        <v>3000</v>
      </c>
      <c r="R112">
        <v>29580</v>
      </c>
      <c r="S112">
        <v>12728</v>
      </c>
      <c r="T112">
        <v>22543</v>
      </c>
      <c r="U112">
        <v>-1</v>
      </c>
      <c r="V112">
        <v>-1</v>
      </c>
      <c r="W112">
        <v>-1</v>
      </c>
    </row>
    <row r="113" spans="1:23" x14ac:dyDescent="0.25">
      <c r="A113" t="s">
        <v>58</v>
      </c>
      <c r="B113" t="str" cm="1">
        <f t="array" ref="B113:F113">_xlfn.TEXTSPLIT(A113,"_")</f>
        <v>MVPRP</v>
      </c>
      <c r="C113" t="str">
        <v>C15</v>
      </c>
      <c r="D113" t="str">
        <v>P3</v>
      </c>
      <c r="E113" t="str">
        <v>V2</v>
      </c>
      <c r="F113" t="str">
        <v>I3</v>
      </c>
      <c r="G113" t="s">
        <v>114</v>
      </c>
      <c r="H113" t="s">
        <v>28</v>
      </c>
      <c r="I113">
        <v>33212.9</v>
      </c>
      <c r="J113">
        <v>33212.9</v>
      </c>
      <c r="K113">
        <v>0</v>
      </c>
      <c r="L113">
        <v>3.7655830383300799</v>
      </c>
      <c r="M113" t="s">
        <v>91</v>
      </c>
      <c r="N113">
        <v>198</v>
      </c>
      <c r="P113">
        <v>3</v>
      </c>
      <c r="Q113">
        <v>3000</v>
      </c>
      <c r="R113">
        <v>9960</v>
      </c>
      <c r="S113">
        <v>4700</v>
      </c>
      <c r="T113">
        <v>15552.9</v>
      </c>
      <c r="U113">
        <v>-1</v>
      </c>
      <c r="V113">
        <v>-1</v>
      </c>
      <c r="W113">
        <v>-1</v>
      </c>
    </row>
    <row r="114" spans="1:23" x14ac:dyDescent="0.25">
      <c r="A114" t="s">
        <v>59</v>
      </c>
      <c r="B114" t="str" cm="1">
        <f t="array" ref="B114:F114">_xlfn.TEXTSPLIT(A114,"_")</f>
        <v>MVPRP</v>
      </c>
      <c r="C114" t="str">
        <v>C40</v>
      </c>
      <c r="D114" t="str">
        <v>P3</v>
      </c>
      <c r="E114" t="str">
        <v>V4</v>
      </c>
      <c r="F114" t="str">
        <v>I3</v>
      </c>
      <c r="G114" t="s">
        <v>114</v>
      </c>
      <c r="H114" t="s">
        <v>30</v>
      </c>
      <c r="I114">
        <v>63593.9998898712</v>
      </c>
      <c r="J114">
        <v>62502.841283061498</v>
      </c>
      <c r="K114">
        <v>1.71582005959568E-2</v>
      </c>
      <c r="L114">
        <v>3600.1579294321436</v>
      </c>
      <c r="M114" t="s">
        <v>129</v>
      </c>
      <c r="N114">
        <v>270</v>
      </c>
      <c r="P114">
        <v>3</v>
      </c>
      <c r="Q114">
        <v>3000</v>
      </c>
      <c r="R114">
        <v>27660</v>
      </c>
      <c r="S114">
        <v>11375.0003198348</v>
      </c>
      <c r="T114">
        <v>21558.999570036402</v>
      </c>
      <c r="U114">
        <v>-1</v>
      </c>
      <c r="V114">
        <v>-1</v>
      </c>
      <c r="W114">
        <v>-1</v>
      </c>
    </row>
    <row r="115" spans="1:23" x14ac:dyDescent="0.25">
      <c r="A115" t="s">
        <v>60</v>
      </c>
      <c r="B115" t="str" cm="1">
        <f t="array" ref="B115:F115">_xlfn.TEXTSPLIT(A115,"_")</f>
        <v>MVPRP</v>
      </c>
      <c r="C115" t="str">
        <v>C25</v>
      </c>
      <c r="D115" t="str">
        <v>P3</v>
      </c>
      <c r="E115" t="str">
        <v>V3</v>
      </c>
      <c r="F115" t="str">
        <v>I3</v>
      </c>
      <c r="G115" t="s">
        <v>114</v>
      </c>
      <c r="H115" t="s">
        <v>28</v>
      </c>
      <c r="I115">
        <v>39170.5</v>
      </c>
      <c r="J115">
        <v>39170.5</v>
      </c>
      <c r="K115">
        <v>0</v>
      </c>
      <c r="L115">
        <v>21.8196153640747</v>
      </c>
      <c r="M115" t="s">
        <v>92</v>
      </c>
      <c r="N115">
        <v>189</v>
      </c>
      <c r="P115">
        <v>3</v>
      </c>
      <c r="Q115">
        <v>3000</v>
      </c>
      <c r="R115">
        <v>14340</v>
      </c>
      <c r="S115">
        <v>6770</v>
      </c>
      <c r="T115">
        <v>15060.5</v>
      </c>
      <c r="U115">
        <v>-1</v>
      </c>
      <c r="V115">
        <v>-1</v>
      </c>
      <c r="W115">
        <v>-1</v>
      </c>
    </row>
    <row r="116" spans="1:23" x14ac:dyDescent="0.25">
      <c r="A116" t="s">
        <v>61</v>
      </c>
      <c r="B116" t="str" cm="1">
        <f t="array" ref="B116:F116">_xlfn.TEXTSPLIT(A116,"_")</f>
        <v>MVPRP</v>
      </c>
      <c r="C116" t="str">
        <v>C20</v>
      </c>
      <c r="D116" t="str">
        <v>P6</v>
      </c>
      <c r="E116" t="str">
        <v>V3</v>
      </c>
      <c r="F116" t="str">
        <v>I3</v>
      </c>
      <c r="G116" t="s">
        <v>114</v>
      </c>
      <c r="H116" t="s">
        <v>28</v>
      </c>
      <c r="I116">
        <v>67431.600000000006</v>
      </c>
      <c r="J116">
        <v>67431.600000000006</v>
      </c>
      <c r="K116">
        <v>0</v>
      </c>
      <c r="L116">
        <v>157.98980760574301</v>
      </c>
      <c r="M116" t="s">
        <v>93</v>
      </c>
      <c r="N116">
        <v>189</v>
      </c>
      <c r="P116">
        <v>3</v>
      </c>
      <c r="Q116">
        <v>6000</v>
      </c>
      <c r="R116">
        <v>23820</v>
      </c>
      <c r="S116">
        <v>14906</v>
      </c>
      <c r="T116">
        <v>22705.599999999999</v>
      </c>
      <c r="U116">
        <v>-1</v>
      </c>
      <c r="V116">
        <v>-1</v>
      </c>
      <c r="W116">
        <v>-1</v>
      </c>
    </row>
    <row r="117" spans="1:23" x14ac:dyDescent="0.25">
      <c r="A117" t="s">
        <v>62</v>
      </c>
      <c r="B117" t="str" cm="1">
        <f t="array" ref="B117:F117">_xlfn.TEXTSPLIT(A117,"_")</f>
        <v>MVPRP</v>
      </c>
      <c r="C117" t="str">
        <v>C20</v>
      </c>
      <c r="D117" t="str">
        <v>P9</v>
      </c>
      <c r="E117" t="str">
        <v>V3</v>
      </c>
      <c r="F117" t="str">
        <v>I3</v>
      </c>
      <c r="G117" t="s">
        <v>114</v>
      </c>
      <c r="H117" t="s">
        <v>30</v>
      </c>
      <c r="I117">
        <v>118385.60000000001</v>
      </c>
      <c r="J117">
        <v>116196.645205269</v>
      </c>
      <c r="K117">
        <v>1.84900426633916E-2</v>
      </c>
      <c r="L117">
        <v>3600.10905885696</v>
      </c>
      <c r="M117" t="s">
        <v>119</v>
      </c>
      <c r="N117">
        <v>189</v>
      </c>
      <c r="P117">
        <v>3</v>
      </c>
      <c r="Q117">
        <v>9000</v>
      </c>
      <c r="R117">
        <v>48120</v>
      </c>
      <c r="S117">
        <v>23767</v>
      </c>
      <c r="T117">
        <v>37498.6</v>
      </c>
      <c r="U117">
        <v>-1</v>
      </c>
      <c r="V117">
        <v>-1</v>
      </c>
      <c r="W117">
        <v>-1</v>
      </c>
    </row>
    <row r="118" spans="1:23" x14ac:dyDescent="0.25">
      <c r="A118" t="s">
        <v>63</v>
      </c>
      <c r="B118" t="str" cm="1">
        <f t="array" ref="B118:F118">_xlfn.TEXTSPLIT(A118,"_")</f>
        <v>MVPRP</v>
      </c>
      <c r="C118" t="str">
        <v>C40</v>
      </c>
      <c r="D118" t="str">
        <v>P6</v>
      </c>
      <c r="E118" t="str">
        <v>V3</v>
      </c>
      <c r="F118" t="str">
        <v>I3</v>
      </c>
      <c r="G118" t="s">
        <v>114</v>
      </c>
      <c r="H118" t="s">
        <v>30</v>
      </c>
      <c r="I118">
        <v>128975.8</v>
      </c>
      <c r="J118">
        <v>124991.02988835001</v>
      </c>
      <c r="K118">
        <v>3.08954866854887E-2</v>
      </c>
      <c r="L118">
        <v>3600.1782145500201</v>
      </c>
      <c r="M118" t="s">
        <v>120</v>
      </c>
      <c r="N118">
        <v>360</v>
      </c>
      <c r="P118">
        <v>3</v>
      </c>
      <c r="Q118">
        <v>9000</v>
      </c>
      <c r="R118">
        <v>55170</v>
      </c>
      <c r="S118">
        <v>30206</v>
      </c>
      <c r="T118">
        <v>34599.800000000003</v>
      </c>
      <c r="U118">
        <v>-1</v>
      </c>
      <c r="V118">
        <v>-1</v>
      </c>
      <c r="W118">
        <v>-1</v>
      </c>
    </row>
    <row r="119" spans="1:23" x14ac:dyDescent="0.25">
      <c r="A119" t="s">
        <v>64</v>
      </c>
      <c r="B119" t="str" cm="1">
        <f t="array" ref="B119:F119">_xlfn.TEXTSPLIT(A119,"_")</f>
        <v>MVPRP</v>
      </c>
      <c r="C119" t="str">
        <v>C25</v>
      </c>
      <c r="D119" t="str">
        <v>P9</v>
      </c>
      <c r="E119" t="str">
        <v>V2</v>
      </c>
      <c r="F119" t="str">
        <v>I3</v>
      </c>
      <c r="G119" t="s">
        <v>114</v>
      </c>
      <c r="H119" t="s">
        <v>30</v>
      </c>
      <c r="I119">
        <v>150934.29999999999</v>
      </c>
      <c r="J119">
        <v>148653.752618609</v>
      </c>
      <c r="K119">
        <v>1.51095369401834E-2</v>
      </c>
      <c r="L119">
        <v>3600.1668298244499</v>
      </c>
      <c r="M119" t="s">
        <v>121</v>
      </c>
      <c r="N119">
        <v>283</v>
      </c>
      <c r="P119">
        <v>3</v>
      </c>
      <c r="Q119">
        <v>9000</v>
      </c>
      <c r="R119">
        <v>59880</v>
      </c>
      <c r="S119">
        <v>32283</v>
      </c>
      <c r="T119">
        <v>49771.3</v>
      </c>
      <c r="U119">
        <v>-1</v>
      </c>
      <c r="V119">
        <v>-1</v>
      </c>
      <c r="W119">
        <v>-1</v>
      </c>
    </row>
    <row r="120" spans="1:23" x14ac:dyDescent="0.25">
      <c r="A120" t="s">
        <v>65</v>
      </c>
      <c r="B120" t="str" cm="1">
        <f t="array" ref="B120:F120">_xlfn.TEXTSPLIT(A120,"_")</f>
        <v>MVPRP</v>
      </c>
      <c r="C120" t="str">
        <v>C40</v>
      </c>
      <c r="D120" t="str">
        <v>P6</v>
      </c>
      <c r="E120" t="str">
        <v>V4</v>
      </c>
      <c r="F120" t="str">
        <v>I3</v>
      </c>
      <c r="G120" t="s">
        <v>114</v>
      </c>
      <c r="H120" t="s">
        <v>30</v>
      </c>
      <c r="I120">
        <v>129828.6</v>
      </c>
      <c r="J120">
        <v>126803.59326280199</v>
      </c>
      <c r="K120">
        <v>2.33000027513026E-2</v>
      </c>
      <c r="L120">
        <v>3600.2115981591205</v>
      </c>
      <c r="M120" t="s">
        <v>130</v>
      </c>
      <c r="N120">
        <v>270</v>
      </c>
      <c r="P120">
        <v>3</v>
      </c>
      <c r="Q120">
        <v>6000</v>
      </c>
      <c r="R120">
        <v>55170</v>
      </c>
      <c r="S120">
        <v>30098</v>
      </c>
      <c r="T120">
        <v>38560.6</v>
      </c>
      <c r="U120">
        <v>-1</v>
      </c>
      <c r="V120">
        <v>-1</v>
      </c>
      <c r="W120">
        <v>-1</v>
      </c>
    </row>
    <row r="121" spans="1:23" x14ac:dyDescent="0.25">
      <c r="A121" t="s">
        <v>66</v>
      </c>
      <c r="B121" t="str" cm="1">
        <f t="array" ref="B121:F121">_xlfn.TEXTSPLIT(A121,"_")</f>
        <v>MVPRP</v>
      </c>
      <c r="C121" t="str">
        <v>C15</v>
      </c>
      <c r="D121" t="str">
        <v>P9</v>
      </c>
      <c r="E121" t="str">
        <v>V3</v>
      </c>
      <c r="F121" t="str">
        <v>I3</v>
      </c>
      <c r="G121" t="s">
        <v>114</v>
      </c>
      <c r="H121" t="s">
        <v>30</v>
      </c>
      <c r="I121">
        <v>111004.199181149</v>
      </c>
      <c r="J121">
        <v>106385.350874443</v>
      </c>
      <c r="K121">
        <v>4.1609671893295903E-2</v>
      </c>
      <c r="L121">
        <v>3600.1076374054001</v>
      </c>
      <c r="M121" t="s">
        <v>122</v>
      </c>
      <c r="N121">
        <v>132</v>
      </c>
      <c r="P121">
        <v>3</v>
      </c>
      <c r="Q121">
        <v>9000</v>
      </c>
      <c r="R121">
        <v>40949.999999999804</v>
      </c>
      <c r="S121">
        <v>22546.0001845714</v>
      </c>
      <c r="T121">
        <v>38508.198996577601</v>
      </c>
      <c r="U121">
        <v>-1</v>
      </c>
      <c r="V121">
        <v>-1</v>
      </c>
      <c r="W121">
        <v>-1</v>
      </c>
    </row>
    <row r="122" spans="1:23" x14ac:dyDescent="0.25">
      <c r="A122" t="s">
        <v>67</v>
      </c>
      <c r="B122" t="str" cm="1">
        <f t="array" ref="B122:F122">_xlfn.TEXTSPLIT(A122,"_")</f>
        <v>MVPRP</v>
      </c>
      <c r="C122" t="str">
        <v>C35</v>
      </c>
      <c r="D122" t="str">
        <v>P3</v>
      </c>
      <c r="E122" t="str">
        <v>V4</v>
      </c>
      <c r="F122" t="str">
        <v>I3</v>
      </c>
      <c r="G122" t="s">
        <v>114</v>
      </c>
      <c r="H122" t="s">
        <v>30</v>
      </c>
      <c r="I122">
        <v>51474.999247036299</v>
      </c>
      <c r="J122">
        <v>50756.976643672097</v>
      </c>
      <c r="K122">
        <v>1.39489580158776E-2</v>
      </c>
      <c r="L122">
        <v>3600.9872873662284</v>
      </c>
      <c r="M122" t="s">
        <v>131</v>
      </c>
      <c r="N122">
        <v>207</v>
      </c>
      <c r="P122">
        <v>3</v>
      </c>
      <c r="Q122">
        <v>3000</v>
      </c>
      <c r="R122">
        <v>21600</v>
      </c>
      <c r="S122">
        <v>8387</v>
      </c>
      <c r="T122">
        <v>18487.999247036299</v>
      </c>
      <c r="U122">
        <v>-1</v>
      </c>
      <c r="V122">
        <v>-1</v>
      </c>
      <c r="W122">
        <v>-1</v>
      </c>
    </row>
    <row r="123" spans="1:23" x14ac:dyDescent="0.25">
      <c r="A123" t="s">
        <v>68</v>
      </c>
      <c r="B123" t="str" cm="1">
        <f t="array" ref="B123:F123">_xlfn.TEXTSPLIT(A123,"_")</f>
        <v>MVPRP</v>
      </c>
      <c r="C123" t="str">
        <v>C20</v>
      </c>
      <c r="D123" t="str">
        <v>P9</v>
      </c>
      <c r="E123" t="str">
        <v>V2</v>
      </c>
      <c r="F123" t="str">
        <v>I3</v>
      </c>
      <c r="G123" t="s">
        <v>114</v>
      </c>
      <c r="H123" t="s">
        <v>28</v>
      </c>
      <c r="I123">
        <v>123956.3</v>
      </c>
      <c r="J123">
        <v>123956.3</v>
      </c>
      <c r="K123">
        <v>0</v>
      </c>
      <c r="L123">
        <v>596.55866026878402</v>
      </c>
      <c r="M123" t="s">
        <v>94</v>
      </c>
      <c r="N123">
        <v>283</v>
      </c>
      <c r="P123">
        <v>3</v>
      </c>
      <c r="Q123">
        <v>9000</v>
      </c>
      <c r="R123">
        <v>48120</v>
      </c>
      <c r="S123">
        <v>23774</v>
      </c>
      <c r="T123">
        <v>43062.3</v>
      </c>
      <c r="U123">
        <v>-1</v>
      </c>
      <c r="V123">
        <v>-1</v>
      </c>
      <c r="W123">
        <v>-1</v>
      </c>
    </row>
    <row r="124" spans="1:23" x14ac:dyDescent="0.25">
      <c r="A124" t="s">
        <v>69</v>
      </c>
      <c r="B124" t="str" cm="1">
        <f t="array" ref="B124:F124">_xlfn.TEXTSPLIT(A124,"_")</f>
        <v>MVPRP</v>
      </c>
      <c r="C124" t="str">
        <v>C45</v>
      </c>
      <c r="D124" t="str">
        <v>P3</v>
      </c>
      <c r="E124" t="str">
        <v>V4</v>
      </c>
      <c r="F124" t="str">
        <v>I3</v>
      </c>
      <c r="G124" t="s">
        <v>114</v>
      </c>
      <c r="H124" t="s">
        <v>30</v>
      </c>
      <c r="I124">
        <v>72344</v>
      </c>
      <c r="J124">
        <v>71407.436999962098</v>
      </c>
      <c r="K124">
        <v>1.2945966493943599E-2</v>
      </c>
      <c r="L124">
        <v>3600.6180295047293</v>
      </c>
      <c r="M124" t="s">
        <v>132</v>
      </c>
      <c r="N124">
        <v>270</v>
      </c>
      <c r="P124">
        <v>3</v>
      </c>
      <c r="Q124">
        <v>3000</v>
      </c>
      <c r="R124">
        <v>33060</v>
      </c>
      <c r="S124">
        <v>12173</v>
      </c>
      <c r="T124">
        <v>24111</v>
      </c>
      <c r="U124">
        <v>-1</v>
      </c>
      <c r="V124">
        <v>-1</v>
      </c>
      <c r="W124">
        <v>-1</v>
      </c>
    </row>
    <row r="125" spans="1:23" x14ac:dyDescent="0.25">
      <c r="A125" t="s">
        <v>70</v>
      </c>
      <c r="B125" t="str" cm="1">
        <f t="array" ref="B125:F125">_xlfn.TEXTSPLIT(A125,"_")</f>
        <v>MVPRP</v>
      </c>
      <c r="C125" t="str">
        <v>C10</v>
      </c>
      <c r="D125" t="str">
        <v>P9</v>
      </c>
      <c r="E125" t="str">
        <v>V3</v>
      </c>
      <c r="F125" t="str">
        <v>I3</v>
      </c>
      <c r="G125" t="s">
        <v>114</v>
      </c>
      <c r="H125" t="s">
        <v>28</v>
      </c>
      <c r="I125">
        <v>73128.100000000006</v>
      </c>
      <c r="J125">
        <v>73128.099999999904</v>
      </c>
      <c r="K125">
        <v>0</v>
      </c>
      <c r="L125">
        <v>30.519408702850299</v>
      </c>
      <c r="M125" t="s">
        <v>95</v>
      </c>
      <c r="N125">
        <v>132</v>
      </c>
      <c r="P125">
        <v>3</v>
      </c>
      <c r="Q125">
        <v>9000</v>
      </c>
      <c r="R125">
        <v>26370</v>
      </c>
      <c r="S125">
        <v>14133</v>
      </c>
      <c r="T125">
        <v>23625.1</v>
      </c>
      <c r="U125">
        <v>-1</v>
      </c>
      <c r="V125">
        <v>-1</v>
      </c>
      <c r="W125">
        <v>-1</v>
      </c>
    </row>
    <row r="126" spans="1:23" x14ac:dyDescent="0.25">
      <c r="A126" t="s">
        <v>71</v>
      </c>
      <c r="B126" t="str" cm="1">
        <f t="array" ref="B126:F126">_xlfn.TEXTSPLIT(A126,"_")</f>
        <v>MVPRP</v>
      </c>
      <c r="C126" t="str">
        <v>C10</v>
      </c>
      <c r="D126" t="str">
        <v>P9</v>
      </c>
      <c r="E126" t="str">
        <v>V2</v>
      </c>
      <c r="F126" t="str">
        <v>I3</v>
      </c>
      <c r="G126" t="s">
        <v>114</v>
      </c>
      <c r="H126" t="s">
        <v>28</v>
      </c>
      <c r="I126">
        <v>76545.5</v>
      </c>
      <c r="J126">
        <v>76545.5</v>
      </c>
      <c r="K126">
        <v>0</v>
      </c>
      <c r="L126">
        <v>13.2579572200775</v>
      </c>
      <c r="M126" t="s">
        <v>96</v>
      </c>
      <c r="N126">
        <v>198</v>
      </c>
      <c r="P126">
        <v>3</v>
      </c>
      <c r="Q126">
        <v>9000</v>
      </c>
      <c r="R126">
        <v>26370</v>
      </c>
      <c r="S126">
        <v>14099</v>
      </c>
      <c r="T126">
        <v>27076.5</v>
      </c>
      <c r="U126">
        <v>-1</v>
      </c>
      <c r="V126">
        <v>-1</v>
      </c>
      <c r="W126">
        <v>-1</v>
      </c>
    </row>
    <row r="127" spans="1:23" x14ac:dyDescent="0.25">
      <c r="A127" t="s">
        <v>72</v>
      </c>
      <c r="B127" t="str" cm="1">
        <f t="array" ref="B127:F127">_xlfn.TEXTSPLIT(A127,"_")</f>
        <v>MVPRP</v>
      </c>
      <c r="C127" t="str">
        <v>C25</v>
      </c>
      <c r="D127" t="str">
        <v>P9</v>
      </c>
      <c r="E127" t="str">
        <v>V3</v>
      </c>
      <c r="F127" t="str">
        <v>I3</v>
      </c>
      <c r="G127" t="s">
        <v>114</v>
      </c>
      <c r="H127" t="s">
        <v>30</v>
      </c>
      <c r="I127">
        <v>144347.20000000001</v>
      </c>
      <c r="J127">
        <v>138103.36741254199</v>
      </c>
      <c r="K127">
        <v>4.3255654335227003E-2</v>
      </c>
      <c r="L127">
        <v>3600.4237644672398</v>
      </c>
      <c r="M127" t="s">
        <v>123</v>
      </c>
      <c r="N127">
        <v>189</v>
      </c>
      <c r="P127">
        <v>3</v>
      </c>
      <c r="Q127">
        <v>9000</v>
      </c>
      <c r="R127">
        <v>59880</v>
      </c>
      <c r="S127">
        <v>29755</v>
      </c>
      <c r="T127">
        <v>45712.2</v>
      </c>
      <c r="U127">
        <v>-1</v>
      </c>
      <c r="V127">
        <v>-1</v>
      </c>
      <c r="W127">
        <v>-1</v>
      </c>
    </row>
  </sheetData>
  <autoFilter ref="A1:AG136" xr:uid="{00000000-0001-0000-0000-000000000000}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Averages</vt:lpstr>
      <vt:lpstr>Solved</vt:lpstr>
      <vt:lpstr>benders_bc_ParetoOpt_DelayedSol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Rocha, Luis</cp:lastModifiedBy>
  <cp:revision>1</cp:revision>
  <dcterms:modified xsi:type="dcterms:W3CDTF">2026-02-04T15:55:49Z</dcterms:modified>
  <dc:language>en-US</dc:language>
</cp:coreProperties>
</file>