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Ex1.xml" ContentType="application/vnd.ms-office.chartex+xml"/>
  <Override PartName="/xl/charts/style2.xml" ContentType="application/vnd.ms-office.chartstyle+xml"/>
  <Override PartName="/xl/charts/colors2.xml" ContentType="application/vnd.ms-office.chartcolorstyle+xml"/>
  <Override PartName="/xl/charts/chartEx2.xml" ContentType="application/vnd.ms-office.chartex+xml"/>
  <Override PartName="/xl/charts/style3.xml" ContentType="application/vnd.ms-office.chartstyle+xml"/>
  <Override PartName="/xl/charts/colors3.xml" ContentType="application/vnd.ms-office.chartcolorstyle+xml"/>
  <Override PartName="/xl/charts/chartEx3.xml" ContentType="application/vnd.ms-office.chartex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cuments\000_Passau\Research\DataAnalytics\StochPRP\"/>
    </mc:Choice>
  </mc:AlternateContent>
  <xr:revisionPtr revIDLastSave="0" documentId="13_ncr:1_{D446527B-7BBC-427C-ADE9-A7013DF8D83C}" xr6:coauthVersionLast="47" xr6:coauthVersionMax="47" xr10:uidLastSave="{00000000-0000-0000-0000-000000000000}"/>
  <bookViews>
    <workbookView xWindow="-120" yWindow="-120" windowWidth="29040" windowHeight="15720" activeTab="1" xr2:uid="{01C7464B-4FDF-483F-A5C0-EACC2BA593BC}"/>
  </bookViews>
  <sheets>
    <sheet name="Pivot" sheetId="2" r:id="rId1"/>
    <sheet name="Tabelle1" sheetId="3" r:id="rId2"/>
    <sheet name="vss_calc_tab_I3_2" sheetId="1" r:id="rId3"/>
  </sheets>
  <definedNames>
    <definedName name="_xlchart.v1.0" hidden="1">vss_calc_tab_I3_2!$C$2:$C$85</definedName>
    <definedName name="_xlchart.v1.1" hidden="1">vss_calc_tab_I3_2!$O$1</definedName>
    <definedName name="_xlchart.v1.10" hidden="1">vss_calc_tab_I3_2!$G$2:$G$85</definedName>
    <definedName name="_xlchart.v1.11" hidden="1">vss_calc_tab_I3_2!$O$1</definedName>
    <definedName name="_xlchart.v1.12" hidden="1">vss_calc_tab_I3_2!$O$2:$O$85</definedName>
    <definedName name="_xlchart.v1.13" hidden="1">vss_calc_tab_I3_2!$Q$1</definedName>
    <definedName name="_xlchart.v1.14" hidden="1">vss_calc_tab_I3_2!$Q$2:$Q$85</definedName>
    <definedName name="_xlchart.v1.2" hidden="1">vss_calc_tab_I3_2!$O$2:$O$85</definedName>
    <definedName name="_xlchart.v1.3" hidden="1">vss_calc_tab_I3_2!$Q$1</definedName>
    <definedName name="_xlchart.v1.4" hidden="1">vss_calc_tab_I3_2!$Q$2:$Q$85</definedName>
    <definedName name="_xlchart.v1.5" hidden="1">vss_calc_tab_I3_2!$D$2:$D$85</definedName>
    <definedName name="_xlchart.v1.6" hidden="1">vss_calc_tab_I3_2!$O$1</definedName>
    <definedName name="_xlchart.v1.7" hidden="1">vss_calc_tab_I3_2!$O$2:$O$85</definedName>
    <definedName name="_xlchart.v1.8" hidden="1">vss_calc_tab_I3_2!$Q$1</definedName>
    <definedName name="_xlchart.v1.9" hidden="1">vss_calc_tab_I3_2!$Q$2:$Q$85</definedName>
  </definedNames>
  <calcPr calcId="191029"/>
  <pivotCaches>
    <pivotCache cacheId="2" r:id="rId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2" i="1" l="1"/>
  <c r="B3" i="1" a="1"/>
  <c r="B3" i="1" s="1"/>
  <c r="B4" i="1" a="1"/>
  <c r="B4" i="1" s="1"/>
  <c r="B5" i="1" a="1"/>
  <c r="B5" i="1" s="1"/>
  <c r="B6" i="1" a="1"/>
  <c r="B6" i="1" s="1"/>
  <c r="B7" i="1" a="1"/>
  <c r="B7" i="1" s="1"/>
  <c r="B8" i="1" a="1"/>
  <c r="B8" i="1" s="1"/>
  <c r="B9" i="1" a="1"/>
  <c r="B9" i="1" s="1"/>
  <c r="B10" i="1" a="1"/>
  <c r="B10" i="1" s="1"/>
  <c r="B11" i="1" a="1"/>
  <c r="B11" i="1" s="1"/>
  <c r="B12" i="1" a="1"/>
  <c r="B12" i="1" s="1"/>
  <c r="B13" i="1" a="1"/>
  <c r="B13" i="1" s="1"/>
  <c r="B14" i="1" a="1"/>
  <c r="B14" i="1" s="1"/>
  <c r="B15" i="1" a="1"/>
  <c r="B15" i="1" s="1"/>
  <c r="B16" i="1" a="1"/>
  <c r="B16" i="1" s="1"/>
  <c r="B17" i="1" a="1"/>
  <c r="B17" i="1" s="1"/>
  <c r="B18" i="1" a="1"/>
  <c r="B18" i="1" s="1"/>
  <c r="B19" i="1" a="1"/>
  <c r="B19" i="1" s="1"/>
  <c r="B20" i="1" a="1"/>
  <c r="B20" i="1" s="1"/>
  <c r="B21" i="1" a="1"/>
  <c r="B21" i="1" s="1"/>
  <c r="B22" i="1" a="1"/>
  <c r="B22" i="1" s="1"/>
  <c r="B23" i="1" a="1"/>
  <c r="B23" i="1" s="1"/>
  <c r="B24" i="1" a="1"/>
  <c r="B24" i="1" s="1"/>
  <c r="B25" i="1" a="1"/>
  <c r="B25" i="1" s="1"/>
  <c r="B26" i="1" a="1"/>
  <c r="B26" i="1" s="1"/>
  <c r="B27" i="1" a="1"/>
  <c r="B27" i="1" s="1"/>
  <c r="B28" i="1" a="1"/>
  <c r="B28" i="1" s="1"/>
  <c r="B29" i="1" a="1"/>
  <c r="B29" i="1" s="1"/>
  <c r="B30" i="1" a="1"/>
  <c r="B30" i="1" s="1"/>
  <c r="B31" i="1" a="1"/>
  <c r="B31" i="1" s="1"/>
  <c r="B32" i="1" a="1"/>
  <c r="B32" i="1" s="1"/>
  <c r="B33" i="1" a="1"/>
  <c r="B33" i="1" s="1"/>
  <c r="B34" i="1" a="1"/>
  <c r="B34" i="1" s="1"/>
  <c r="B35" i="1" a="1"/>
  <c r="B35" i="1" s="1"/>
  <c r="B36" i="1" a="1"/>
  <c r="B36" i="1" s="1"/>
  <c r="B37" i="1" a="1"/>
  <c r="B37" i="1" s="1"/>
  <c r="B38" i="1" a="1"/>
  <c r="B38" i="1" s="1"/>
  <c r="B39" i="1" a="1"/>
  <c r="B39" i="1" s="1"/>
  <c r="B40" i="1" a="1"/>
  <c r="B40" i="1" s="1"/>
  <c r="B41" i="1" a="1"/>
  <c r="B41" i="1" s="1"/>
  <c r="B42" i="1" a="1"/>
  <c r="B42" i="1" s="1"/>
  <c r="B43" i="1" a="1"/>
  <c r="B43" i="1" s="1"/>
  <c r="B44" i="1" a="1"/>
  <c r="B44" i="1" s="1"/>
  <c r="B45" i="1" a="1"/>
  <c r="B45" i="1" s="1"/>
  <c r="B46" i="1" a="1"/>
  <c r="B46" i="1" s="1"/>
  <c r="B47" i="1" a="1"/>
  <c r="B47" i="1" s="1"/>
  <c r="B48" i="1" a="1"/>
  <c r="B48" i="1" s="1"/>
  <c r="B49" i="1" a="1"/>
  <c r="B49" i="1" s="1"/>
  <c r="B50" i="1" a="1"/>
  <c r="B50" i="1" s="1"/>
  <c r="B51" i="1" a="1"/>
  <c r="B51" i="1" s="1"/>
  <c r="B52" i="1" a="1"/>
  <c r="B52" i="1" s="1"/>
  <c r="B53" i="1" a="1"/>
  <c r="B53" i="1" s="1"/>
  <c r="B54" i="1" a="1"/>
  <c r="B54" i="1" s="1"/>
  <c r="B55" i="1" a="1"/>
  <c r="B55" i="1" s="1"/>
  <c r="B56" i="1" a="1"/>
  <c r="B56" i="1" s="1"/>
  <c r="B57" i="1" a="1"/>
  <c r="B57" i="1" s="1"/>
  <c r="B58" i="1" a="1"/>
  <c r="B58" i="1" s="1"/>
  <c r="B59" i="1" a="1"/>
  <c r="B59" i="1" s="1"/>
  <c r="B60" i="1" a="1"/>
  <c r="B60" i="1" s="1"/>
  <c r="B61" i="1" a="1"/>
  <c r="B61" i="1" s="1"/>
  <c r="B62" i="1" a="1"/>
  <c r="B62" i="1" s="1"/>
  <c r="B63" i="1" a="1"/>
  <c r="B63" i="1" s="1"/>
  <c r="B64" i="1" a="1"/>
  <c r="B64" i="1" s="1"/>
  <c r="B65" i="1" a="1"/>
  <c r="B65" i="1" s="1"/>
  <c r="B66" i="1" a="1"/>
  <c r="B66" i="1" s="1"/>
  <c r="B67" i="1" a="1"/>
  <c r="B67" i="1" s="1"/>
  <c r="B68" i="1" a="1"/>
  <c r="B68" i="1" s="1"/>
  <c r="B69" i="1" a="1"/>
  <c r="B69" i="1" s="1"/>
  <c r="B70" i="1" a="1"/>
  <c r="B70" i="1" s="1"/>
  <c r="B71" i="1" a="1"/>
  <c r="B71" i="1" s="1"/>
  <c r="B72" i="1" a="1"/>
  <c r="B72" i="1" s="1"/>
  <c r="B73" i="1" a="1"/>
  <c r="B73" i="1" s="1"/>
  <c r="B74" i="1" a="1"/>
  <c r="B74" i="1" s="1"/>
  <c r="B75" i="1" a="1"/>
  <c r="B75" i="1" s="1"/>
  <c r="B76" i="1" a="1"/>
  <c r="B76" i="1" s="1"/>
  <c r="B77" i="1" a="1"/>
  <c r="B77" i="1" s="1"/>
  <c r="B78" i="1" a="1"/>
  <c r="B78" i="1" s="1"/>
  <c r="B79" i="1" a="1"/>
  <c r="B79" i="1" s="1"/>
  <c r="B80" i="1" a="1"/>
  <c r="B80" i="1" s="1"/>
  <c r="B81" i="1" a="1"/>
  <c r="B81" i="1" s="1"/>
  <c r="B82" i="1" a="1"/>
  <c r="B82" i="1" s="1"/>
  <c r="B83" i="1" a="1"/>
  <c r="B83" i="1" s="1"/>
  <c r="B84" i="1" a="1"/>
  <c r="B84" i="1" s="1"/>
  <c r="B85" i="1" a="1"/>
  <c r="B85" i="1" s="1"/>
  <c r="B2" i="1" a="1"/>
  <c r="B2" i="1" s="1"/>
  <c r="P3" i="1"/>
  <c r="Q3" i="1" s="1"/>
  <c r="P4" i="1"/>
  <c r="Q4" i="1" s="1"/>
  <c r="P5" i="1"/>
  <c r="Q5" i="1" s="1"/>
  <c r="P6" i="1"/>
  <c r="Q6" i="1" s="1"/>
  <c r="P7" i="1"/>
  <c r="Q7" i="1" s="1"/>
  <c r="P8" i="1"/>
  <c r="Q8" i="1" s="1"/>
  <c r="P9" i="1"/>
  <c r="Q9" i="1" s="1"/>
  <c r="P10" i="1"/>
  <c r="Q10" i="1" s="1"/>
  <c r="P11" i="1"/>
  <c r="Q11" i="1" s="1"/>
  <c r="P12" i="1"/>
  <c r="Q12" i="1" s="1"/>
  <c r="P13" i="1"/>
  <c r="Q13" i="1" s="1"/>
  <c r="P14" i="1"/>
  <c r="Q14" i="1" s="1"/>
  <c r="P15" i="1"/>
  <c r="Q15" i="1" s="1"/>
  <c r="P16" i="1"/>
  <c r="Q16" i="1" s="1"/>
  <c r="P17" i="1"/>
  <c r="Q17" i="1" s="1"/>
  <c r="P18" i="1"/>
  <c r="Q18" i="1" s="1"/>
  <c r="P19" i="1"/>
  <c r="Q19" i="1" s="1"/>
  <c r="P20" i="1"/>
  <c r="Q20" i="1" s="1"/>
  <c r="P21" i="1"/>
  <c r="Q21" i="1" s="1"/>
  <c r="P22" i="1"/>
  <c r="Q22" i="1" s="1"/>
  <c r="P23" i="1"/>
  <c r="Q23" i="1" s="1"/>
  <c r="P24" i="1"/>
  <c r="Q24" i="1" s="1"/>
  <c r="P25" i="1"/>
  <c r="Q25" i="1" s="1"/>
  <c r="P26" i="1"/>
  <c r="Q26" i="1" s="1"/>
  <c r="P27" i="1"/>
  <c r="Q27" i="1" s="1"/>
  <c r="P28" i="1"/>
  <c r="Q28" i="1" s="1"/>
  <c r="P29" i="1"/>
  <c r="Q29" i="1" s="1"/>
  <c r="P30" i="1"/>
  <c r="Q30" i="1" s="1"/>
  <c r="P31" i="1"/>
  <c r="Q31" i="1" s="1"/>
  <c r="P32" i="1"/>
  <c r="Q32" i="1" s="1"/>
  <c r="P33" i="1"/>
  <c r="Q33" i="1" s="1"/>
  <c r="P34" i="1"/>
  <c r="Q34" i="1" s="1"/>
  <c r="P35" i="1"/>
  <c r="Q35" i="1" s="1"/>
  <c r="P36" i="1"/>
  <c r="Q36" i="1" s="1"/>
  <c r="P37" i="1"/>
  <c r="Q37" i="1" s="1"/>
  <c r="P38" i="1"/>
  <c r="Q38" i="1" s="1"/>
  <c r="P39" i="1"/>
  <c r="Q39" i="1" s="1"/>
  <c r="P40" i="1"/>
  <c r="Q40" i="1" s="1"/>
  <c r="P41" i="1"/>
  <c r="Q41" i="1" s="1"/>
  <c r="P42" i="1"/>
  <c r="Q42" i="1" s="1"/>
  <c r="P43" i="1"/>
  <c r="Q43" i="1" s="1"/>
  <c r="P44" i="1"/>
  <c r="Q44" i="1" s="1"/>
  <c r="P45" i="1"/>
  <c r="Q45" i="1" s="1"/>
  <c r="P46" i="1"/>
  <c r="Q46" i="1" s="1"/>
  <c r="P47" i="1"/>
  <c r="Q47" i="1" s="1"/>
  <c r="P48" i="1"/>
  <c r="Q48" i="1" s="1"/>
  <c r="P49" i="1"/>
  <c r="Q49" i="1" s="1"/>
  <c r="P50" i="1"/>
  <c r="Q50" i="1" s="1"/>
  <c r="P51" i="1"/>
  <c r="Q51" i="1" s="1"/>
  <c r="P52" i="1"/>
  <c r="Q52" i="1" s="1"/>
  <c r="P53" i="1"/>
  <c r="Q53" i="1" s="1"/>
  <c r="P54" i="1"/>
  <c r="Q54" i="1" s="1"/>
  <c r="P55" i="1"/>
  <c r="Q55" i="1" s="1"/>
  <c r="P56" i="1"/>
  <c r="Q56" i="1" s="1"/>
  <c r="P57" i="1"/>
  <c r="Q57" i="1" s="1"/>
  <c r="P58" i="1"/>
  <c r="Q58" i="1" s="1"/>
  <c r="P59" i="1"/>
  <c r="Q59" i="1" s="1"/>
  <c r="P60" i="1"/>
  <c r="Q60" i="1" s="1"/>
  <c r="P61" i="1"/>
  <c r="Q61" i="1" s="1"/>
  <c r="P62" i="1"/>
  <c r="Q62" i="1" s="1"/>
  <c r="P63" i="1"/>
  <c r="Q63" i="1" s="1"/>
  <c r="P64" i="1"/>
  <c r="Q64" i="1" s="1"/>
  <c r="P65" i="1"/>
  <c r="Q65" i="1" s="1"/>
  <c r="P66" i="1"/>
  <c r="Q66" i="1" s="1"/>
  <c r="P67" i="1"/>
  <c r="Q67" i="1" s="1"/>
  <c r="P68" i="1"/>
  <c r="Q68" i="1" s="1"/>
  <c r="P69" i="1"/>
  <c r="Q69" i="1" s="1"/>
  <c r="P70" i="1"/>
  <c r="Q70" i="1" s="1"/>
  <c r="P71" i="1"/>
  <c r="Q71" i="1" s="1"/>
  <c r="P72" i="1"/>
  <c r="Q72" i="1" s="1"/>
  <c r="P73" i="1"/>
  <c r="Q73" i="1" s="1"/>
  <c r="P74" i="1"/>
  <c r="Q74" i="1" s="1"/>
  <c r="P75" i="1"/>
  <c r="Q75" i="1" s="1"/>
  <c r="P76" i="1"/>
  <c r="Q76" i="1" s="1"/>
  <c r="P77" i="1"/>
  <c r="Q77" i="1" s="1"/>
  <c r="P78" i="1"/>
  <c r="Q78" i="1" s="1"/>
  <c r="P79" i="1"/>
  <c r="Q79" i="1" s="1"/>
  <c r="P80" i="1"/>
  <c r="Q80" i="1" s="1"/>
  <c r="P81" i="1"/>
  <c r="Q81" i="1" s="1"/>
  <c r="P82" i="1"/>
  <c r="Q82" i="1" s="1"/>
  <c r="P83" i="1"/>
  <c r="Q83" i="1" s="1"/>
  <c r="P84" i="1"/>
  <c r="Q84" i="1" s="1"/>
  <c r="P85" i="1"/>
  <c r="Q85" i="1" s="1"/>
  <c r="P2" i="1"/>
  <c r="Q2" i="1" s="1"/>
  <c r="N3" i="1"/>
  <c r="O3" i="1" s="1"/>
  <c r="N4" i="1"/>
  <c r="O4" i="1" s="1"/>
  <c r="N5" i="1"/>
  <c r="O5" i="1" s="1"/>
  <c r="N6" i="1"/>
  <c r="O6" i="1" s="1"/>
  <c r="N7" i="1"/>
  <c r="O7" i="1" s="1"/>
  <c r="N8" i="1"/>
  <c r="O8" i="1" s="1"/>
  <c r="N9" i="1"/>
  <c r="O9" i="1" s="1"/>
  <c r="N10" i="1"/>
  <c r="O10" i="1" s="1"/>
  <c r="N11" i="1"/>
  <c r="O11" i="1" s="1"/>
  <c r="N12" i="1"/>
  <c r="O12" i="1" s="1"/>
  <c r="N13" i="1"/>
  <c r="O13" i="1" s="1"/>
  <c r="N14" i="1"/>
  <c r="O14" i="1" s="1"/>
  <c r="N15" i="1"/>
  <c r="O15" i="1" s="1"/>
  <c r="N16" i="1"/>
  <c r="O16" i="1" s="1"/>
  <c r="N17" i="1"/>
  <c r="O17" i="1" s="1"/>
  <c r="N18" i="1"/>
  <c r="O18" i="1" s="1"/>
  <c r="N19" i="1"/>
  <c r="O19" i="1" s="1"/>
  <c r="N20" i="1"/>
  <c r="O20" i="1" s="1"/>
  <c r="N21" i="1"/>
  <c r="O21" i="1" s="1"/>
  <c r="N22" i="1"/>
  <c r="O22" i="1" s="1"/>
  <c r="N23" i="1"/>
  <c r="O23" i="1" s="1"/>
  <c r="N24" i="1"/>
  <c r="O24" i="1" s="1"/>
  <c r="N25" i="1"/>
  <c r="O25" i="1" s="1"/>
  <c r="N26" i="1"/>
  <c r="O26" i="1" s="1"/>
  <c r="N27" i="1"/>
  <c r="O27" i="1" s="1"/>
  <c r="N28" i="1"/>
  <c r="O28" i="1" s="1"/>
  <c r="N29" i="1"/>
  <c r="O29" i="1" s="1"/>
  <c r="N30" i="1"/>
  <c r="O30" i="1" s="1"/>
  <c r="N31" i="1"/>
  <c r="O31" i="1" s="1"/>
  <c r="N32" i="1"/>
  <c r="O32" i="1" s="1"/>
  <c r="N33" i="1"/>
  <c r="O33" i="1" s="1"/>
  <c r="N34" i="1"/>
  <c r="O34" i="1" s="1"/>
  <c r="N35" i="1"/>
  <c r="O35" i="1" s="1"/>
  <c r="N36" i="1"/>
  <c r="O36" i="1" s="1"/>
  <c r="N37" i="1"/>
  <c r="O37" i="1" s="1"/>
  <c r="N38" i="1"/>
  <c r="O38" i="1" s="1"/>
  <c r="N39" i="1"/>
  <c r="O39" i="1" s="1"/>
  <c r="N40" i="1"/>
  <c r="O40" i="1" s="1"/>
  <c r="N41" i="1"/>
  <c r="O41" i="1" s="1"/>
  <c r="N42" i="1"/>
  <c r="O42" i="1" s="1"/>
  <c r="N43" i="1"/>
  <c r="O43" i="1" s="1"/>
  <c r="N44" i="1"/>
  <c r="O44" i="1" s="1"/>
  <c r="N45" i="1"/>
  <c r="O45" i="1" s="1"/>
  <c r="N46" i="1"/>
  <c r="O46" i="1" s="1"/>
  <c r="N47" i="1"/>
  <c r="O47" i="1" s="1"/>
  <c r="N48" i="1"/>
  <c r="O48" i="1" s="1"/>
  <c r="N49" i="1"/>
  <c r="O49" i="1" s="1"/>
  <c r="N50" i="1"/>
  <c r="O50" i="1" s="1"/>
  <c r="N51" i="1"/>
  <c r="O51" i="1" s="1"/>
  <c r="N52" i="1"/>
  <c r="O52" i="1" s="1"/>
  <c r="N53" i="1"/>
  <c r="O53" i="1" s="1"/>
  <c r="N54" i="1"/>
  <c r="O54" i="1" s="1"/>
  <c r="N55" i="1"/>
  <c r="O55" i="1" s="1"/>
  <c r="N56" i="1"/>
  <c r="O56" i="1" s="1"/>
  <c r="N57" i="1"/>
  <c r="O57" i="1" s="1"/>
  <c r="N58" i="1"/>
  <c r="O58" i="1" s="1"/>
  <c r="N59" i="1"/>
  <c r="O59" i="1" s="1"/>
  <c r="N60" i="1"/>
  <c r="O60" i="1" s="1"/>
  <c r="N61" i="1"/>
  <c r="O61" i="1" s="1"/>
  <c r="N62" i="1"/>
  <c r="O62" i="1" s="1"/>
  <c r="N63" i="1"/>
  <c r="O63" i="1" s="1"/>
  <c r="N64" i="1"/>
  <c r="O64" i="1" s="1"/>
  <c r="N65" i="1"/>
  <c r="O65" i="1" s="1"/>
  <c r="N66" i="1"/>
  <c r="O66" i="1" s="1"/>
  <c r="N67" i="1"/>
  <c r="O67" i="1" s="1"/>
  <c r="N68" i="1"/>
  <c r="O68" i="1" s="1"/>
  <c r="N69" i="1"/>
  <c r="O69" i="1" s="1"/>
  <c r="N70" i="1"/>
  <c r="O70" i="1" s="1"/>
  <c r="N71" i="1"/>
  <c r="O71" i="1" s="1"/>
  <c r="N72" i="1"/>
  <c r="O72" i="1" s="1"/>
  <c r="N73" i="1"/>
  <c r="O73" i="1" s="1"/>
  <c r="N74" i="1"/>
  <c r="O74" i="1" s="1"/>
  <c r="N75" i="1"/>
  <c r="O75" i="1" s="1"/>
  <c r="N76" i="1"/>
  <c r="O76" i="1" s="1"/>
  <c r="N77" i="1"/>
  <c r="O77" i="1" s="1"/>
  <c r="N78" i="1"/>
  <c r="O78" i="1" s="1"/>
  <c r="N79" i="1"/>
  <c r="O79" i="1" s="1"/>
  <c r="N80" i="1"/>
  <c r="O80" i="1" s="1"/>
  <c r="N81" i="1"/>
  <c r="O81" i="1" s="1"/>
  <c r="N82" i="1"/>
  <c r="O82" i="1" s="1"/>
  <c r="N83" i="1"/>
  <c r="O83" i="1" s="1"/>
  <c r="N84" i="1"/>
  <c r="O84" i="1" s="1"/>
  <c r="N85" i="1"/>
  <c r="O85" i="1" s="1"/>
  <c r="N2" i="1"/>
  <c r="O2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<sst xmlns="http://schemas.openxmlformats.org/spreadsheetml/2006/main" count="141" uniqueCount="67">
  <si>
    <t>instance</t>
  </si>
  <si>
    <t>recoursegamma</t>
  </si>
  <si>
    <t>ub_vss_calc</t>
  </si>
  <si>
    <t>ub_hprp</t>
  </si>
  <si>
    <t>lb_vss_calc</t>
  </si>
  <si>
    <t>lb_hprp</t>
  </si>
  <si>
    <t>vss</t>
  </si>
  <si>
    <t>vss%</t>
  </si>
  <si>
    <t>runtime_vss_calc</t>
  </si>
  <si>
    <t>runtime_hprp</t>
  </si>
  <si>
    <t>gap_vss_calc</t>
  </si>
  <si>
    <t>gap_hprp</t>
  </si>
  <si>
    <t>MVPRP_C10_P3_V3_I3</t>
  </si>
  <si>
    <t>MVPRP_C10_P6_V3_I3</t>
  </si>
  <si>
    <t>MVPRP_C10_P9_V3_I3</t>
  </si>
  <si>
    <t>MVPRP_C15_P3_V3_I3</t>
  </si>
  <si>
    <t>MVPRP_C15_P6_V3_I3</t>
  </si>
  <si>
    <t>MVPRP_C15_P9_V3_I3</t>
  </si>
  <si>
    <t>MVPRP_C20_P3_V3_I3</t>
  </si>
  <si>
    <t>MVPRP_C20_P6_V3_I3</t>
  </si>
  <si>
    <t>MVPRP_C20_P9_V3_I3</t>
  </si>
  <si>
    <t>MVPRP_C25_P3_V3_I3</t>
  </si>
  <si>
    <t>MVPRP_C25_P6_V3_I3</t>
  </si>
  <si>
    <t>MVPRP_C25_P9_V3_I3</t>
  </si>
  <si>
    <t>MVPRP_C30_P3_V3_I3</t>
  </si>
  <si>
    <t>MVPRP_C30_P6_V3_I3</t>
  </si>
  <si>
    <t>MVPRP_C30_P9_V3_I3</t>
  </si>
  <si>
    <t>MVPRP_C35_P3_V3_I3</t>
  </si>
  <si>
    <t>MVPRP_C35_P6_V3_I3</t>
  </si>
  <si>
    <t>MVPRP_C40_P3_V3_I3</t>
  </si>
  <si>
    <t>MVPRP_C40_P6_V3_I3</t>
  </si>
  <si>
    <t>MVPRP_C45_P3_V3_I3</t>
  </si>
  <si>
    <t>5,25355e-05</t>
  </si>
  <si>
    <t>MVPRP_C50_P3_V3_I3</t>
  </si>
  <si>
    <t>7,59544e-05</t>
  </si>
  <si>
    <t>vss_Max</t>
  </si>
  <si>
    <t>vss%_Max</t>
  </si>
  <si>
    <t>vss_Min</t>
  </si>
  <si>
    <t>vss%_Min</t>
  </si>
  <si>
    <t>Zeilenbeschriftungen</t>
  </si>
  <si>
    <t>Gesamtergebnis</t>
  </si>
  <si>
    <t>Mittelwert von vss%_Min</t>
  </si>
  <si>
    <t>Mittelwert von vss%_Max</t>
  </si>
  <si>
    <t>Inst String</t>
  </si>
  <si>
    <t>Customers</t>
  </si>
  <si>
    <t>Periods</t>
  </si>
  <si>
    <t>Vehicle</t>
  </si>
  <si>
    <t>Inst Type</t>
  </si>
  <si>
    <t>P3</t>
  </si>
  <si>
    <t>P6</t>
  </si>
  <si>
    <t>P9</t>
  </si>
  <si>
    <t>Mittelwert von gap_hprp</t>
  </si>
  <si>
    <t>Mittelwert von gap_vss_calc</t>
  </si>
  <si>
    <t>Mittelwert von vss_Max</t>
  </si>
  <si>
    <t>Total</t>
  </si>
  <si>
    <t>Period</t>
  </si>
  <si>
    <t>\sigma</t>
  </si>
  <si>
    <t>VSS</t>
  </si>
  <si>
    <t>VSS_{max}</t>
  </si>
  <si>
    <t>VSS [%]</t>
  </si>
  <si>
    <t>VSS_{max} [%]</t>
  </si>
  <si>
    <t>Gap EVP</t>
  </si>
  <si>
    <t>Gap SPRP-V</t>
  </si>
  <si>
    <t>Grand Total</t>
  </si>
  <si>
    <t>I1</t>
  </si>
  <si>
    <t>I3</t>
  </si>
  <si>
    <t>Mittelwert von vss_Min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</si>
</sst>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0" fontId="0" fillId="0" borderId="0" xfId="0" quotePrefix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0" xfId="0" applyNumberFormat="1"/>
    <xf numFmtId="1" fontId="0" fillId="0" borderId="0" xfId="0" applyNumberFormat="1"/>
    <xf numFmtId="2" fontId="0" fillId="0" borderId="0" xfId="0" applyNumberFormat="1"/>
    <xf numFmtId="0" fontId="0" fillId="0" borderId="0" xfId="0" applyAlignment="1">
      <alignment horizontal="center"/>
    </xf>
  </cellXfs>
  <cellStyles count="42">
    <cellStyle name="20 % - Akzent1" xfId="19" builtinId="30" customBuiltin="1"/>
    <cellStyle name="20 % - Akzent2" xfId="23" builtinId="34" customBuiltin="1"/>
    <cellStyle name="20 % - Akzent3" xfId="27" builtinId="38" customBuiltin="1"/>
    <cellStyle name="20 % - Akzent4" xfId="31" builtinId="42" customBuiltin="1"/>
    <cellStyle name="20 % - Akzent5" xfId="35" builtinId="46" customBuiltin="1"/>
    <cellStyle name="20 % - Akzent6" xfId="39" builtinId="50" customBuiltin="1"/>
    <cellStyle name="40 % - Akzent1" xfId="20" builtinId="31" customBuiltin="1"/>
    <cellStyle name="40 % - Akzent2" xfId="24" builtinId="35" customBuiltin="1"/>
    <cellStyle name="40 % - Akzent3" xfId="28" builtinId="39" customBuiltin="1"/>
    <cellStyle name="40 % - Akzent4" xfId="32" builtinId="43" customBuiltin="1"/>
    <cellStyle name="40 % - Akzent5" xfId="36" builtinId="47" customBuiltin="1"/>
    <cellStyle name="40 % - Akzent6" xfId="40" builtinId="51" customBuiltin="1"/>
    <cellStyle name="60 % - Akzent1" xfId="21" builtinId="32" customBuiltin="1"/>
    <cellStyle name="60 % - Akzent2" xfId="25" builtinId="36" customBuiltin="1"/>
    <cellStyle name="60 % - Akzent3" xfId="29" builtinId="40" customBuiltin="1"/>
    <cellStyle name="60 % - Akzent4" xfId="33" builtinId="44" customBuiltin="1"/>
    <cellStyle name="60 % - Akzent5" xfId="37" builtinId="48" customBuiltin="1"/>
    <cellStyle name="60 % - Akzent6" xfId="41" builtinId="52" customBuiltin="1"/>
    <cellStyle name="Akzent1" xfId="18" builtinId="29" customBuiltin="1"/>
    <cellStyle name="Akzent2" xfId="22" builtinId="33" customBuiltin="1"/>
    <cellStyle name="Akzent3" xfId="26" builtinId="37" customBuiltin="1"/>
    <cellStyle name="Akzent4" xfId="30" builtinId="41" customBuiltin="1"/>
    <cellStyle name="Akzent5" xfId="34" builtinId="45" customBuiltin="1"/>
    <cellStyle name="Akzent6" xfId="38" builtinId="49" customBuiltin="1"/>
    <cellStyle name="Ausgabe" xfId="10" builtinId="21" customBuiltin="1"/>
    <cellStyle name="Berechnung" xfId="11" builtinId="22" customBuiltin="1"/>
    <cellStyle name="Eingabe" xfId="9" builtinId="20" customBuiltin="1"/>
    <cellStyle name="Ergebnis" xfId="17" builtinId="25" customBuiltin="1"/>
    <cellStyle name="Erklärender Text" xfId="16" builtinId="53" customBuiltin="1"/>
    <cellStyle name="Gut" xfId="6" builtinId="26" customBuiltin="1"/>
    <cellStyle name="Neutral" xfId="8" builtinId="28" customBuiltin="1"/>
    <cellStyle name="Notiz" xfId="15" builtinId="10" customBuiltin="1"/>
    <cellStyle name="Schlecht" xfId="7" builtinId="27" customBuiltin="1"/>
    <cellStyle name="Standard" xfId="0" builtinId="0"/>
    <cellStyle name="Überschrift" xfId="1" builtinId="15" customBuiltin="1"/>
    <cellStyle name="Überschrift 1" xfId="2" builtinId="16" customBuiltin="1"/>
    <cellStyle name="Überschrift 2" xfId="3" builtinId="17" customBuiltin="1"/>
    <cellStyle name="Überschrift 3" xfId="4" builtinId="18" customBuiltin="1"/>
    <cellStyle name="Überschrift 4" xfId="5" builtinId="19" customBuiltin="1"/>
    <cellStyle name="Verknüpfte Zelle" xfId="12" builtinId="24" customBuiltin="1"/>
    <cellStyle name="Warnender Text" xfId="14" builtinId="11" customBuiltin="1"/>
    <cellStyle name="Zelle überprüfe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Ex3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[vss_calc_tab_I3_Final.xlsx]Pivot!PivotTable7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Pivot!$B$1</c:f>
              <c:strCache>
                <c:ptCount val="1"/>
                <c:pt idx="0">
                  <c:v>Mittelwert von vss_Min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Pivot!$A$2:$A$17</c:f>
              <c:multiLvlStrCache>
                <c:ptCount val="12"/>
                <c:lvl>
                  <c:pt idx="0">
                    <c:v>1,5</c:v>
                  </c:pt>
                  <c:pt idx="1">
                    <c:v>2</c:v>
                  </c:pt>
                  <c:pt idx="2">
                    <c:v>2,5</c:v>
                  </c:pt>
                  <c:pt idx="3">
                    <c:v>3</c:v>
                  </c:pt>
                  <c:pt idx="4">
                    <c:v>1,5</c:v>
                  </c:pt>
                  <c:pt idx="5">
                    <c:v>2</c:v>
                  </c:pt>
                  <c:pt idx="6">
                    <c:v>2,5</c:v>
                  </c:pt>
                  <c:pt idx="7">
                    <c:v>3</c:v>
                  </c:pt>
                  <c:pt idx="8">
                    <c:v>1,5</c:v>
                  </c:pt>
                  <c:pt idx="9">
                    <c:v>2</c:v>
                  </c:pt>
                  <c:pt idx="10">
                    <c:v>2,5</c:v>
                  </c:pt>
                  <c:pt idx="11">
                    <c:v>3</c:v>
                  </c:pt>
                </c:lvl>
                <c:lvl>
                  <c:pt idx="0">
                    <c:v>P3</c:v>
                  </c:pt>
                  <c:pt idx="4">
                    <c:v>P6</c:v>
                  </c:pt>
                  <c:pt idx="8">
                    <c:v>P9</c:v>
                  </c:pt>
                </c:lvl>
              </c:multiLvlStrCache>
            </c:multiLvlStrRef>
          </c:cat>
          <c:val>
            <c:numRef>
              <c:f>Pivot!$B$2:$B$17</c:f>
              <c:numCache>
                <c:formatCode>General</c:formatCode>
                <c:ptCount val="12"/>
                <c:pt idx="0">
                  <c:v>964.48888888888882</c:v>
                </c:pt>
                <c:pt idx="1">
                  <c:v>1494.1333333333334</c:v>
                </c:pt>
                <c:pt idx="2">
                  <c:v>2097.5555555555557</c:v>
                </c:pt>
                <c:pt idx="3">
                  <c:v>2702.3222222222225</c:v>
                </c:pt>
                <c:pt idx="4">
                  <c:v>680.72857142857151</c:v>
                </c:pt>
                <c:pt idx="5">
                  <c:v>2040.2142857142858</c:v>
                </c:pt>
                <c:pt idx="6">
                  <c:v>3014.3714285714282</c:v>
                </c:pt>
                <c:pt idx="7">
                  <c:v>4397.1714285714279</c:v>
                </c:pt>
                <c:pt idx="8">
                  <c:v>166.32</c:v>
                </c:pt>
                <c:pt idx="9">
                  <c:v>471.82</c:v>
                </c:pt>
                <c:pt idx="10">
                  <c:v>1169.0300000000002</c:v>
                </c:pt>
                <c:pt idx="11">
                  <c:v>2828.84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D81-4949-AA5B-95513A183910}"/>
            </c:ext>
          </c:extLst>
        </c:ser>
        <c:ser>
          <c:idx val="1"/>
          <c:order val="1"/>
          <c:tx>
            <c:strRef>
              <c:f>Pivot!$C$1</c:f>
              <c:strCache>
                <c:ptCount val="1"/>
                <c:pt idx="0">
                  <c:v>Mittelwert von vss_Max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multiLvlStrRef>
              <c:f>Pivot!$A$2:$A$17</c:f>
              <c:multiLvlStrCache>
                <c:ptCount val="12"/>
                <c:lvl>
                  <c:pt idx="0">
                    <c:v>1,5</c:v>
                  </c:pt>
                  <c:pt idx="1">
                    <c:v>2</c:v>
                  </c:pt>
                  <c:pt idx="2">
                    <c:v>2,5</c:v>
                  </c:pt>
                  <c:pt idx="3">
                    <c:v>3</c:v>
                  </c:pt>
                  <c:pt idx="4">
                    <c:v>1,5</c:v>
                  </c:pt>
                  <c:pt idx="5">
                    <c:v>2</c:v>
                  </c:pt>
                  <c:pt idx="6">
                    <c:v>2,5</c:v>
                  </c:pt>
                  <c:pt idx="7">
                    <c:v>3</c:v>
                  </c:pt>
                  <c:pt idx="8">
                    <c:v>1,5</c:v>
                  </c:pt>
                  <c:pt idx="9">
                    <c:v>2</c:v>
                  </c:pt>
                  <c:pt idx="10">
                    <c:v>2,5</c:v>
                  </c:pt>
                  <c:pt idx="11">
                    <c:v>3</c:v>
                  </c:pt>
                </c:lvl>
                <c:lvl>
                  <c:pt idx="0">
                    <c:v>P3</c:v>
                  </c:pt>
                  <c:pt idx="4">
                    <c:v>P6</c:v>
                  </c:pt>
                  <c:pt idx="8">
                    <c:v>P9</c:v>
                  </c:pt>
                </c:lvl>
              </c:multiLvlStrCache>
            </c:multiLvlStrRef>
          </c:cat>
          <c:val>
            <c:numRef>
              <c:f>Pivot!$C$2:$C$17</c:f>
              <c:numCache>
                <c:formatCode>General</c:formatCode>
                <c:ptCount val="12"/>
                <c:pt idx="0">
                  <c:v>965.04444444444584</c:v>
                </c:pt>
                <c:pt idx="1">
                  <c:v>1494.5438277777782</c:v>
                </c:pt>
                <c:pt idx="2">
                  <c:v>2097.5555555555557</c:v>
                </c:pt>
                <c:pt idx="3">
                  <c:v>2702.3222822222219</c:v>
                </c:pt>
                <c:pt idx="4">
                  <c:v>2072.095418571429</c:v>
                </c:pt>
                <c:pt idx="5">
                  <c:v>2826.8097714285727</c:v>
                </c:pt>
                <c:pt idx="6">
                  <c:v>3812.5000371428573</c:v>
                </c:pt>
                <c:pt idx="7">
                  <c:v>4881.42855714286</c:v>
                </c:pt>
                <c:pt idx="8">
                  <c:v>5148.0726999999988</c:v>
                </c:pt>
                <c:pt idx="9">
                  <c:v>5682.8387599999987</c:v>
                </c:pt>
                <c:pt idx="10">
                  <c:v>6201.1276199999938</c:v>
                </c:pt>
                <c:pt idx="11">
                  <c:v>6923.5937600000007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D81-4949-AA5B-95513A183910}"/>
            </c:ext>
          </c:extLst>
        </c:ser>
        <c:ser>
          <c:idx val="2"/>
          <c:order val="2"/>
          <c:tx>
            <c:strRef>
              <c:f>Pivot!$D$1</c:f>
              <c:strCache>
                <c:ptCount val="1"/>
                <c:pt idx="0">
                  <c:v>Mittelwert von vss%_Min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multiLvlStrRef>
              <c:f>Pivot!$A$2:$A$17</c:f>
              <c:multiLvlStrCache>
                <c:ptCount val="12"/>
                <c:lvl>
                  <c:pt idx="0">
                    <c:v>1,5</c:v>
                  </c:pt>
                  <c:pt idx="1">
                    <c:v>2</c:v>
                  </c:pt>
                  <c:pt idx="2">
                    <c:v>2,5</c:v>
                  </c:pt>
                  <c:pt idx="3">
                    <c:v>3</c:v>
                  </c:pt>
                  <c:pt idx="4">
                    <c:v>1,5</c:v>
                  </c:pt>
                  <c:pt idx="5">
                    <c:v>2</c:v>
                  </c:pt>
                  <c:pt idx="6">
                    <c:v>2,5</c:v>
                  </c:pt>
                  <c:pt idx="7">
                    <c:v>3</c:v>
                  </c:pt>
                  <c:pt idx="8">
                    <c:v>1,5</c:v>
                  </c:pt>
                  <c:pt idx="9">
                    <c:v>2</c:v>
                  </c:pt>
                  <c:pt idx="10">
                    <c:v>2,5</c:v>
                  </c:pt>
                  <c:pt idx="11">
                    <c:v>3</c:v>
                  </c:pt>
                </c:lvl>
                <c:lvl>
                  <c:pt idx="0">
                    <c:v>P3</c:v>
                  </c:pt>
                  <c:pt idx="4">
                    <c:v>P6</c:v>
                  </c:pt>
                  <c:pt idx="8">
                    <c:v>P9</c:v>
                  </c:pt>
                </c:lvl>
              </c:multiLvlStrCache>
            </c:multiLvlStrRef>
          </c:cat>
          <c:val>
            <c:numRef>
              <c:f>Pivot!$D$2:$D$17</c:f>
              <c:numCache>
                <c:formatCode>General</c:formatCode>
                <c:ptCount val="12"/>
                <c:pt idx="0">
                  <c:v>1.8662036921391767</c:v>
                </c:pt>
                <c:pt idx="1">
                  <c:v>2.8370769149689927</c:v>
                </c:pt>
                <c:pt idx="2">
                  <c:v>4.0321185639927357</c:v>
                </c:pt>
                <c:pt idx="3">
                  <c:v>5.2260896079559265</c:v>
                </c:pt>
                <c:pt idx="4">
                  <c:v>0.74546967639497186</c:v>
                </c:pt>
                <c:pt idx="5">
                  <c:v>2.0551677396910661</c:v>
                </c:pt>
                <c:pt idx="6">
                  <c:v>3.140515187884596</c:v>
                </c:pt>
                <c:pt idx="7">
                  <c:v>4.5803615128993851</c:v>
                </c:pt>
                <c:pt idx="8">
                  <c:v>0.14197110531542584</c:v>
                </c:pt>
                <c:pt idx="9">
                  <c:v>0.39993388401730884</c:v>
                </c:pt>
                <c:pt idx="10">
                  <c:v>0.93869435642073162</c:v>
                </c:pt>
                <c:pt idx="11">
                  <c:v>2.1155286345325037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4D81-4949-AA5B-95513A183910}"/>
            </c:ext>
          </c:extLst>
        </c:ser>
        <c:ser>
          <c:idx val="3"/>
          <c:order val="3"/>
          <c:tx>
            <c:strRef>
              <c:f>Pivot!$E$1</c:f>
              <c:strCache>
                <c:ptCount val="1"/>
                <c:pt idx="0">
                  <c:v>Mittelwert von vss%_Max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multiLvlStrRef>
              <c:f>Pivot!$A$2:$A$17</c:f>
              <c:multiLvlStrCache>
                <c:ptCount val="12"/>
                <c:lvl>
                  <c:pt idx="0">
                    <c:v>1,5</c:v>
                  </c:pt>
                  <c:pt idx="1">
                    <c:v>2</c:v>
                  </c:pt>
                  <c:pt idx="2">
                    <c:v>2,5</c:v>
                  </c:pt>
                  <c:pt idx="3">
                    <c:v>3</c:v>
                  </c:pt>
                  <c:pt idx="4">
                    <c:v>1,5</c:v>
                  </c:pt>
                  <c:pt idx="5">
                    <c:v>2</c:v>
                  </c:pt>
                  <c:pt idx="6">
                    <c:v>2,5</c:v>
                  </c:pt>
                  <c:pt idx="7">
                    <c:v>3</c:v>
                  </c:pt>
                  <c:pt idx="8">
                    <c:v>1,5</c:v>
                  </c:pt>
                  <c:pt idx="9">
                    <c:v>2</c:v>
                  </c:pt>
                  <c:pt idx="10">
                    <c:v>2,5</c:v>
                  </c:pt>
                  <c:pt idx="11">
                    <c:v>3</c:v>
                  </c:pt>
                </c:lvl>
                <c:lvl>
                  <c:pt idx="0">
                    <c:v>P3</c:v>
                  </c:pt>
                  <c:pt idx="4">
                    <c:v>P6</c:v>
                  </c:pt>
                  <c:pt idx="8">
                    <c:v>P9</c:v>
                  </c:pt>
                </c:lvl>
              </c:multiLvlStrCache>
            </c:multiLvlStrRef>
          </c:cat>
          <c:val>
            <c:numRef>
              <c:f>Pivot!$E$2:$E$17</c:f>
              <c:numCache>
                <c:formatCode>General</c:formatCode>
                <c:ptCount val="12"/>
                <c:pt idx="0">
                  <c:v>1.867047629546029</c:v>
                </c:pt>
                <c:pt idx="1">
                  <c:v>2.837660642120059</c:v>
                </c:pt>
                <c:pt idx="2">
                  <c:v>4.0321185639927366</c:v>
                </c:pt>
                <c:pt idx="3">
                  <c:v>5.2260897880247157</c:v>
                </c:pt>
                <c:pt idx="4">
                  <c:v>1.9877977016106174</c:v>
                </c:pt>
                <c:pt idx="5">
                  <c:v>2.7228524182099405</c:v>
                </c:pt>
                <c:pt idx="6">
                  <c:v>3.7834283409826397</c:v>
                </c:pt>
                <c:pt idx="7">
                  <c:v>4.9563416802575437</c:v>
                </c:pt>
                <c:pt idx="8">
                  <c:v>3.7925328243206864</c:v>
                </c:pt>
                <c:pt idx="9">
                  <c:v>4.1200412757938967</c:v>
                </c:pt>
                <c:pt idx="10">
                  <c:v>4.4696508762503715</c:v>
                </c:pt>
                <c:pt idx="11">
                  <c:v>4.9942295495885629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4D81-4949-AA5B-95513A183910}"/>
            </c:ext>
          </c:extLst>
        </c:ser>
        <c:ser>
          <c:idx val="4"/>
          <c:order val="4"/>
          <c:tx>
            <c:strRef>
              <c:f>Pivot!$F$1</c:f>
              <c:strCache>
                <c:ptCount val="1"/>
                <c:pt idx="0">
                  <c:v>Mittelwert von gap_hprp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multiLvlStrRef>
              <c:f>Pivot!$A$2:$A$17</c:f>
              <c:multiLvlStrCache>
                <c:ptCount val="12"/>
                <c:lvl>
                  <c:pt idx="0">
                    <c:v>1,5</c:v>
                  </c:pt>
                  <c:pt idx="1">
                    <c:v>2</c:v>
                  </c:pt>
                  <c:pt idx="2">
                    <c:v>2,5</c:v>
                  </c:pt>
                  <c:pt idx="3">
                    <c:v>3</c:v>
                  </c:pt>
                  <c:pt idx="4">
                    <c:v>1,5</c:v>
                  </c:pt>
                  <c:pt idx="5">
                    <c:v>2</c:v>
                  </c:pt>
                  <c:pt idx="6">
                    <c:v>2,5</c:v>
                  </c:pt>
                  <c:pt idx="7">
                    <c:v>3</c:v>
                  </c:pt>
                  <c:pt idx="8">
                    <c:v>1,5</c:v>
                  </c:pt>
                  <c:pt idx="9">
                    <c:v>2</c:v>
                  </c:pt>
                  <c:pt idx="10">
                    <c:v>2,5</c:v>
                  </c:pt>
                  <c:pt idx="11">
                    <c:v>3</c:v>
                  </c:pt>
                </c:lvl>
                <c:lvl>
                  <c:pt idx="0">
                    <c:v>P3</c:v>
                  </c:pt>
                  <c:pt idx="4">
                    <c:v>P6</c:v>
                  </c:pt>
                  <c:pt idx="8">
                    <c:v>P9</c:v>
                  </c:pt>
                </c:lvl>
              </c:multiLvlStrCache>
            </c:multiLvlStrRef>
          </c:cat>
          <c:val>
            <c:numRef>
              <c:f>Pivot!$F$2:$F$17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1.2423278571428572E-2</c:v>
                </c:pt>
                <c:pt idx="5">
                  <c:v>6.6768468571428569E-3</c:v>
                </c:pt>
                <c:pt idx="6">
                  <c:v>6.4291315714285714E-3</c:v>
                </c:pt>
                <c:pt idx="7">
                  <c:v>3.7598004285714286E-3</c:v>
                </c:pt>
                <c:pt idx="8">
                  <c:v>4.1372373000000004E-2</c:v>
                </c:pt>
                <c:pt idx="9">
                  <c:v>4.1887001800000004E-2</c:v>
                </c:pt>
                <c:pt idx="10">
                  <c:v>3.88056554E-2</c:v>
                </c:pt>
                <c:pt idx="11">
                  <c:v>2.8787009200000001E-2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B7D-4F72-9E57-8443E57C4C6C}"/>
            </c:ext>
          </c:extLst>
        </c:ser>
        <c:ser>
          <c:idx val="5"/>
          <c:order val="5"/>
          <c:tx>
            <c:strRef>
              <c:f>Pivot!$G$1</c:f>
              <c:strCache>
                <c:ptCount val="1"/>
                <c:pt idx="0">
                  <c:v>Mittelwert von gap_vss_calc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multiLvlStrRef>
              <c:f>Pivot!$A$2:$A$17</c:f>
              <c:multiLvlStrCache>
                <c:ptCount val="12"/>
                <c:lvl>
                  <c:pt idx="0">
                    <c:v>1,5</c:v>
                  </c:pt>
                  <c:pt idx="1">
                    <c:v>2</c:v>
                  </c:pt>
                  <c:pt idx="2">
                    <c:v>2,5</c:v>
                  </c:pt>
                  <c:pt idx="3">
                    <c:v>3</c:v>
                  </c:pt>
                  <c:pt idx="4">
                    <c:v>1,5</c:v>
                  </c:pt>
                  <c:pt idx="5">
                    <c:v>2</c:v>
                  </c:pt>
                  <c:pt idx="6">
                    <c:v>2,5</c:v>
                  </c:pt>
                  <c:pt idx="7">
                    <c:v>3</c:v>
                  </c:pt>
                  <c:pt idx="8">
                    <c:v>1,5</c:v>
                  </c:pt>
                  <c:pt idx="9">
                    <c:v>2</c:v>
                  </c:pt>
                  <c:pt idx="10">
                    <c:v>2,5</c:v>
                  </c:pt>
                  <c:pt idx="11">
                    <c:v>3</c:v>
                  </c:pt>
                </c:lvl>
                <c:lvl>
                  <c:pt idx="0">
                    <c:v>P3</c:v>
                  </c:pt>
                  <c:pt idx="4">
                    <c:v>P6</c:v>
                  </c:pt>
                  <c:pt idx="8">
                    <c:v>P9</c:v>
                  </c:pt>
                </c:lvl>
              </c:multiLvlStrCache>
            </c:multiLvlStrRef>
          </c:cat>
          <c:val>
            <c:numRef>
              <c:f>Pivot!$G$2:$G$17</c:f>
              <c:numCache>
                <c:formatCode>General</c:formatCode>
                <c:ptCount val="12"/>
                <c:pt idx="0">
                  <c:v>1.3679805555555555E-3</c:v>
                </c:pt>
                <c:pt idx="1">
                  <c:v>1.3679805555555555E-3</c:v>
                </c:pt>
                <c:pt idx="2">
                  <c:v>1.3679805555555555E-3</c:v>
                </c:pt>
                <c:pt idx="3">
                  <c:v>1.3679805555555555E-3</c:v>
                </c:pt>
                <c:pt idx="4">
                  <c:v>8.0602104285714283E-3</c:v>
                </c:pt>
                <c:pt idx="5">
                  <c:v>8.0602104285714283E-3</c:v>
                </c:pt>
                <c:pt idx="6">
                  <c:v>8.0602104285714283E-3</c:v>
                </c:pt>
                <c:pt idx="7">
                  <c:v>8.0602104285714283E-3</c:v>
                </c:pt>
                <c:pt idx="8">
                  <c:v>1.3439280599999997E-2</c:v>
                </c:pt>
                <c:pt idx="9">
                  <c:v>1.3439280599999997E-2</c:v>
                </c:pt>
                <c:pt idx="10">
                  <c:v>1.3439280599999997E-2</c:v>
                </c:pt>
                <c:pt idx="11">
                  <c:v>1.3439280599999997E-2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FB7D-4F72-9E57-8443E57C4C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66277408"/>
        <c:axId val="866278848"/>
      </c:barChart>
      <c:catAx>
        <c:axId val="8662774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866278848"/>
        <c:crosses val="autoZero"/>
        <c:auto val="1"/>
        <c:lblAlgn val="ctr"/>
        <c:lblOffset val="100"/>
        <c:noMultiLvlLbl val="0"/>
      </c:catAx>
      <c:valAx>
        <c:axId val="8662788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8662774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_xlchart.v1.0</cx:f>
      </cx:strDim>
      <cx:numDim type="val">
        <cx:f>_xlchart.v1.2</cx:f>
      </cx:numDim>
    </cx:data>
    <cx:data id="1">
      <cx:strDim type="cat">
        <cx:f>_xlchart.v1.0</cx:f>
      </cx:strDim>
      <cx:numDim type="val">
        <cx:f>_xlchart.v1.4</cx:f>
      </cx:numDim>
    </cx:data>
  </cx:chartData>
  <cx:chart>
    <cx:plotArea>
      <cx:plotAreaRegion>
        <cx:series layoutId="boxWhisker" uniqueId="{AF224283-4A1F-4750-8308-BF7C677F6F93}">
          <cx:tx>
            <cx:txData>
              <cx:f>_xlchart.v1.1</cx:f>
              <cx:v>vss%_Min</cx:v>
            </cx:txData>
          </cx:tx>
          <cx:dataId val="0"/>
          <cx:layoutPr>
            <cx:visibility meanLine="0" meanMarker="1" nonoutliers="0" outliers="1"/>
            <cx:statistics quartileMethod="exclusive"/>
          </cx:layoutPr>
        </cx:series>
        <cx:series layoutId="boxWhisker" uniqueId="{74AC3C14-2889-47D5-8D4A-53695918A523}">
          <cx:tx>
            <cx:txData>
              <cx:f>_xlchart.v1.3</cx:f>
              <cx:v>vss%_Max</cx:v>
            </cx:txData>
          </cx:tx>
          <cx:dataId val="1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.5"/>
        <cx:title>
          <cx:tx>
            <cx:txData>
              <cx:v>Customers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/>
              </a:pPr>
              <a:r>
                <a:rPr lang="de-DE" sz="9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Aptos Narrow" panose="02110004020202020204"/>
                </a:rPr>
                <a:t>Customers</a:t>
              </a:r>
            </a:p>
          </cx:txPr>
        </cx:title>
        <cx:tickLabels/>
      </cx:axis>
      <cx:axis id="1">
        <cx:valScaling/>
        <cx:title>
          <cx:tx>
            <cx:txData>
              <cx:v>VSS [%]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/>
              </a:pPr>
              <a:r>
                <a:rPr lang="de-DE" sz="9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Aptos Narrow" panose="02110004020202020204"/>
                </a:rPr>
                <a:t>VSS [%]</a:t>
              </a:r>
            </a:p>
          </cx:txPr>
        </cx:title>
        <cx:majorGridlines/>
        <cx:majorTickMarks type="out"/>
        <cx:tickLabels/>
      </cx:axis>
    </cx:plotArea>
    <cx:legend pos="r" align="ctr" overlay="0"/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_xlchart.v1.5</cx:f>
      </cx:strDim>
      <cx:numDim type="val">
        <cx:f>_xlchart.v1.7</cx:f>
      </cx:numDim>
    </cx:data>
    <cx:data id="1">
      <cx:strDim type="cat">
        <cx:f>_xlchart.v1.5</cx:f>
      </cx:strDim>
      <cx:numDim type="val">
        <cx:f>_xlchart.v1.9</cx:f>
      </cx:numDim>
    </cx:data>
  </cx:chartData>
  <cx:chart>
    <cx:plotArea>
      <cx:plotAreaRegion>
        <cx:series layoutId="boxWhisker" uniqueId="{2968907B-4490-4608-8085-C0A17CD910C1}">
          <cx:tx>
            <cx:txData>
              <cx:f>_xlchart.v1.6</cx:f>
              <cx:v>vss%_Min</cx:v>
            </cx:txData>
          </cx:tx>
          <cx:dataId val="0"/>
          <cx:layoutPr>
            <cx:visibility meanLine="0" meanMarker="1" nonoutliers="0" outliers="1"/>
            <cx:statistics quartileMethod="exclusive"/>
          </cx:layoutPr>
        </cx:series>
        <cx:series layoutId="boxWhisker" uniqueId="{58F20174-5D99-4A8C-A9F5-2348E582DC2B}">
          <cx:tx>
            <cx:txData>
              <cx:f>_xlchart.v1.8</cx:f>
              <cx:v>vss%_Max</cx:v>
            </cx:txData>
          </cx:tx>
          <cx:dataId val="1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.5"/>
        <cx:title>
          <cx:tx>
            <cx:txData>
              <cx:v>Period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/>
              </a:pPr>
              <a:r>
                <a:rPr lang="de-DE" sz="9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Aptos Narrow" panose="02110004020202020204"/>
                </a:rPr>
                <a:t>Period</a:t>
              </a:r>
            </a:p>
          </cx:txPr>
        </cx:title>
        <cx:tickLabels/>
      </cx:axis>
      <cx:axis id="1">
        <cx:valScaling/>
        <cx:title>
          <cx:tx>
            <cx:txData>
              <cx:v>VSS [%]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/>
              </a:pPr>
              <a:r>
                <a:rPr lang="de-DE" sz="9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Aptos Narrow" panose="02110004020202020204"/>
                </a:rPr>
                <a:t>VSS [%]</a:t>
              </a:r>
            </a:p>
          </cx:txPr>
        </cx:title>
        <cx:majorGridlines/>
        <cx:majorTickMarks type="out"/>
        <cx:tickLabels/>
      </cx:axis>
    </cx:plotArea>
    <cx:legend pos="r" align="ctr" overlay="0"/>
  </cx:chart>
</cx:chartSpace>
</file>

<file path=xl/charts/chartEx3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_xlchart.v1.10</cx:f>
      </cx:strDim>
      <cx:numDim type="val">
        <cx:f>_xlchart.v1.12</cx:f>
      </cx:numDim>
    </cx:data>
    <cx:data id="1">
      <cx:strDim type="cat">
        <cx:f>_xlchart.v1.10</cx:f>
      </cx:strDim>
      <cx:numDim type="val">
        <cx:f>_xlchart.v1.14</cx:f>
      </cx:numDim>
    </cx:data>
  </cx:chartData>
  <cx:chart>
    <cx:plotArea>
      <cx:plotAreaRegion>
        <cx:series layoutId="boxWhisker" uniqueId="{872DDBD8-63BE-4A89-9B3F-E5A07C6A992F}" formatIdx="1">
          <cx:tx>
            <cx:txData>
              <cx:f>_xlchart.v1.11</cx:f>
              <cx:v>vss%_Min</cx:v>
            </cx:txData>
          </cx:tx>
          <cx:dataId val="0"/>
          <cx:layoutPr>
            <cx:visibility meanLine="0" meanMarker="1" nonoutliers="0" outliers="1"/>
            <cx:statistics quartileMethod="exclusive"/>
          </cx:layoutPr>
        </cx:series>
        <cx:series layoutId="boxWhisker" uniqueId="{00000002-5DFB-4D5E-8A55-9C76F6069CAB}">
          <cx:tx>
            <cx:txData>
              <cx:f>_xlchart.v1.13</cx:f>
              <cx:v>vss%_Max</cx:v>
            </cx:txData>
          </cx:tx>
          <cx:dataId val="1"/>
          <cx:layoutPr>
            <cx:statistics quartileMethod="exclusive"/>
          </cx:layoutPr>
        </cx:series>
      </cx:plotAreaRegion>
      <cx:axis id="0">
        <cx:catScaling gapWidth="1.5"/>
        <cx:title>
          <cx:tx>
            <cx:txData>
              <cx:v>Recourse Gamma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/>
              </a:pPr>
              <a:r>
                <a:rPr lang="de-DE" sz="9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Aptos Narrow" panose="02110004020202020204"/>
                </a:rPr>
                <a:t>Recourse Gamma</a:t>
              </a:r>
            </a:p>
          </cx:txPr>
        </cx:title>
        <cx:tickLabels/>
      </cx:axis>
      <cx:axis id="1">
        <cx:valScaling/>
        <cx:title>
          <cx:tx>
            <cx:txData>
              <cx:v>VSS [%]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/>
              </a:pPr>
              <a:r>
                <a:rPr lang="de-DE" sz="9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Aptos Narrow" panose="02110004020202020204"/>
                </a:rPr>
                <a:t>VSS [%]</a:t>
              </a:r>
            </a:p>
          </cx:txPr>
        </cx:title>
        <cx:majorGridlines/>
        <cx:majorTickMarks type="out"/>
        <cx:tickLabels/>
      </cx:axis>
    </cx:plotArea>
    <cx:legend pos="r" align="ctr" overlay="0"/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microsoft.com/office/2014/relationships/chartEx" Target="../charts/chartEx3.xml"/><Relationship Id="rId2" Type="http://schemas.microsoft.com/office/2014/relationships/chartEx" Target="../charts/chartEx2.xml"/><Relationship Id="rId1" Type="http://schemas.microsoft.com/office/2014/relationships/chartEx" Target="../charts/chartEx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400050</xdr:colOff>
      <xdr:row>16</xdr:row>
      <xdr:rowOff>85725</xdr:rowOff>
    </xdr:from>
    <xdr:to>
      <xdr:col>13</xdr:col>
      <xdr:colOff>400050</xdr:colOff>
      <xdr:row>30</xdr:row>
      <xdr:rowOff>161925</xdr:rowOff>
    </xdr:to>
    <xdr:graphicFrame macro="">
      <xdr:nvGraphicFramePr>
        <xdr:cNvPr id="2" name="Diagramm 1">
          <a:extLst>
            <a:ext uri="{FF2B5EF4-FFF2-40B4-BE49-F238E27FC236}">
              <a16:creationId xmlns:a16="http://schemas.microsoft.com/office/drawing/2014/main" id="{4C0CB761-D9AC-7D6D-74C9-8DE60BC9667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1050051</xdr:colOff>
      <xdr:row>17</xdr:row>
      <xdr:rowOff>95250</xdr:rowOff>
    </xdr:from>
    <xdr:to>
      <xdr:col>7</xdr:col>
      <xdr:colOff>66674</xdr:colOff>
      <xdr:row>35</xdr:row>
      <xdr:rowOff>95250</xdr:rowOff>
    </xdr:to>
    <xdr:pic>
      <xdr:nvPicPr>
        <xdr:cNvPr id="3" name="Grafik 2">
          <a:extLst>
            <a:ext uri="{FF2B5EF4-FFF2-40B4-BE49-F238E27FC236}">
              <a16:creationId xmlns:a16="http://schemas.microsoft.com/office/drawing/2014/main" id="{D1B7100C-C5DF-97A3-52DB-17AE9BF8BB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50051" y="3333750"/>
          <a:ext cx="9875123" cy="3429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33129</xdr:colOff>
      <xdr:row>87</xdr:row>
      <xdr:rowOff>69575</xdr:rowOff>
    </xdr:from>
    <xdr:to>
      <xdr:col>8</xdr:col>
      <xdr:colOff>33129</xdr:colOff>
      <xdr:row>101</xdr:row>
      <xdr:rowOff>145775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3" name="Diagramm 2">
              <a:extLst>
                <a:ext uri="{FF2B5EF4-FFF2-40B4-BE49-F238E27FC236}">
                  <a16:creationId xmlns:a16="http://schemas.microsoft.com/office/drawing/2014/main" id="{A11A63C5-A39B-B661-2763-E1CFF49805AB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557129" y="16643075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de-DE" sz="1100"/>
                <a:t>Dieses Diagramm ist in Ihrer Version von Excel nicht verfügbar.
Wenn Sie diese Form bearbeiten oder diese Arbeitsmappe in einem anderen Dateiformat speichern, wird das Diagramm dauerhaft beschädigt.</a:t>
              </a:r>
            </a:p>
          </xdr:txBody>
        </xdr:sp>
      </mc:Fallback>
    </mc:AlternateContent>
    <xdr:clientData/>
  </xdr:twoCellAnchor>
  <xdr:twoCellAnchor>
    <xdr:from>
      <xdr:col>8</xdr:col>
      <xdr:colOff>124239</xdr:colOff>
      <xdr:row>86</xdr:row>
      <xdr:rowOff>44728</xdr:rowOff>
    </xdr:from>
    <xdr:to>
      <xdr:col>14</xdr:col>
      <xdr:colOff>82826</xdr:colOff>
      <xdr:row>100</xdr:row>
      <xdr:rowOff>120928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4" name="Diagramm 3">
              <a:extLst>
                <a:ext uri="{FF2B5EF4-FFF2-40B4-BE49-F238E27FC236}">
                  <a16:creationId xmlns:a16="http://schemas.microsoft.com/office/drawing/2014/main" id="{552C2112-721E-AD33-5B6F-C163917D13F9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220239" y="16427728"/>
              <a:ext cx="4568687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de-DE" sz="1100"/>
                <a:t>Dieses Diagramm ist in Ihrer Version von Excel nicht verfügbar.
Wenn Sie diese Form bearbeiten oder diese Arbeitsmappe in einem anderen Dateiformat speichern, wird das Diagramm dauerhaft beschädigt.</a:t>
              </a:r>
            </a:p>
          </xdr:txBody>
        </xdr:sp>
      </mc:Fallback>
    </mc:AlternateContent>
    <xdr:clientData/>
  </xdr:twoCellAnchor>
  <xdr:twoCellAnchor>
    <xdr:from>
      <xdr:col>14</xdr:col>
      <xdr:colOff>306457</xdr:colOff>
      <xdr:row>86</xdr:row>
      <xdr:rowOff>94424</xdr:rowOff>
    </xdr:from>
    <xdr:to>
      <xdr:col>20</xdr:col>
      <xdr:colOff>306457</xdr:colOff>
      <xdr:row>100</xdr:row>
      <xdr:rowOff>170624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Diagramm 1">
              <a:extLst>
                <a:ext uri="{FF2B5EF4-FFF2-40B4-BE49-F238E27FC236}">
                  <a16:creationId xmlns:a16="http://schemas.microsoft.com/office/drawing/2014/main" id="{C90D2E63-CC50-0666-C460-3A8837805A5D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3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1012557" y="16477424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de-DE" sz="1100"/>
                <a:t>Dieses Diagramm ist in Ihrer Version von Excel nicht verfügbar.
Wenn Sie diese Form bearbeiten oder diese Arbeitsmappe in einem anderen Dateiformat speichern, wird das Diagramm dauerhaft beschädigt.</a:t>
              </a:r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972.768949652775" createdVersion="8" refreshedVersion="8" minRefreshableVersion="3" recordCount="84" xr:uid="{B6D9BF01-2AD4-482C-95F5-8BF322F74829}">
  <cacheSource type="worksheet">
    <worksheetSource ref="A1:U85" sheet="vss_calc_tab_I3_2"/>
  </cacheSource>
  <cacheFields count="21">
    <cacheField name="instance" numFmtId="0">
      <sharedItems/>
    </cacheField>
    <cacheField name="Inst String" numFmtId="0">
      <sharedItems/>
    </cacheField>
    <cacheField name="Customers" numFmtId="0">
      <sharedItems count="9">
        <s v="C10"/>
        <s v="C15"/>
        <s v="C20"/>
        <s v="C25"/>
        <s v="C30"/>
        <s v="C35"/>
        <s v="C40"/>
        <s v="C45"/>
        <s v="C50"/>
      </sharedItems>
    </cacheField>
    <cacheField name="Periods" numFmtId="0">
      <sharedItems count="3">
        <s v="P3"/>
        <s v="P6"/>
        <s v="P9"/>
      </sharedItems>
    </cacheField>
    <cacheField name="Vehicle" numFmtId="0">
      <sharedItems/>
    </cacheField>
    <cacheField name="Inst Type" numFmtId="0">
      <sharedItems/>
    </cacheField>
    <cacheField name="recoursegamma" numFmtId="0">
      <sharedItems containsSemiMixedTypes="0" containsString="0" containsNumber="1" minValue="1.5" maxValue="3" count="4">
        <n v="1.5"/>
        <n v="2"/>
        <n v="2.5"/>
        <n v="3"/>
      </sharedItems>
    </cacheField>
    <cacheField name="ub_vss_calc" numFmtId="0">
      <sharedItems containsSemiMixedTypes="0" containsString="0" containsNumber="1" minValue="20550" maxValue="160934.20000000001"/>
    </cacheField>
    <cacheField name="ub_hprp" numFmtId="0">
      <sharedItems containsSemiMixedTypes="0" containsString="0" containsNumber="1" minValue="20475" maxValue="159259"/>
    </cacheField>
    <cacheField name="lb_vss_calc" numFmtId="0">
      <sharedItems containsSemiMixedTypes="0" containsString="0" containsNumber="1" minValue="20550" maxValue="160929.5638"/>
    </cacheField>
    <cacheField name="lb_hprp" numFmtId="0">
      <sharedItems containsSemiMixedTypes="0" containsString="0" containsNumber="1" minValue="20475" maxValue="147292.30230000001"/>
    </cacheField>
    <cacheField name="vss" numFmtId="0">
      <sharedItems containsSemiMixedTypes="0" containsString="0" containsNumber="1" minValue="-2645.8" maxValue="11580"/>
    </cacheField>
    <cacheField name="vss%" numFmtId="0">
      <sharedItems containsSemiMixedTypes="0" containsString="0" containsNumber="1" minValue="-1.6823999999999999" maxValue="9.6013000000000002"/>
    </cacheField>
    <cacheField name="vss_Min" numFmtId="0">
      <sharedItems containsSemiMixedTypes="0" containsString="0" containsNumber="1" minValue="0" maxValue="11580"/>
    </cacheField>
    <cacheField name="vss%_Min" numFmtId="0">
      <sharedItems containsSemiMixedTypes="0" containsString="0" containsNumber="1" minValue="0" maxValue="9.6013272982071811"/>
    </cacheField>
    <cacheField name="vss_Max" numFmtId="0">
      <sharedItems containsSemiMixedTypes="0" containsString="0" containsNumber="1" minValue="0" maxValue="14969.799200000009"/>
    </cacheField>
    <cacheField name="vss%_Max" numFmtId="0">
      <sharedItems containsSemiMixedTypes="0" containsString="0" containsNumber="1" minValue="0" maxValue="11.62264123988926"/>
    </cacheField>
    <cacheField name="runtime_vss_calc" numFmtId="0">
      <sharedItems containsSemiMixedTypes="0" containsString="0" containsNumber="1" minValue="1.3977477549999999" maxValue="3603.0426229999998"/>
    </cacheField>
    <cacheField name="runtime_hprp" numFmtId="0">
      <sharedItems containsSemiMixedTypes="0" containsString="0" containsNumber="1" minValue="0.94926094999999999" maxValue="3600.4222639999998"/>
    </cacheField>
    <cacheField name="gap_vss_calc" numFmtId="0">
      <sharedItems containsSemiMixedTypes="0" containsString="0" containsNumber="1" minValue="0" maxValue="3.6053826999999997E-2"/>
    </cacheField>
    <cacheField name="gap_hprp" numFmtId="0">
      <sharedItems containsMixedTypes="1" containsNumber="1" minValue="0" maxValue="8.8498904000000003E-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4">
  <r>
    <s v="MVPRP_C10_P3_V3_I3"/>
    <s v="MVPRP"/>
    <x v="0"/>
    <x v="0"/>
    <s v="V3"/>
    <s v="I3"/>
    <x v="0"/>
    <n v="20550"/>
    <n v="20475"/>
    <n v="20550"/>
    <n v="20475"/>
    <n v="75"/>
    <n v="0.36630000000000001"/>
    <n v="75"/>
    <n v="0.36630036630036628"/>
    <n v="75"/>
    <n v="0.36630036630036628"/>
    <n v="1.3977477549999999"/>
    <n v="2.142055273"/>
    <n v="0"/>
    <n v="0"/>
  </r>
  <r>
    <s v="MVPRP_C10_P3_V3_I3"/>
    <s v="MVPRP"/>
    <x v="0"/>
    <x v="0"/>
    <s v="V3"/>
    <s v="I3"/>
    <x v="1"/>
    <n v="20550"/>
    <n v="20550"/>
    <n v="20550"/>
    <n v="20550"/>
    <n v="0"/>
    <n v="0"/>
    <n v="0"/>
    <n v="0"/>
    <n v="0"/>
    <n v="0"/>
    <n v="1.3977477549999999"/>
    <n v="1.268621445"/>
    <n v="0"/>
    <n v="0"/>
  </r>
  <r>
    <s v="MVPRP_C10_P3_V3_I3"/>
    <s v="MVPRP"/>
    <x v="0"/>
    <x v="0"/>
    <s v="V3"/>
    <s v="I3"/>
    <x v="2"/>
    <n v="20550"/>
    <n v="20550"/>
    <n v="20550"/>
    <n v="20550"/>
    <n v="0"/>
    <n v="0"/>
    <n v="0"/>
    <n v="0"/>
    <n v="0"/>
    <n v="0"/>
    <n v="1.3977477549999999"/>
    <n v="1.128122568"/>
    <n v="0"/>
    <n v="0"/>
  </r>
  <r>
    <s v="MVPRP_C10_P3_V3_I3"/>
    <s v="MVPRP"/>
    <x v="0"/>
    <x v="0"/>
    <s v="V3"/>
    <s v="I3"/>
    <x v="3"/>
    <n v="20550"/>
    <n v="20550"/>
    <n v="20550"/>
    <n v="20550"/>
    <n v="0"/>
    <n v="0"/>
    <n v="0"/>
    <n v="0"/>
    <n v="0"/>
    <n v="0"/>
    <n v="1.3977477549999999"/>
    <n v="0.94926094999999999"/>
    <n v="0"/>
    <n v="0"/>
  </r>
  <r>
    <s v="MVPRP_C10_P6_V3_I3"/>
    <s v="MVPRP"/>
    <x v="0"/>
    <x v="1"/>
    <s v="V3"/>
    <s v="I3"/>
    <x v="0"/>
    <n v="41795.050000000003"/>
    <n v="41795.050000000003"/>
    <n v="41795.050000000003"/>
    <n v="41795.050000000003"/>
    <n v="0"/>
    <n v="0"/>
    <n v="0"/>
    <n v="0"/>
    <n v="0"/>
    <n v="0"/>
    <n v="9.5018048289999992"/>
    <n v="6.5077271459999997"/>
    <n v="0"/>
    <n v="0"/>
  </r>
  <r>
    <s v="MVPRP_C10_P6_V3_I3"/>
    <s v="MVPRP"/>
    <x v="0"/>
    <x v="1"/>
    <s v="V3"/>
    <s v="I3"/>
    <x v="1"/>
    <n v="41892.300000000003"/>
    <n v="41892.300000000003"/>
    <n v="41892.300000000003"/>
    <n v="41892.300000000003"/>
    <n v="0"/>
    <n v="0"/>
    <n v="0"/>
    <n v="0"/>
    <n v="0"/>
    <n v="0"/>
    <n v="9.5018048289999992"/>
    <n v="5.9463109970000003"/>
    <n v="0"/>
    <n v="0"/>
  </r>
  <r>
    <s v="MVPRP_C10_P6_V3_I3"/>
    <s v="MVPRP"/>
    <x v="0"/>
    <x v="1"/>
    <s v="V3"/>
    <s v="I3"/>
    <x v="2"/>
    <n v="41989.55"/>
    <n v="41989.55"/>
    <n v="41989.55"/>
    <n v="41989.55"/>
    <n v="0"/>
    <n v="0"/>
    <n v="0"/>
    <n v="0"/>
    <n v="0"/>
    <n v="0"/>
    <n v="9.5018048289999992"/>
    <n v="5.0853822229999999"/>
    <n v="0"/>
    <n v="0"/>
  </r>
  <r>
    <s v="MVPRP_C10_P6_V3_I3"/>
    <s v="MVPRP"/>
    <x v="0"/>
    <x v="1"/>
    <s v="V3"/>
    <s v="I3"/>
    <x v="3"/>
    <n v="42086.8"/>
    <n v="42064"/>
    <n v="42086.8"/>
    <n v="42064"/>
    <n v="22.8"/>
    <n v="5.4199999999999998E-2"/>
    <n v="22.8"/>
    <n v="5.420311905667554E-2"/>
    <n v="22.80000000000291"/>
    <n v="5.4203119056682458E-2"/>
    <n v="9.5018048289999992"/>
    <n v="3.9460017679999999"/>
    <n v="0"/>
    <n v="0"/>
  </r>
  <r>
    <s v="MVPRP_C10_P9_V3_I3"/>
    <s v="MVPRP"/>
    <x v="0"/>
    <x v="2"/>
    <s v="V3"/>
    <s v="I3"/>
    <x v="0"/>
    <n v="72422.2"/>
    <n v="72422.2"/>
    <n v="72422.2"/>
    <n v="72422.2"/>
    <n v="0"/>
    <n v="0"/>
    <n v="0"/>
    <n v="0"/>
    <n v="0"/>
    <n v="0"/>
    <n v="24.249806400000001"/>
    <n v="29.534793140000001"/>
    <n v="0"/>
    <n v="0"/>
  </r>
  <r>
    <s v="MVPRP_C10_P9_V3_I3"/>
    <s v="MVPRP"/>
    <x v="0"/>
    <x v="2"/>
    <s v="V3"/>
    <s v="I3"/>
    <x v="1"/>
    <n v="72657.5"/>
    <n v="72657.5"/>
    <n v="72657.5"/>
    <n v="72657.5"/>
    <n v="0"/>
    <n v="0"/>
    <n v="0"/>
    <n v="0"/>
    <n v="0"/>
    <n v="0"/>
    <n v="24.249806400000001"/>
    <n v="70.096619129999993"/>
    <n v="0"/>
    <n v="0"/>
  </r>
  <r>
    <s v="MVPRP_C10_P9_V3_I3"/>
    <s v="MVPRP"/>
    <x v="0"/>
    <x v="2"/>
    <s v="V3"/>
    <s v="I3"/>
    <x v="2"/>
    <n v="72892.800000000003"/>
    <n v="72892.800000000003"/>
    <n v="72892.800000000003"/>
    <n v="72892.800000000003"/>
    <n v="0"/>
    <n v="0"/>
    <n v="0"/>
    <n v="0"/>
    <n v="0"/>
    <n v="0"/>
    <n v="24.249806400000001"/>
    <n v="56.281997920000002"/>
    <n v="0"/>
    <n v="0"/>
  </r>
  <r>
    <s v="MVPRP_C10_P9_V3_I3"/>
    <s v="MVPRP"/>
    <x v="0"/>
    <x v="2"/>
    <s v="V3"/>
    <s v="I3"/>
    <x v="3"/>
    <n v="73128.100000000006"/>
    <n v="73128.100000000006"/>
    <n v="73128.100000000006"/>
    <n v="73128.100000000006"/>
    <n v="0"/>
    <n v="0"/>
    <n v="0"/>
    <n v="0"/>
    <n v="0"/>
    <n v="0"/>
    <n v="24.249806400000001"/>
    <n v="45.822114470000002"/>
    <n v="0"/>
    <n v="0"/>
  </r>
  <r>
    <s v="MVPRP_C15_P3_V3_I3"/>
    <s v="MVPRP"/>
    <x v="1"/>
    <x v="0"/>
    <s v="V3"/>
    <s v="I3"/>
    <x v="0"/>
    <n v="30536.7"/>
    <n v="30120.5"/>
    <n v="30536.7"/>
    <n v="30120.5"/>
    <n v="416.2"/>
    <n v="1.3817999999999999"/>
    <n v="416.2"/>
    <n v="1.3817831709300974"/>
    <n v="416.20000000000073"/>
    <n v="1.3817831709300998"/>
    <n v="18.66827846"/>
    <n v="6.1770842080000001"/>
    <n v="0"/>
    <n v="0"/>
  </r>
  <r>
    <s v="MVPRP_C15_P3_V3_I3"/>
    <s v="MVPRP"/>
    <x v="1"/>
    <x v="0"/>
    <s v="V3"/>
    <s v="I3"/>
    <x v="1"/>
    <n v="30692.2"/>
    <n v="30448"/>
    <n v="30692.2"/>
    <n v="30448"/>
    <n v="244.2"/>
    <n v="0.80200000000000005"/>
    <n v="244.2"/>
    <n v="0.80202312138728316"/>
    <n v="244.20000000000073"/>
    <n v="0.8020231213872856"/>
    <n v="18.66827846"/>
    <n v="5.3234794140000004"/>
    <n v="0"/>
    <n v="0"/>
  </r>
  <r>
    <s v="MVPRP_C15_P3_V3_I3"/>
    <s v="MVPRP"/>
    <x v="1"/>
    <x v="0"/>
    <s v="V3"/>
    <s v="I3"/>
    <x v="2"/>
    <n v="30847.7"/>
    <n v="30465.45"/>
    <n v="30847.7"/>
    <n v="30465.45"/>
    <n v="382.25"/>
    <n v="1.2546999999999999"/>
    <n v="382.25"/>
    <n v="1.2546999962252321"/>
    <n v="382.25"/>
    <n v="1.2546999962252321"/>
    <n v="18.66827846"/>
    <n v="5.0509090419999998"/>
    <n v="0"/>
    <n v="0"/>
  </r>
  <r>
    <s v="MVPRP_C15_P3_V3_I3"/>
    <s v="MVPRP"/>
    <x v="1"/>
    <x v="0"/>
    <s v="V3"/>
    <s v="I3"/>
    <x v="3"/>
    <n v="31003.200000000001"/>
    <n v="30482.9"/>
    <n v="31003.200000000001"/>
    <n v="30482.9"/>
    <n v="520.29999999999995"/>
    <n v="1.7069000000000001"/>
    <n v="520.29999999999995"/>
    <n v="1.7068585994114733"/>
    <n v="520.29999999999927"/>
    <n v="1.7068585994114709"/>
    <n v="18.66827846"/>
    <n v="3.712069273"/>
    <n v="0"/>
    <n v="0"/>
  </r>
  <r>
    <s v="MVPRP_C15_P6_V3_I3"/>
    <s v="MVPRP"/>
    <x v="1"/>
    <x v="1"/>
    <s v="V3"/>
    <s v="I3"/>
    <x v="0"/>
    <n v="60598.1"/>
    <n v="60005.49927"/>
    <n v="60598.1"/>
    <n v="60005.49927"/>
    <n v="592.6"/>
    <n v="0.98760000000000003"/>
    <n v="592.6"/>
    <n v="0.98757615086834694"/>
    <n v="592.60072999999829"/>
    <n v="0.98757736742350799"/>
    <n v="735.56635449999999"/>
    <n v="68.752260919999998"/>
    <n v="0"/>
    <n v="0"/>
  </r>
  <r>
    <s v="MVPRP_C15_P6_V3_I3"/>
    <s v="MVPRP"/>
    <x v="1"/>
    <x v="1"/>
    <s v="V3"/>
    <s v="I3"/>
    <x v="1"/>
    <n v="61414.8"/>
    <n v="61053.2"/>
    <n v="61414.8"/>
    <n v="61053.2"/>
    <n v="361.6"/>
    <n v="0.59230000000000005"/>
    <n v="361.6"/>
    <n v="0.59227034782779608"/>
    <n v="361.60000000000582"/>
    <n v="0.59227034782780563"/>
    <n v="735.56635449999999"/>
    <n v="117.8902667"/>
    <n v="0"/>
    <n v="0"/>
  </r>
  <r>
    <s v="MVPRP_C15_P6_V3_I3"/>
    <s v="MVPRP"/>
    <x v="1"/>
    <x v="1"/>
    <s v="V3"/>
    <s v="I3"/>
    <x v="2"/>
    <n v="62074.45"/>
    <n v="61335.3"/>
    <n v="62074.45"/>
    <n v="61335.3"/>
    <n v="739.15"/>
    <n v="1.2051000000000001"/>
    <n v="739.15"/>
    <n v="1.2050972278606282"/>
    <n v="739.14999999999418"/>
    <n v="1.2050972278606189"/>
    <n v="735.56635449999999"/>
    <n v="122.18892529999999"/>
    <n v="0"/>
    <n v="0"/>
  </r>
  <r>
    <s v="MVPRP_C15_P6_V3_I3"/>
    <s v="MVPRP"/>
    <x v="1"/>
    <x v="1"/>
    <s v="V3"/>
    <s v="I3"/>
    <x v="3"/>
    <n v="62734.1"/>
    <n v="61575.7"/>
    <n v="62734.1"/>
    <n v="61575.7"/>
    <n v="1158.4000000000001"/>
    <n v="1.8813"/>
    <n v="1158.4000000000001"/>
    <n v="1.8812616015733481"/>
    <n v="1158.4000000000015"/>
    <n v="1.8812616015733505"/>
    <n v="735.56635449999999"/>
    <n v="92.33030033"/>
    <n v="0"/>
    <n v="0"/>
  </r>
  <r>
    <s v="MVPRP_C15_P9_V3_I3"/>
    <s v="MVPRP"/>
    <x v="1"/>
    <x v="2"/>
    <s v="V3"/>
    <s v="I3"/>
    <x v="0"/>
    <n v="108249.2"/>
    <n v="108250.7"/>
    <n v="108239.0511"/>
    <n v="104134.96219999999"/>
    <n v="-1.5"/>
    <n v="-1.4E-3"/>
    <n v="0"/>
    <n v="0"/>
    <n v="4114.2378000000026"/>
    <n v="3.8006569934420775"/>
    <n v="3600.4851629999998"/>
    <n v="3600.0803139999998"/>
    <n v="4.9676169999999997E-3"/>
    <n v="3.8020427000000002E-2"/>
  </r>
  <r>
    <s v="MVPRP_C15_P9_V3_I3"/>
    <s v="MVPRP"/>
    <x v="1"/>
    <x v="2"/>
    <s v="V3"/>
    <s v="I3"/>
    <x v="1"/>
    <n v="109027.7"/>
    <n v="109246.8"/>
    <n v="109017.5511"/>
    <n v="105048.9013"/>
    <n v="-219.1"/>
    <n v="-0.2006"/>
    <n v="0"/>
    <n v="0"/>
    <n v="3978.7986999999994"/>
    <n v="3.6420276841060786"/>
    <n v="3600.4851629999998"/>
    <n v="3600.029712"/>
    <n v="4.9676169999999997E-3"/>
    <n v="3.8425828000000002E-2"/>
  </r>
  <r>
    <s v="MVPRP_C15_P9_V3_I3"/>
    <s v="MVPRP"/>
    <x v="1"/>
    <x v="2"/>
    <s v="V3"/>
    <s v="I3"/>
    <x v="2"/>
    <n v="109602.6"/>
    <n v="109820.1492"/>
    <n v="109592.45110000001"/>
    <n v="106336.16160000001"/>
    <n v="-217.55"/>
    <n v="-0.1981"/>
    <n v="0"/>
    <n v="0"/>
    <n v="3266.4383999999991"/>
    <n v="2.9743525425842336"/>
    <n v="3600.4851629999998"/>
    <n v="3600.0292869999998"/>
    <n v="4.9676169999999997E-3"/>
    <n v="3.1724484999999997E-2"/>
  </r>
  <r>
    <s v="MVPRP_C15_P9_V3_I3"/>
    <s v="MVPRP"/>
    <x v="1"/>
    <x v="2"/>
    <s v="V3"/>
    <s v="I3"/>
    <x v="3"/>
    <n v="110177.5"/>
    <n v="110085.6"/>
    <n v="110167.3511"/>
    <n v="107230.7898"/>
    <n v="91.9"/>
    <n v="8.3500000000000005E-2"/>
    <n v="91.9"/>
    <n v="8.3480491544761531E-2"/>
    <n v="2946.7102000000014"/>
    <n v="2.6767444606742399"/>
    <n v="3600.4851629999998"/>
    <n v="3600.1176540000001"/>
    <n v="4.9676169999999997E-3"/>
    <n v="2.593264E-2"/>
  </r>
  <r>
    <s v="MVPRP_C20_P3_V3_I3"/>
    <s v="MVPRP"/>
    <x v="2"/>
    <x v="0"/>
    <s v="V3"/>
    <s v="I3"/>
    <x v="0"/>
    <n v="33682.9"/>
    <n v="33052.400000000001"/>
    <n v="33682.9"/>
    <n v="33052.400000000001"/>
    <n v="630.5"/>
    <n v="1.9076"/>
    <n v="630.5"/>
    <n v="1.9075770594571044"/>
    <n v="630.5"/>
    <n v="1.9075770594571044"/>
    <n v="17.56340909"/>
    <n v="7.8507876400000001"/>
    <n v="0"/>
    <n v="0"/>
  </r>
  <r>
    <s v="MVPRP_C20_P3_V3_I3"/>
    <s v="MVPRP"/>
    <x v="2"/>
    <x v="0"/>
    <s v="V3"/>
    <s v="I3"/>
    <x v="1"/>
    <n v="34354.199999999997"/>
    <n v="33141.800000000003"/>
    <n v="34354.199999999997"/>
    <n v="33141.800000000003"/>
    <n v="1212.4000000000001"/>
    <n v="3.6581999999999999"/>
    <n v="1212.4000000000001"/>
    <n v="3.6582201328835486"/>
    <n v="1212.3999999999942"/>
    <n v="3.6582201328835309"/>
    <n v="17.56340909"/>
    <n v="6.5894260410000003"/>
    <n v="0"/>
    <n v="0"/>
  </r>
  <r>
    <s v="MVPRP_C20_P3_V3_I3"/>
    <s v="MVPRP"/>
    <x v="2"/>
    <x v="0"/>
    <s v="V3"/>
    <s v="I3"/>
    <x v="2"/>
    <n v="35025.5"/>
    <n v="33231.199999999997"/>
    <n v="35025.5"/>
    <n v="33231.199999999997"/>
    <n v="1794.3"/>
    <n v="5.3994"/>
    <n v="1794.3"/>
    <n v="5.3994438960976439"/>
    <n v="1794.3000000000029"/>
    <n v="5.3994438960976527"/>
    <n v="17.56340909"/>
    <n v="5.9157624240000004"/>
    <n v="0"/>
    <n v="0"/>
  </r>
  <r>
    <s v="MVPRP_C20_P3_V3_I3"/>
    <s v="MVPRP"/>
    <x v="2"/>
    <x v="0"/>
    <s v="V3"/>
    <s v="I3"/>
    <x v="3"/>
    <n v="35696.800000000003"/>
    <n v="33320.599459999998"/>
    <n v="35696.800000000003"/>
    <n v="33320.599459999998"/>
    <n v="2376.1999999999998"/>
    <n v="7.1313000000000004"/>
    <n v="2376.1999999999998"/>
    <n v="7.1313242814029492"/>
    <n v="2376.2005400000053"/>
    <n v="7.131325902022069"/>
    <n v="17.56340909"/>
    <n v="9.6981806759999998"/>
    <n v="0"/>
    <n v="0"/>
  </r>
  <r>
    <s v="MVPRP_C20_P6_V3_I3"/>
    <s v="MVPRP"/>
    <x v="2"/>
    <x v="1"/>
    <s v="V3"/>
    <s v="I3"/>
    <x v="0"/>
    <n v="66780.3"/>
    <n v="66381.899999999994"/>
    <n v="66780.3"/>
    <n v="66381.899999999994"/>
    <n v="398.4"/>
    <n v="0.60019999999999996"/>
    <n v="398.4"/>
    <n v="0.60016359881232684"/>
    <n v="398.40000000000873"/>
    <n v="0.60016359881234005"/>
    <n v="3601.2649580000002"/>
    <n v="237.639791"/>
    <n v="5.2169479999999999E-3"/>
    <n v="0"/>
  </r>
  <r>
    <s v="MVPRP_C20_P6_V3_I3"/>
    <s v="MVPRP"/>
    <x v="2"/>
    <x v="1"/>
    <s v="V3"/>
    <s v="I3"/>
    <x v="1"/>
    <n v="67677.8"/>
    <n v="67075.5"/>
    <n v="67677.8"/>
    <n v="67075.5"/>
    <n v="602.29999999999995"/>
    <n v="0.89790000000000003"/>
    <n v="602.29999999999995"/>
    <n v="0.89794336233050809"/>
    <n v="602.30000000000291"/>
    <n v="0.89794336233051242"/>
    <n v="3601.2649580000002"/>
    <n v="229.64415049999999"/>
    <n v="5.2169479999999999E-3"/>
    <n v="0"/>
  </r>
  <r>
    <s v="MVPRP_C20_P6_V3_I3"/>
    <s v="MVPRP"/>
    <x v="2"/>
    <x v="1"/>
    <s v="V3"/>
    <s v="I3"/>
    <x v="2"/>
    <n v="68575.3"/>
    <n v="67342.2"/>
    <n v="68575.3"/>
    <n v="67342.2"/>
    <n v="1233.0999999999999"/>
    <n v="1.8310999999999999"/>
    <n v="1233.0999999999999"/>
    <n v="1.8310955092052235"/>
    <n v="1233.1000000000058"/>
    <n v="1.8310955092052321"/>
    <n v="3601.2649580000002"/>
    <n v="161.5786042"/>
    <n v="5.2169479999999999E-3"/>
    <n v="0"/>
  </r>
  <r>
    <s v="MVPRP_C20_P6_V3_I3"/>
    <s v="MVPRP"/>
    <x v="2"/>
    <x v="1"/>
    <s v="V3"/>
    <s v="I3"/>
    <x v="3"/>
    <n v="69472.800000000003"/>
    <n v="67431.600000000006"/>
    <n v="69472.800000000003"/>
    <n v="67431.600000000006"/>
    <n v="2041.2"/>
    <n v="3.0270999999999999"/>
    <n v="2041.2"/>
    <n v="3.0270674283273715"/>
    <n v="2041.1999999999971"/>
    <n v="3.0270674283273671"/>
    <n v="3601.2649580000002"/>
    <n v="101.5456133"/>
    <n v="5.2169479999999999E-3"/>
    <n v="0"/>
  </r>
  <r>
    <s v="MVPRP_C20_P9_V3_I3"/>
    <s v="MVPRP"/>
    <x v="2"/>
    <x v="2"/>
    <s v="V3"/>
    <s v="I3"/>
    <x v="0"/>
    <n v="117982.2"/>
    <n v="117150.59880000001"/>
    <n v="117974.2"/>
    <n v="113366.198"/>
    <n v="831.6"/>
    <n v="0.70989999999999998"/>
    <n v="831.6"/>
    <n v="0.70985552657712914"/>
    <n v="4616.0019999999931"/>
    <n v="3.9402291130243823"/>
    <n v="3600.0640389999999"/>
    <n v="3600.0961280000001"/>
    <n v="4.9507789999999998E-3"/>
    <n v="3.2303724999999998E-2"/>
  </r>
  <r>
    <s v="MVPRP_C20_P9_V3_I3"/>
    <s v="MVPRP"/>
    <x v="2"/>
    <x v="2"/>
    <s v="V3"/>
    <s v="I3"/>
    <x v="1"/>
    <n v="120333.6"/>
    <n v="117974.5"/>
    <n v="120325.6"/>
    <n v="115160.12609999999"/>
    <n v="2359.1"/>
    <n v="1.9997"/>
    <n v="2359.1"/>
    <n v="1.9996694200865441"/>
    <n v="5173.4739000000118"/>
    <n v="4.3852475746877602"/>
    <n v="3600.0640389999999"/>
    <n v="3600.1222790000002"/>
    <n v="4.9507789999999998E-3"/>
    <n v="2.3855781999999999E-2"/>
  </r>
  <r>
    <s v="MVPRP_C20_P9_V3_I3"/>
    <s v="MVPRP"/>
    <x v="2"/>
    <x v="2"/>
    <s v="V3"/>
    <s v="I3"/>
    <x v="2"/>
    <n v="122639.3"/>
    <n v="118012.1997"/>
    <n v="122631.3"/>
    <n v="115944.83289999999"/>
    <n v="4627.1000000000004"/>
    <n v="3.9209000000000001"/>
    <n v="4627.1000000000004"/>
    <n v="3.9208658187565337"/>
    <n v="6694.4671000000089"/>
    <n v="5.6726907192799398"/>
    <n v="3600.0640389999999"/>
    <n v="3600.1682300000002"/>
    <n v="4.9507789999999998E-3"/>
    <n v="1.7518246000000001E-2"/>
  </r>
  <r>
    <s v="MVPRP_C20_P9_V3_I3"/>
    <s v="MVPRP"/>
    <x v="2"/>
    <x v="2"/>
    <s v="V3"/>
    <s v="I3"/>
    <x v="3"/>
    <n v="124931"/>
    <n v="118385.60000000001"/>
    <n v="124923"/>
    <n v="117337.46460000001"/>
    <n v="6545.4"/>
    <n v="5.5289000000000001"/>
    <n v="6545.4"/>
    <n v="5.5288818910408013"/>
    <n v="7593.5353999999934"/>
    <n v="6.4142390628589911"/>
    <n v="3600.0640389999999"/>
    <n v="3600.133155"/>
    <n v="4.9507789999999998E-3"/>
    <n v="8.8535720000000005E-3"/>
  </r>
  <r>
    <s v="MVPRP_C25_P3_V3_I3"/>
    <s v="MVPRP"/>
    <x v="3"/>
    <x v="0"/>
    <s v="V3"/>
    <s v="I3"/>
    <x v="0"/>
    <n v="39412.75"/>
    <n v="38341.75"/>
    <n v="39412.75"/>
    <n v="38341.75"/>
    <n v="1071"/>
    <n v="2.7932999999999999"/>
    <n v="1071"/>
    <n v="2.7932997320153619"/>
    <n v="1071"/>
    <n v="2.7932997320153619"/>
    <n v="50.579355720000002"/>
    <n v="21.189520600000002"/>
    <n v="0"/>
    <n v="0"/>
  </r>
  <r>
    <s v="MVPRP_C25_P3_V3_I3"/>
    <s v="MVPRP"/>
    <x v="3"/>
    <x v="0"/>
    <s v="V3"/>
    <s v="I3"/>
    <x v="1"/>
    <n v="40473.5"/>
    <n v="38710.5"/>
    <n v="40473.5"/>
    <n v="38710.5"/>
    <n v="1763"/>
    <n v="4.5542999999999996"/>
    <n v="1763"/>
    <n v="4.5543198873690596"/>
    <n v="1763"/>
    <n v="4.5543198873690596"/>
    <n v="50.579355720000002"/>
    <n v="19.908083680000001"/>
    <n v="0"/>
    <n v="0"/>
  </r>
  <r>
    <s v="MVPRP_C25_P3_V3_I3"/>
    <s v="MVPRP"/>
    <x v="3"/>
    <x v="0"/>
    <s v="V3"/>
    <s v="I3"/>
    <x v="2"/>
    <n v="41534.25"/>
    <n v="38941.15"/>
    <n v="41534.25"/>
    <n v="38941.15"/>
    <n v="2593.1"/>
    <n v="6.6589999999999998"/>
    <n v="2593.1"/>
    <n v="6.6590226534141896"/>
    <n v="2593.0999999999985"/>
    <n v="6.6590226534141861"/>
    <n v="50.579355720000002"/>
    <n v="17.293042660000001"/>
    <n v="0"/>
    <n v="0"/>
  </r>
  <r>
    <s v="MVPRP_C25_P3_V3_I3"/>
    <s v="MVPRP"/>
    <x v="3"/>
    <x v="0"/>
    <s v="V3"/>
    <s v="I3"/>
    <x v="3"/>
    <n v="42595"/>
    <n v="39170.5"/>
    <n v="42595"/>
    <n v="39170.5"/>
    <n v="3424.5"/>
    <n v="8.7424999999999997"/>
    <n v="3424.5"/>
    <n v="8.7425486016262237"/>
    <n v="3424.5"/>
    <n v="8.7425486016262237"/>
    <n v="50.579355720000002"/>
    <n v="15.66376138"/>
    <n v="0"/>
    <n v="0"/>
  </r>
  <r>
    <s v="MVPRP_C25_P6_V3_I3"/>
    <s v="MVPRP"/>
    <x v="3"/>
    <x v="1"/>
    <s v="V3"/>
    <s v="I3"/>
    <x v="0"/>
    <n v="78780.7"/>
    <n v="78075.899999999994"/>
    <n v="78780.7"/>
    <n v="78075.899999999994"/>
    <n v="704.8"/>
    <n v="0.90269999999999995"/>
    <n v="704.8"/>
    <n v="0.90271133602046216"/>
    <n v="704.80000000000291"/>
    <n v="0.90271133602046594"/>
    <n v="1484.522759"/>
    <n v="2050.433133"/>
    <n v="0"/>
    <n v="0"/>
  </r>
  <r>
    <s v="MVPRP_C25_P6_V3_I3"/>
    <s v="MVPRP"/>
    <x v="3"/>
    <x v="1"/>
    <s v="V3"/>
    <s v="I3"/>
    <x v="1"/>
    <n v="80589.100000000006"/>
    <n v="78360.7"/>
    <n v="80589.100000000006"/>
    <n v="78360.7"/>
    <n v="2228.4"/>
    <n v="2.8437999999999999"/>
    <n v="2228.4"/>
    <n v="2.8437724522624226"/>
    <n v="2228.4000000000087"/>
    <n v="2.8437724522624337"/>
    <n v="1484.522759"/>
    <n v="531.49708410000005"/>
    <n v="0"/>
    <n v="0"/>
  </r>
  <r>
    <s v="MVPRP_C25_P6_V3_I3"/>
    <s v="MVPRP"/>
    <x v="3"/>
    <x v="1"/>
    <s v="V3"/>
    <s v="I3"/>
    <x v="2"/>
    <n v="82356.399999999994"/>
    <n v="78625.350000000006"/>
    <n v="82356.399999999994"/>
    <n v="78625.350000000006"/>
    <n v="3731.05"/>
    <n v="4.7454000000000001"/>
    <n v="3731.05"/>
    <n v="4.7453524849173965"/>
    <n v="3731.0499999999884"/>
    <n v="4.7453524849173814"/>
    <n v="1484.522759"/>
    <n v="574.76572229999999"/>
    <n v="0"/>
    <n v="0"/>
  </r>
  <r>
    <s v="MVPRP_C25_P6_V3_I3"/>
    <s v="MVPRP"/>
    <x v="3"/>
    <x v="1"/>
    <s v="V3"/>
    <s v="I3"/>
    <x v="3"/>
    <n v="84123.7"/>
    <n v="78889.999299999996"/>
    <n v="84123.7"/>
    <n v="78889.999299999996"/>
    <n v="5233.7"/>
    <n v="6.6341999999999999"/>
    <n v="5233.7"/>
    <n v="6.634174225426821"/>
    <n v="5233.7007000000012"/>
    <n v="6.6341751127382773"/>
    <n v="1484.522759"/>
    <n v="190.17450360000001"/>
    <n v="0"/>
    <n v="0"/>
  </r>
  <r>
    <s v="MVPRP_C25_P9_V3_I3"/>
    <s v="MVPRP"/>
    <x v="3"/>
    <x v="2"/>
    <s v="V3"/>
    <s v="I3"/>
    <x v="0"/>
    <n v="141504.25"/>
    <n v="142572.95000000001"/>
    <n v="141504.25"/>
    <n v="135316.7323"/>
    <n v="-1068.7"/>
    <n v="-0.74960000000000004"/>
    <n v="0"/>
    <n v="0"/>
    <n v="6187.5176999999967"/>
    <n v="4.3398959620320658"/>
    <n v="3601.9903949999998"/>
    <n v="3600.1555709999998"/>
    <n v="2.1224179999999999E-2"/>
    <n v="5.0894770999999998E-2"/>
  </r>
  <r>
    <s v="MVPRP_C25_P9_V3_I3"/>
    <s v="MVPRP"/>
    <x v="3"/>
    <x v="2"/>
    <s v="V3"/>
    <s v="I3"/>
    <x v="1"/>
    <n v="143902.9"/>
    <n v="144779.6"/>
    <n v="143902.9"/>
    <n v="136287.6257"/>
    <n v="-876.7"/>
    <n v="-0.60550000000000004"/>
    <n v="0"/>
    <n v="0"/>
    <n v="7615.27429999999"/>
    <n v="5.2599083710688452"/>
    <n v="3601.9903949999998"/>
    <n v="3600.2055359999999"/>
    <n v="2.1224179999999999E-2"/>
    <n v="5.8654495000000001E-2"/>
  </r>
  <r>
    <s v="MVPRP_C25_P9_V3_I3"/>
    <s v="MVPRP"/>
    <x v="3"/>
    <x v="2"/>
    <s v="V3"/>
    <s v="I3"/>
    <x v="2"/>
    <n v="146301.54999999999"/>
    <n v="148604.85"/>
    <n v="146301.54999999999"/>
    <n v="137173.7035"/>
    <n v="-2303.3000000000002"/>
    <n v="-1.5499000000000001"/>
    <n v="0"/>
    <n v="0"/>
    <n v="9127.8464999999851"/>
    <n v="6.1423611005966388"/>
    <n v="3601.9903949999998"/>
    <n v="3600.3485620000001"/>
    <n v="2.1224179999999999E-2"/>
    <n v="7.6923105000000006E-2"/>
  </r>
  <r>
    <s v="MVPRP_C25_P9_V3_I3"/>
    <s v="MVPRP"/>
    <x v="3"/>
    <x v="2"/>
    <s v="V3"/>
    <s v="I3"/>
    <x v="3"/>
    <n v="148700.20000000001"/>
    <n v="145172"/>
    <n v="148700.20000000001"/>
    <n v="138264.37450000001"/>
    <n v="3528.2"/>
    <n v="2.4304000000000001"/>
    <n v="3528.2"/>
    <n v="2.4303584713305595"/>
    <n v="10435.825500000006"/>
    <n v="7.1885938748519038"/>
    <n v="3601.9903949999998"/>
    <n v="3600.1880740000001"/>
    <n v="2.1224179999999999E-2"/>
    <n v="4.7582354E-2"/>
  </r>
  <r>
    <s v="MVPRP_C30_P3_V3_I3"/>
    <s v="MVPRP"/>
    <x v="4"/>
    <x v="0"/>
    <s v="V3"/>
    <s v="I3"/>
    <x v="0"/>
    <n v="41971.9"/>
    <n v="41726"/>
    <n v="41971.9"/>
    <n v="41726"/>
    <n v="245.9"/>
    <n v="0.58930000000000005"/>
    <n v="245.9"/>
    <n v="0.5893208071705891"/>
    <n v="245.90000000000146"/>
    <n v="0.58932080717059254"/>
    <n v="14.64698052"/>
    <n v="163.8590639"/>
    <n v="0"/>
    <n v="0"/>
  </r>
  <r>
    <s v="MVPRP_C30_P3_V3_I3"/>
    <s v="MVPRP"/>
    <x v="4"/>
    <x v="0"/>
    <s v="V3"/>
    <s v="I3"/>
    <x v="1"/>
    <n v="42351.3"/>
    <n v="41726"/>
    <n v="42351.3"/>
    <n v="41726"/>
    <n v="625.29999999999995"/>
    <n v="1.4985999999999999"/>
    <n v="625.29999999999995"/>
    <n v="1.4985860135167519"/>
    <n v="625.30000000000291"/>
    <n v="1.498586013516759"/>
    <n v="14.64698052"/>
    <n v="123.7599721"/>
    <n v="0"/>
    <n v="0"/>
  </r>
  <r>
    <s v="MVPRP_C30_P3_V3_I3"/>
    <s v="MVPRP"/>
    <x v="4"/>
    <x v="0"/>
    <s v="V3"/>
    <s v="I3"/>
    <x v="2"/>
    <n v="42730.7"/>
    <n v="41726"/>
    <n v="42730.7"/>
    <n v="41726"/>
    <n v="1004.7"/>
    <n v="2.4079000000000002"/>
    <n v="1004.7"/>
    <n v="2.4078512198629154"/>
    <n v="1004.6999999999971"/>
    <n v="2.4078512198629083"/>
    <n v="14.64698052"/>
    <n v="85.500769849999998"/>
    <n v="0"/>
    <n v="0"/>
  </r>
  <r>
    <s v="MVPRP_C30_P3_V3_I3"/>
    <s v="MVPRP"/>
    <x v="4"/>
    <x v="0"/>
    <s v="V3"/>
    <s v="I3"/>
    <x v="3"/>
    <n v="43110.1"/>
    <n v="41726"/>
    <n v="43110.1"/>
    <n v="41726"/>
    <n v="1384.1"/>
    <n v="3.3170999999999999"/>
    <n v="1384.1"/>
    <n v="3.3171164262090782"/>
    <n v="1384.0999999999985"/>
    <n v="3.3171164262090747"/>
    <n v="14.64698052"/>
    <n v="64.368170980000002"/>
    <n v="0"/>
    <n v="0"/>
  </r>
  <r>
    <s v="MVPRP_C30_P6_V3_I3"/>
    <s v="MVPRP"/>
    <x v="4"/>
    <x v="1"/>
    <s v="V3"/>
    <s v="I3"/>
    <x v="0"/>
    <n v="85047.4"/>
    <n v="84213.65"/>
    <n v="85047.4"/>
    <n v="83166.663310000004"/>
    <n v="833.75"/>
    <n v="0.99"/>
    <n v="833.75"/>
    <n v="0.99004140065179458"/>
    <n v="1880.7366899999906"/>
    <n v="2.2332919782006728"/>
    <n v="3601.4695879999999"/>
    <n v="3600.1932109999998"/>
    <n v="4.6214769999999997E-3"/>
    <n v="1.2432505999999999E-2"/>
  </r>
  <r>
    <s v="MVPRP_C30_P6_V3_I3"/>
    <s v="MVPRP"/>
    <x v="4"/>
    <x v="1"/>
    <s v="V3"/>
    <s v="I3"/>
    <x v="1"/>
    <n v="86499.3"/>
    <n v="84392.5"/>
    <n v="86499.3"/>
    <n v="84392.5"/>
    <n v="2106.8000000000002"/>
    <n v="2.4964"/>
    <n v="2106.8000000000002"/>
    <n v="2.4964303699973338"/>
    <n v="2106.8000000000029"/>
    <n v="2.4964303699973374"/>
    <n v="3601.4695879999999"/>
    <n v="2735.3070189999999"/>
    <n v="4.6214769999999997E-3"/>
    <n v="0"/>
  </r>
  <r>
    <s v="MVPRP_C30_P6_V3_I3"/>
    <s v="MVPRP"/>
    <x v="4"/>
    <x v="1"/>
    <s v="V3"/>
    <s v="I3"/>
    <x v="2"/>
    <n v="87951.2"/>
    <n v="84571.34994"/>
    <n v="87951.2"/>
    <n v="84571.34994"/>
    <n v="3379.85"/>
    <n v="3.9964"/>
    <n v="3379.85"/>
    <n v="3.9964479725082649"/>
    <n v="3379.850059999997"/>
    <n v="3.996448043454274"/>
    <n v="3601.4695879999999"/>
    <n v="1709.304189"/>
    <n v="4.6214769999999997E-3"/>
    <n v="0"/>
  </r>
  <r>
    <s v="MVPRP_C30_P6_V3_I3"/>
    <s v="MVPRP"/>
    <x v="4"/>
    <x v="1"/>
    <s v="V3"/>
    <s v="I3"/>
    <x v="3"/>
    <n v="89403.1"/>
    <n v="84724.4"/>
    <n v="89403.1"/>
    <n v="84724.4"/>
    <n v="4678.7"/>
    <n v="5.5223000000000004"/>
    <n v="4678.7"/>
    <n v="5.5222580508094481"/>
    <n v="4678.7000000000116"/>
    <n v="5.5222580508094623"/>
    <n v="3601.4695879999999"/>
    <n v="1561.9112110000001"/>
    <n v="4.6214769999999997E-3"/>
    <n v="0"/>
  </r>
  <r>
    <s v="MVPRP_C30_P9_V3_I3"/>
    <s v="MVPRP"/>
    <x v="4"/>
    <x v="2"/>
    <s v="V3"/>
    <s v="I3"/>
    <x v="0"/>
    <n v="154616.5"/>
    <n v="157262.29999999999"/>
    <n v="154611.86379999999"/>
    <n v="143793.894"/>
    <n v="-2645.8"/>
    <n v="-1.6823999999999999"/>
    <n v="0"/>
    <n v="0"/>
    <n v="10822.606"/>
    <n v="6.8818820531049081"/>
    <n v="3600.2826089999999"/>
    <n v="3600.1742949999998"/>
    <n v="3.6053826999999997E-2"/>
    <n v="8.5642942E-2"/>
  </r>
  <r>
    <s v="MVPRP_C30_P9_V3_I3"/>
    <s v="MVPRP"/>
    <x v="4"/>
    <x v="2"/>
    <s v="V3"/>
    <s v="I3"/>
    <x v="1"/>
    <n v="156811.4"/>
    <n v="159259"/>
    <n v="156806.76379999999"/>
    <n v="145164.7531"/>
    <n v="-2447.6"/>
    <n v="-1.5368999999999999"/>
    <n v="0"/>
    <n v="0"/>
    <n v="11646.646899999992"/>
    <n v="7.3130227491067954"/>
    <n v="3600.2826089999999"/>
    <n v="3600.4222639999998"/>
    <n v="3.6053826999999997E-2"/>
    <n v="8.8498904000000003E-2"/>
  </r>
  <r>
    <s v="MVPRP_C30_P9_V3_I3"/>
    <s v="MVPRP"/>
    <x v="4"/>
    <x v="2"/>
    <s v="V3"/>
    <s v="I3"/>
    <x v="2"/>
    <n v="158872.79999999999"/>
    <n v="157654.75"/>
    <n v="158868.16380000001"/>
    <n v="146955.91390000001"/>
    <n v="1218.05"/>
    <n v="0.77259999999999995"/>
    <n v="1218.05"/>
    <n v="0.77260596334712406"/>
    <n v="11916.886099999974"/>
    <n v="7.5588500187910439"/>
    <n v="3600.2826089999999"/>
    <n v="3600.0443399999999"/>
    <n v="3.6053826999999997E-2"/>
    <n v="6.7862440999999996E-2"/>
  </r>
  <r>
    <s v="MVPRP_C30_P9_V3_I3"/>
    <s v="MVPRP"/>
    <x v="4"/>
    <x v="2"/>
    <s v="V3"/>
    <s v="I3"/>
    <x v="3"/>
    <n v="160934.20000000001"/>
    <n v="156955.5"/>
    <n v="160929.5638"/>
    <n v="147292.30230000001"/>
    <n v="3978.7"/>
    <n v="2.5348999999999999"/>
    <n v="3978.7"/>
    <n v="2.5349223187463963"/>
    <n v="13641.897700000001"/>
    <n v="8.6915703495576793"/>
    <n v="3600.2826089999999"/>
    <n v="3600.1242849999999"/>
    <n v="3.6053826999999997E-2"/>
    <n v="6.156648E-2"/>
  </r>
  <r>
    <s v="MVPRP_C35_P3_V3_I3"/>
    <s v="MVPRP"/>
    <x v="5"/>
    <x v="0"/>
    <s v="V3"/>
    <s v="I3"/>
    <x v="0"/>
    <n v="50770.400000000001"/>
    <n v="50262.55"/>
    <n v="50770.400000000001"/>
    <n v="50262.55"/>
    <n v="507.85"/>
    <n v="1.0104"/>
    <n v="507.85"/>
    <n v="1.010394418906323"/>
    <n v="507.84999999999854"/>
    <n v="1.0103944189063199"/>
    <n v="121.5128121"/>
    <n v="461.2260814"/>
    <n v="0"/>
    <n v="0"/>
  </r>
  <r>
    <s v="MVPRP_C35_P3_V3_I3"/>
    <s v="MVPRP"/>
    <x v="5"/>
    <x v="0"/>
    <s v="V3"/>
    <s v="I3"/>
    <x v="1"/>
    <n v="51253.4"/>
    <n v="50414.2"/>
    <n v="51253.4"/>
    <n v="50414.2"/>
    <n v="839.2"/>
    <n v="1.6646000000000001"/>
    <n v="839.2"/>
    <n v="1.6646103677138586"/>
    <n v="839.20000000000437"/>
    <n v="1.6646103677138671"/>
    <n v="121.5128121"/>
    <n v="249.37905910000001"/>
    <n v="0"/>
    <n v="0"/>
  </r>
  <r>
    <s v="MVPRP_C35_P3_V3_I3"/>
    <s v="MVPRP"/>
    <x v="5"/>
    <x v="0"/>
    <s v="V3"/>
    <s v="I3"/>
    <x v="2"/>
    <n v="51736.4"/>
    <n v="50425"/>
    <n v="51736.4"/>
    <n v="50425"/>
    <n v="1311.4"/>
    <n v="2.6006999999999998"/>
    <n v="1311.4"/>
    <n v="2.6006941001487358"/>
    <n v="1311.4000000000015"/>
    <n v="2.6006941001487385"/>
    <n v="121.5128121"/>
    <n v="265.9618845"/>
    <n v="0"/>
    <n v="0"/>
  </r>
  <r>
    <s v="MVPRP_C35_P3_V3_I3"/>
    <s v="MVPRP"/>
    <x v="5"/>
    <x v="0"/>
    <s v="V3"/>
    <s v="I3"/>
    <x v="3"/>
    <n v="52219.4"/>
    <n v="50425"/>
    <n v="52219.4"/>
    <n v="50425"/>
    <n v="1794.4"/>
    <n v="3.5586000000000002"/>
    <n v="1794.4"/>
    <n v="3.5585523054040653"/>
    <n v="1794.4000000000015"/>
    <n v="3.5585523054040684"/>
    <n v="121.5128121"/>
    <n v="185.6011939"/>
    <n v="0"/>
    <n v="0"/>
  </r>
  <r>
    <s v="MVPRP_C35_P6_V3_I3"/>
    <s v="MVPRP"/>
    <x v="5"/>
    <x v="1"/>
    <s v="V3"/>
    <s v="I3"/>
    <x v="0"/>
    <n v="103105.9"/>
    <n v="103103.65"/>
    <n v="103105.9"/>
    <n v="99484.429789999995"/>
    <n v="2.25"/>
    <n v="2.2000000000000001E-3"/>
    <n v="2.25"/>
    <n v="2.1822699778329866E-3"/>
    <n v="3621.4702099999995"/>
    <n v="3.5124558732886757"/>
    <n v="3601.3276820000001"/>
    <n v="3600.1099629999999"/>
    <n v="1.9531355E-2"/>
    <n v="3.5102736000000002E-2"/>
  </r>
  <r>
    <s v="MVPRP_C35_P6_V3_I3"/>
    <s v="MVPRP"/>
    <x v="5"/>
    <x v="1"/>
    <s v="V3"/>
    <s v="I3"/>
    <x v="1"/>
    <n v="104723"/>
    <n v="102045.3"/>
    <n v="104723"/>
    <n v="100190.71309999999"/>
    <n v="2677.7"/>
    <n v="2.6240000000000001"/>
    <n v="2677.7"/>
    <n v="2.6240307000910379"/>
    <n v="4532.2869000000064"/>
    <n v="4.4414460048625521"/>
    <n v="3601.3276820000001"/>
    <n v="3600.1454039999999"/>
    <n v="1.9531355E-2"/>
    <n v="1.8174152999999998E-2"/>
  </r>
  <r>
    <s v="MVPRP_C35_P6_V3_I3"/>
    <s v="MVPRP"/>
    <x v="5"/>
    <x v="1"/>
    <s v="V3"/>
    <s v="I3"/>
    <x v="2"/>
    <n v="106340.1"/>
    <n v="101872.55"/>
    <n v="106340.1"/>
    <n v="100954.39449999999"/>
    <n v="4467.55"/>
    <n v="4.3853999999999997"/>
    <n v="4467.55"/>
    <n v="4.3854306189449463"/>
    <n v="5385.7055000000109"/>
    <n v="5.2867092263814062"/>
    <n v="3601.3276820000001"/>
    <n v="3600.0929540000002"/>
    <n v="1.9531355E-2"/>
    <n v="9.0127869999999995E-3"/>
  </r>
  <r>
    <s v="MVPRP_C35_P6_V3_I3"/>
    <s v="MVPRP"/>
    <x v="5"/>
    <x v="1"/>
    <s v="V3"/>
    <s v="I3"/>
    <x v="3"/>
    <n v="107957.2"/>
    <n v="101891.8"/>
    <n v="107957.2"/>
    <n v="101891.8"/>
    <n v="6065.4"/>
    <n v="5.9527999999999999"/>
    <n v="6065.4"/>
    <n v="5.952785209408411"/>
    <n v="6065.3999999999942"/>
    <n v="5.9527852094084057"/>
    <n v="3601.3276820000001"/>
    <n v="3174.8945130000002"/>
    <n v="1.9531355E-2"/>
    <n v="0"/>
  </r>
  <r>
    <s v="MVPRP_C40_P3_V3_I3"/>
    <s v="MVPRP"/>
    <x v="6"/>
    <x v="0"/>
    <s v="V3"/>
    <s v="I3"/>
    <x v="0"/>
    <n v="64415.8"/>
    <n v="62081"/>
    <n v="64415.8"/>
    <n v="62081"/>
    <n v="2334.8000000000002"/>
    <n v="3.7608999999999999"/>
    <n v="2334.8000000000002"/>
    <n v="3.7608930268520164"/>
    <n v="2334.8000000000029"/>
    <n v="3.7608930268520204"/>
    <n v="1146.8290810000001"/>
    <n v="852.70444610000004"/>
    <n v="0"/>
    <n v="0"/>
  </r>
  <r>
    <s v="MVPRP_C40_P3_V3_I3"/>
    <s v="MVPRP"/>
    <x v="6"/>
    <x v="0"/>
    <s v="V3"/>
    <s v="I3"/>
    <x v="1"/>
    <n v="65624.399999999994"/>
    <n v="62081"/>
    <n v="65624.399999999994"/>
    <n v="62081"/>
    <n v="3543.4"/>
    <n v="5.7077"/>
    <n v="3543.4"/>
    <n v="5.7077044506370713"/>
    <n v="3543.3999999999942"/>
    <n v="5.7077044506370616"/>
    <n v="1146.8290810000001"/>
    <n v="687.55316540000001"/>
    <n v="0"/>
    <n v="0"/>
  </r>
  <r>
    <s v="MVPRP_C40_P3_V3_I3"/>
    <s v="MVPRP"/>
    <x v="6"/>
    <x v="0"/>
    <s v="V3"/>
    <s v="I3"/>
    <x v="2"/>
    <n v="66833"/>
    <n v="62081"/>
    <n v="66833"/>
    <n v="62081"/>
    <n v="4752"/>
    <n v="7.6544999999999996"/>
    <n v="4752"/>
    <n v="7.6545158744221258"/>
    <n v="4752"/>
    <n v="7.6545158744221258"/>
    <n v="1146.8290810000001"/>
    <n v="453.60951110000002"/>
    <n v="0"/>
    <n v="0"/>
  </r>
  <r>
    <s v="MVPRP_C40_P3_V3_I3"/>
    <s v="MVPRP"/>
    <x v="6"/>
    <x v="0"/>
    <s v="V3"/>
    <s v="I3"/>
    <x v="3"/>
    <n v="68041.600000000006"/>
    <n v="62081"/>
    <n v="68041.600000000006"/>
    <n v="62081"/>
    <n v="5960.6"/>
    <n v="9.6013000000000002"/>
    <n v="5960.6"/>
    <n v="9.6013272982071811"/>
    <n v="5960.6000000000058"/>
    <n v="9.60132729820719"/>
    <n v="1146.8290810000001"/>
    <n v="310.46887179999999"/>
    <n v="0"/>
    <n v="0"/>
  </r>
  <r>
    <s v="MVPRP_C40_P6_V3_I3"/>
    <s v="MVPRP"/>
    <x v="6"/>
    <x v="1"/>
    <s v="V3"/>
    <s v="I3"/>
    <x v="0"/>
    <n v="130908.3"/>
    <n v="128675"/>
    <n v="130908.3"/>
    <n v="123601.6397"/>
    <n v="2233.3000000000002"/>
    <n v="1.7356"/>
    <n v="2233.3000000000002"/>
    <n v="1.7356129784340393"/>
    <n v="7306.6603000000032"/>
    <n v="5.6783837575286604"/>
    <n v="3601.411122"/>
    <n v="3600.1578589999999"/>
    <n v="2.7051693000000002E-2"/>
    <n v="3.9427707999999999E-2"/>
  </r>
  <r>
    <s v="MVPRP_C40_P6_V3_I3"/>
    <s v="MVPRP"/>
    <x v="6"/>
    <x v="1"/>
    <s v="V3"/>
    <s v="I3"/>
    <x v="1"/>
    <n v="134144.29999999999"/>
    <n v="127839.6"/>
    <n v="134144.29999999999"/>
    <n v="124188.01850000001"/>
    <n v="6304.7"/>
    <n v="4.9317000000000002"/>
    <n v="6304.7"/>
    <n v="4.9317269453283643"/>
    <n v="9956.2814999999828"/>
    <n v="7.7881043901889422"/>
    <n v="3601.411122"/>
    <n v="3600.1022480000001"/>
    <n v="2.7051693000000002E-2"/>
    <n v="2.8563775E-2"/>
  </r>
  <r>
    <s v="MVPRP_C40_P6_V3_I3"/>
    <s v="MVPRP"/>
    <x v="6"/>
    <x v="1"/>
    <s v="V3"/>
    <s v="I3"/>
    <x v="2"/>
    <n v="137269.20000000001"/>
    <n v="129719.3"/>
    <n v="137269.20000000001"/>
    <n v="125050.55530000001"/>
    <n v="7549.9"/>
    <n v="5.8201999999999998"/>
    <n v="7549.9"/>
    <n v="5.8201825017557134"/>
    <n v="12218.644700000004"/>
    <n v="9.419295895059566"/>
    <n v="3601.411122"/>
    <n v="3600.325738"/>
    <n v="2.7051693000000002E-2"/>
    <n v="3.5991134000000001E-2"/>
  </r>
  <r>
    <s v="MVPRP_C40_P6_V3_I3"/>
    <s v="MVPRP"/>
    <x v="6"/>
    <x v="1"/>
    <s v="V3"/>
    <s v="I3"/>
    <x v="3"/>
    <n v="140378.6"/>
    <n v="128798.6"/>
    <n v="140378.6"/>
    <n v="125408.8008"/>
    <n v="11580"/>
    <n v="8.9908000000000001"/>
    <n v="11580"/>
    <n v="8.9907809556936176"/>
    <n v="14969.799200000009"/>
    <n v="11.62264123988926"/>
    <n v="3601.411122"/>
    <n v="3600.160476"/>
    <n v="2.7051693000000002E-2"/>
    <n v="2.6318602999999999E-2"/>
  </r>
  <r>
    <s v="MVPRP_C45_P3_V3_I3"/>
    <s v="MVPRP"/>
    <x v="7"/>
    <x v="0"/>
    <s v="V3"/>
    <s v="I3"/>
    <x v="0"/>
    <n v="72095.350000000006"/>
    <n v="70234"/>
    <n v="72095.350000000006"/>
    <n v="70234"/>
    <n v="1861.35"/>
    <n v="2.6501999999999999"/>
    <n v="1861.35"/>
    <n v="2.6502121479625251"/>
    <n v="1861.3500000000058"/>
    <n v="2.6502121479625336"/>
    <n v="1263.6088030000001"/>
    <n v="2661.0199640000001"/>
    <n v="0"/>
    <n v="0"/>
  </r>
  <r>
    <s v="MVPRP_C45_P3_V3_I3"/>
    <s v="MVPRP"/>
    <x v="7"/>
    <x v="0"/>
    <s v="V3"/>
    <s v="I3"/>
    <x v="1"/>
    <n v="73217.100000000006"/>
    <n v="70323"/>
    <n v="73217.100000000006"/>
    <n v="70319.305550000005"/>
    <n v="2894.1"/>
    <n v="4.1154000000000002"/>
    <n v="2894.1"/>
    <n v="4.1154387611450023"/>
    <n v="2897.7944500000012"/>
    <n v="4.1206923055046021"/>
    <n v="1263.6088030000001"/>
    <n v="815.24494770000001"/>
    <n v="0"/>
    <s v="5,25355e-05"/>
  </r>
  <r>
    <s v="MVPRP_C45_P3_V3_I3"/>
    <s v="MVPRP"/>
    <x v="7"/>
    <x v="0"/>
    <s v="V3"/>
    <s v="I3"/>
    <x v="2"/>
    <n v="74258.75"/>
    <n v="70331.899999999994"/>
    <n v="74258.75"/>
    <n v="70331.899999999994"/>
    <n v="3926.85"/>
    <n v="5.5833000000000004"/>
    <n v="3926.85"/>
    <n v="5.5833128352852697"/>
    <n v="3926.8500000000058"/>
    <n v="5.5833128352852777"/>
    <n v="1263.6088030000001"/>
    <n v="569.14165949999995"/>
    <n v="0"/>
    <n v="0"/>
  </r>
  <r>
    <s v="MVPRP_C45_P3_V3_I3"/>
    <s v="MVPRP"/>
    <x v="7"/>
    <x v="0"/>
    <s v="V3"/>
    <s v="I3"/>
    <x v="3"/>
    <n v="75300.399999999994"/>
    <n v="70340.800000000003"/>
    <n v="75300.399999999994"/>
    <n v="70340.800000000003"/>
    <n v="4959.6000000000004"/>
    <n v="7.0507999999999997"/>
    <n v="4959.6000000000004"/>
    <n v="7.0508154584537008"/>
    <n v="4959.5999999999913"/>
    <n v="7.0508154584536866"/>
    <n v="1263.6088030000001"/>
    <n v="696.51968739999995"/>
    <n v="0"/>
    <n v="0"/>
  </r>
  <r>
    <s v="MVPRP_C50_P3_V3_I3"/>
    <s v="MVPRP"/>
    <x v="8"/>
    <x v="0"/>
    <s v="V3"/>
    <s v="I3"/>
    <x v="0"/>
    <n v="67366.8"/>
    <n v="65829"/>
    <n v="67366.8"/>
    <n v="65824"/>
    <n v="1537.8"/>
    <n v="2.3361000000000001"/>
    <n v="1537.8"/>
    <n v="2.3360524996582055"/>
    <n v="1542.8000000000029"/>
    <n v="2.3436479363198632"/>
    <n v="3603.0426229999998"/>
    <n v="3521.5407049999999"/>
    <n v="1.2311825E-2"/>
    <s v="7,59544e-05"/>
  </r>
  <r>
    <s v="MVPRP_C50_P3_V3_I3"/>
    <s v="MVPRP"/>
    <x v="8"/>
    <x v="0"/>
    <s v="V3"/>
    <s v="I3"/>
    <x v="1"/>
    <n v="68154.600000000006"/>
    <n v="65829"/>
    <n v="68154.600000000006"/>
    <n v="65829"/>
    <n v="2325.6"/>
    <n v="3.5327999999999999"/>
    <n v="2325.6"/>
    <n v="3.5327895000683589"/>
    <n v="2325.6000000000058"/>
    <n v="3.5327895000683682"/>
    <n v="3603.0426229999998"/>
    <n v="1300.778061"/>
    <n v="1.2311825E-2"/>
    <n v="0"/>
  </r>
  <r>
    <s v="MVPRP_C50_P3_V3_I3"/>
    <s v="MVPRP"/>
    <x v="8"/>
    <x v="0"/>
    <s v="V3"/>
    <s v="I3"/>
    <x v="2"/>
    <n v="68942.399999999994"/>
    <n v="65829"/>
    <n v="68942.399999999994"/>
    <n v="65829"/>
    <n v="3113.4"/>
    <n v="4.7294999999999998"/>
    <n v="3113.4"/>
    <n v="4.7295265004785128"/>
    <n v="3113.3999999999942"/>
    <n v="4.7295265004785039"/>
    <n v="3603.0426229999998"/>
    <n v="1515.0493309999999"/>
    <n v="1.2311825E-2"/>
    <n v="0"/>
  </r>
  <r>
    <s v="MVPRP_C50_P3_V3_I3"/>
    <s v="MVPRP"/>
    <x v="8"/>
    <x v="0"/>
    <s v="V3"/>
    <s v="I3"/>
    <x v="3"/>
    <n v="69730.2"/>
    <n v="65829"/>
    <n v="69730.2"/>
    <n v="65829"/>
    <n v="3901.2"/>
    <n v="5.9263000000000003"/>
    <n v="3901.2"/>
    <n v="5.9262635008886653"/>
    <n v="3901.1999999999971"/>
    <n v="5.9262635008886617"/>
    <n v="3603.0426229999998"/>
    <n v="1013.332621"/>
    <n v="1.2311825E-2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C012829-C0DE-4809-87AE-8681CD3F95F9}" name="PivotTable7" cacheId="2" applyNumberFormats="0" applyBorderFormats="0" applyFontFormats="0" applyPatternFormats="0" applyAlignmentFormats="0" applyWidthHeightFormats="1" dataCaption="Werte" updatedVersion="8" minRefreshableVersion="3" useAutoFormatting="1" itemPrintTitles="1" createdVersion="8" indent="0" outline="1" outlineData="1" multipleFieldFilters="0" chartFormat="1">
  <location ref="A1:G17" firstHeaderRow="0" firstDataRow="1" firstDataCol="1"/>
  <pivotFields count="21">
    <pivotField showAll="0"/>
    <pivotField showAll="0"/>
    <pivotField showAll="0">
      <items count="10">
        <item x="0"/>
        <item x="1"/>
        <item x="2"/>
        <item x="3"/>
        <item x="4"/>
        <item x="5"/>
        <item x="6"/>
        <item x="7"/>
        <item x="8"/>
        <item t="default"/>
      </items>
    </pivotField>
    <pivotField axis="axisRow" showAll="0">
      <items count="4">
        <item x="0"/>
        <item x="1"/>
        <item x="2"/>
        <item t="default"/>
      </items>
    </pivotField>
    <pivotField showAll="0"/>
    <pivotField showAll="0"/>
    <pivotField axis="axisRow" showAll="0">
      <items count="5">
        <item x="0"/>
        <item x="1"/>
        <item x="2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/>
    <pivotField dataField="1" showAll="0"/>
    <pivotField dataField="1" showAll="0"/>
    <pivotField dataField="1" showAll="0"/>
    <pivotField showAll="0"/>
    <pivotField showAll="0"/>
    <pivotField dataField="1" showAll="0"/>
    <pivotField dataField="1" showAll="0"/>
  </pivotFields>
  <rowFields count="2">
    <field x="3"/>
    <field x="6"/>
  </rowFields>
  <rowItems count="16">
    <i>
      <x/>
    </i>
    <i r="1">
      <x/>
    </i>
    <i r="1">
      <x v="1"/>
    </i>
    <i r="1">
      <x v="2"/>
    </i>
    <i r="1">
      <x v="3"/>
    </i>
    <i>
      <x v="1"/>
    </i>
    <i r="1">
      <x/>
    </i>
    <i r="1">
      <x v="1"/>
    </i>
    <i r="1">
      <x v="2"/>
    </i>
    <i r="1">
      <x v="3"/>
    </i>
    <i>
      <x v="2"/>
    </i>
    <i r="1">
      <x/>
    </i>
    <i r="1">
      <x v="1"/>
    </i>
    <i r="1">
      <x v="2"/>
    </i>
    <i r="1">
      <x v="3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dataFields count="6">
    <dataField name="Mittelwert von vss_Min" fld="13" subtotal="average" baseField="6" baseItem="0"/>
    <dataField name="Mittelwert von vss_Max" fld="15" subtotal="average" baseField="6" baseItem="0"/>
    <dataField name="Mittelwert von vss%_Min" fld="14" subtotal="average" baseField="1" baseItem="0"/>
    <dataField name="Mittelwert von vss%_Max" fld="16" subtotal="average" baseField="1" baseItem="0"/>
    <dataField name="Mittelwert von gap_hprp" fld="20" subtotal="average" baseField="3" baseItem="2"/>
    <dataField name="Mittelwert von gap_vss_calc" fld="19" subtotal="average" baseField="3" baseItem="2"/>
  </dataFields>
  <chartFormats count="6">
    <chartFormat chart="0" format="0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4"/>
          </reference>
        </references>
      </pivotArea>
    </chartFormat>
    <chartFormat chart="0" format="3" series="1">
      <pivotArea type="data" outline="0" fieldPosition="0">
        <references count="1">
          <reference field="4294967294" count="1" selected="0">
            <x v="5"/>
          </reference>
        </references>
      </pivotArea>
    </chartFormat>
    <chartFormat chart="0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7AB379-2847-4368-A58E-49B6C3C873AD}">
  <dimension ref="A1:G17"/>
  <sheetViews>
    <sheetView workbookViewId="0">
      <selection activeCell="D13" sqref="D13"/>
    </sheetView>
  </sheetViews>
  <sheetFormatPr baseColWidth="10" defaultRowHeight="15" x14ac:dyDescent="0.25"/>
  <cols>
    <col min="1" max="1" width="22.7109375" bestFit="1" customWidth="1"/>
    <col min="2" max="2" width="21.85546875" bestFit="1" customWidth="1"/>
    <col min="3" max="3" width="22.140625" bestFit="1" customWidth="1"/>
    <col min="4" max="4" width="23.42578125" bestFit="1" customWidth="1"/>
    <col min="5" max="5" width="23.7109375" bestFit="1" customWidth="1"/>
    <col min="6" max="6" width="22.85546875" bestFit="1" customWidth="1"/>
    <col min="7" max="7" width="26.140625" bestFit="1" customWidth="1"/>
  </cols>
  <sheetData>
    <row r="1" spans="1:7" x14ac:dyDescent="0.25">
      <c r="A1" s="2" t="s">
        <v>39</v>
      </c>
      <c r="B1" t="s">
        <v>66</v>
      </c>
      <c r="C1" t="s">
        <v>53</v>
      </c>
      <c r="D1" t="s">
        <v>41</v>
      </c>
      <c r="E1" t="s">
        <v>42</v>
      </c>
      <c r="F1" t="s">
        <v>51</v>
      </c>
      <c r="G1" t="s">
        <v>52</v>
      </c>
    </row>
    <row r="2" spans="1:7" x14ac:dyDescent="0.25">
      <c r="A2" s="3" t="s">
        <v>48</v>
      </c>
      <c r="B2" s="5">
        <v>1814.6249999999998</v>
      </c>
      <c r="C2" s="5">
        <v>1814.8665275000005</v>
      </c>
      <c r="D2" s="5">
        <v>3.4903721947642086</v>
      </c>
      <c r="E2" s="5">
        <v>3.4907291559208851</v>
      </c>
      <c r="F2" s="5">
        <v>0</v>
      </c>
      <c r="G2" s="5">
        <v>1.3679805555555555E-3</v>
      </c>
    </row>
    <row r="3" spans="1:7" x14ac:dyDescent="0.25">
      <c r="A3" s="4">
        <v>1.5</v>
      </c>
      <c r="B3" s="5">
        <v>964.48888888888882</v>
      </c>
      <c r="C3" s="5">
        <v>965.04444444444584</v>
      </c>
      <c r="D3" s="5">
        <v>1.8662036921391767</v>
      </c>
      <c r="E3" s="5">
        <v>1.867047629546029</v>
      </c>
      <c r="F3" s="5">
        <v>0</v>
      </c>
      <c r="G3" s="5">
        <v>1.3679805555555555E-3</v>
      </c>
    </row>
    <row r="4" spans="1:7" x14ac:dyDescent="0.25">
      <c r="A4" s="4">
        <v>2</v>
      </c>
      <c r="B4" s="5">
        <v>1494.1333333333334</v>
      </c>
      <c r="C4" s="5">
        <v>1494.5438277777782</v>
      </c>
      <c r="D4" s="5">
        <v>2.8370769149689927</v>
      </c>
      <c r="E4" s="5">
        <v>2.837660642120059</v>
      </c>
      <c r="F4" s="5">
        <v>0</v>
      </c>
      <c r="G4" s="5">
        <v>1.3679805555555555E-3</v>
      </c>
    </row>
    <row r="5" spans="1:7" x14ac:dyDescent="0.25">
      <c r="A5" s="4">
        <v>2.5</v>
      </c>
      <c r="B5" s="5">
        <v>2097.5555555555557</v>
      </c>
      <c r="C5" s="5">
        <v>2097.5555555555557</v>
      </c>
      <c r="D5" s="5">
        <v>4.0321185639927357</v>
      </c>
      <c r="E5" s="5">
        <v>4.0321185639927366</v>
      </c>
      <c r="F5" s="5">
        <v>0</v>
      </c>
      <c r="G5" s="5">
        <v>1.3679805555555555E-3</v>
      </c>
    </row>
    <row r="6" spans="1:7" x14ac:dyDescent="0.25">
      <c r="A6" s="4">
        <v>3</v>
      </c>
      <c r="B6" s="5">
        <v>2702.3222222222225</v>
      </c>
      <c r="C6" s="5">
        <v>2702.3222822222219</v>
      </c>
      <c r="D6" s="5">
        <v>5.2260896079559265</v>
      </c>
      <c r="E6" s="5">
        <v>5.2260897880247157</v>
      </c>
      <c r="F6" s="5">
        <v>0</v>
      </c>
      <c r="G6" s="5">
        <v>1.3679805555555555E-3</v>
      </c>
    </row>
    <row r="7" spans="1:7" x14ac:dyDescent="0.25">
      <c r="A7" s="3" t="s">
        <v>49</v>
      </c>
      <c r="B7" s="5">
        <v>2533.1214285714282</v>
      </c>
      <c r="C7" s="5">
        <v>3398.2084460714295</v>
      </c>
      <c r="D7" s="5">
        <v>2.6303785292175048</v>
      </c>
      <c r="E7" s="5">
        <v>3.3626050352651857</v>
      </c>
      <c r="F7" s="5">
        <v>7.322264357142858E-3</v>
      </c>
      <c r="G7" s="5">
        <v>8.0602104285714283E-3</v>
      </c>
    </row>
    <row r="8" spans="1:7" x14ac:dyDescent="0.25">
      <c r="A8" s="4">
        <v>1.5</v>
      </c>
      <c r="B8" s="5">
        <v>680.72857142857151</v>
      </c>
      <c r="C8" s="5">
        <v>2072.095418571429</v>
      </c>
      <c r="D8" s="5">
        <v>0.74546967639497186</v>
      </c>
      <c r="E8" s="5">
        <v>1.9877977016106174</v>
      </c>
      <c r="F8" s="5">
        <v>1.2423278571428572E-2</v>
      </c>
      <c r="G8" s="5">
        <v>8.0602104285714283E-3</v>
      </c>
    </row>
    <row r="9" spans="1:7" x14ac:dyDescent="0.25">
      <c r="A9" s="4">
        <v>2</v>
      </c>
      <c r="B9" s="5">
        <v>2040.2142857142858</v>
      </c>
      <c r="C9" s="5">
        <v>2826.8097714285727</v>
      </c>
      <c r="D9" s="5">
        <v>2.0551677396910661</v>
      </c>
      <c r="E9" s="5">
        <v>2.7228524182099405</v>
      </c>
      <c r="F9" s="5">
        <v>6.6768468571428569E-3</v>
      </c>
      <c r="G9" s="5">
        <v>8.0602104285714283E-3</v>
      </c>
    </row>
    <row r="10" spans="1:7" x14ac:dyDescent="0.25">
      <c r="A10" s="4">
        <v>2.5</v>
      </c>
      <c r="B10" s="5">
        <v>3014.3714285714282</v>
      </c>
      <c r="C10" s="5">
        <v>3812.5000371428573</v>
      </c>
      <c r="D10" s="5">
        <v>3.140515187884596</v>
      </c>
      <c r="E10" s="5">
        <v>3.7834283409826397</v>
      </c>
      <c r="F10" s="5">
        <v>6.4291315714285714E-3</v>
      </c>
      <c r="G10" s="5">
        <v>8.0602104285714283E-3</v>
      </c>
    </row>
    <row r="11" spans="1:7" x14ac:dyDescent="0.25">
      <c r="A11" s="4">
        <v>3</v>
      </c>
      <c r="B11" s="5">
        <v>4397.1714285714279</v>
      </c>
      <c r="C11" s="5">
        <v>4881.42855714286</v>
      </c>
      <c r="D11" s="5">
        <v>4.5803615128993851</v>
      </c>
      <c r="E11" s="5">
        <v>4.9563416802575437</v>
      </c>
      <c r="F11" s="5">
        <v>3.7598004285714286E-3</v>
      </c>
      <c r="G11" s="5">
        <v>8.0602104285714283E-3</v>
      </c>
    </row>
    <row r="12" spans="1:7" x14ac:dyDescent="0.25">
      <c r="A12" s="3" t="s">
        <v>50</v>
      </c>
      <c r="B12" s="5">
        <v>1159.0025000000001</v>
      </c>
      <c r="C12" s="5">
        <v>5988.9082099999978</v>
      </c>
      <c r="D12" s="5">
        <v>0.89903199507149245</v>
      </c>
      <c r="E12" s="5">
        <v>4.344113631488379</v>
      </c>
      <c r="F12" s="5">
        <v>3.771300985E-2</v>
      </c>
      <c r="G12" s="5">
        <v>1.3439280600000001E-2</v>
      </c>
    </row>
    <row r="13" spans="1:7" x14ac:dyDescent="0.25">
      <c r="A13" s="4">
        <v>1.5</v>
      </c>
      <c r="B13" s="5">
        <v>166.32</v>
      </c>
      <c r="C13" s="5">
        <v>5148.0726999999988</v>
      </c>
      <c r="D13" s="5">
        <v>0.14197110531542584</v>
      </c>
      <c r="E13" s="5">
        <v>3.7925328243206864</v>
      </c>
      <c r="F13" s="5">
        <v>4.1372373000000004E-2</v>
      </c>
      <c r="G13" s="5">
        <v>1.3439280599999997E-2</v>
      </c>
    </row>
    <row r="14" spans="1:7" x14ac:dyDescent="0.25">
      <c r="A14" s="4">
        <v>2</v>
      </c>
      <c r="B14" s="5">
        <v>471.82</v>
      </c>
      <c r="C14" s="5">
        <v>5682.8387599999987</v>
      </c>
      <c r="D14" s="5">
        <v>0.39993388401730884</v>
      </c>
      <c r="E14" s="5">
        <v>4.1200412757938967</v>
      </c>
      <c r="F14" s="5">
        <v>4.1887001800000004E-2</v>
      </c>
      <c r="G14" s="5">
        <v>1.3439280599999997E-2</v>
      </c>
    </row>
    <row r="15" spans="1:7" x14ac:dyDescent="0.25">
      <c r="A15" s="4">
        <v>2.5</v>
      </c>
      <c r="B15" s="5">
        <v>1169.0300000000002</v>
      </c>
      <c r="C15" s="5">
        <v>6201.1276199999938</v>
      </c>
      <c r="D15" s="5">
        <v>0.93869435642073162</v>
      </c>
      <c r="E15" s="5">
        <v>4.4696508762503715</v>
      </c>
      <c r="F15" s="5">
        <v>3.88056554E-2</v>
      </c>
      <c r="G15" s="5">
        <v>1.3439280599999997E-2</v>
      </c>
    </row>
    <row r="16" spans="1:7" x14ac:dyDescent="0.25">
      <c r="A16" s="4">
        <v>3</v>
      </c>
      <c r="B16" s="5">
        <v>2828.84</v>
      </c>
      <c r="C16" s="5">
        <v>6923.5937600000007</v>
      </c>
      <c r="D16" s="5">
        <v>2.1155286345325037</v>
      </c>
      <c r="E16" s="5">
        <v>4.9942295495885629</v>
      </c>
      <c r="F16" s="5">
        <v>2.8787009200000001E-2</v>
      </c>
      <c r="G16" s="5">
        <v>1.3439280599999997E-2</v>
      </c>
    </row>
    <row r="17" spans="1:7" x14ac:dyDescent="0.25">
      <c r="A17" s="3" t="s">
        <v>40</v>
      </c>
      <c r="B17" s="5">
        <v>1898.0232142857142</v>
      </c>
      <c r="C17" s="5">
        <v>3336.4666152380951</v>
      </c>
      <c r="D17" s="5">
        <v>2.5867218777503744</v>
      </c>
      <c r="E17" s="5">
        <v>3.6512078955993408</v>
      </c>
      <c r="F17" s="5">
        <v>1.1698580475609755E-2</v>
      </c>
      <c r="G17" s="5">
        <v>6.4728429047619038E-3</v>
      </c>
    </row>
  </sheetData>
  <pageMargins left="0.7" right="0.7" top="0.78740157499999996" bottom="0.78740157499999996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C86731-AF93-4E5E-AE79-1E82B0F14DEB}">
  <dimension ref="A1:N35"/>
  <sheetViews>
    <sheetView tabSelected="1" workbookViewId="0">
      <selection activeCell="K23" sqref="K23"/>
    </sheetView>
  </sheetViews>
  <sheetFormatPr baseColWidth="10" defaultRowHeight="15" x14ac:dyDescent="0.25"/>
  <cols>
    <col min="6" max="6" width="13" bestFit="1" customWidth="1"/>
  </cols>
  <sheetData>
    <row r="1" spans="1:14" x14ac:dyDescent="0.25">
      <c r="C1" s="8" t="s">
        <v>64</v>
      </c>
      <c r="D1" s="8"/>
      <c r="E1" s="8"/>
      <c r="F1" s="8"/>
      <c r="G1" s="8"/>
      <c r="H1" s="8"/>
      <c r="I1" s="8" t="s">
        <v>65</v>
      </c>
      <c r="J1" s="8"/>
      <c r="K1" s="8"/>
      <c r="L1" s="8"/>
      <c r="M1" s="8"/>
      <c r="N1" s="8"/>
    </row>
    <row r="2" spans="1:14" x14ac:dyDescent="0.25">
      <c r="A2" t="s">
        <v>55</v>
      </c>
      <c r="B2" t="s">
        <v>56</v>
      </c>
      <c r="C2" t="s">
        <v>57</v>
      </c>
      <c r="D2" t="s">
        <v>58</v>
      </c>
      <c r="E2" t="s">
        <v>59</v>
      </c>
      <c r="F2" t="s">
        <v>60</v>
      </c>
      <c r="G2" t="s">
        <v>61</v>
      </c>
      <c r="H2" t="s">
        <v>62</v>
      </c>
      <c r="I2" t="s">
        <v>57</v>
      </c>
      <c r="J2" t="s">
        <v>58</v>
      </c>
      <c r="K2" t="s">
        <v>59</v>
      </c>
      <c r="L2" t="s">
        <v>60</v>
      </c>
      <c r="M2" t="s">
        <v>61</v>
      </c>
      <c r="N2" t="s">
        <v>62</v>
      </c>
    </row>
    <row r="3" spans="1:14" x14ac:dyDescent="0.25">
      <c r="A3" t="s">
        <v>48</v>
      </c>
      <c r="B3">
        <v>1.5</v>
      </c>
      <c r="C3" s="6">
        <v>81.355555555555554</v>
      </c>
      <c r="D3" s="6">
        <v>81.688888888888897</v>
      </c>
      <c r="E3" s="7">
        <v>0.17185555555555554</v>
      </c>
      <c r="F3" s="7">
        <v>0.17255555555555555</v>
      </c>
      <c r="G3" s="7">
        <v>1.7461522222222223E-3</v>
      </c>
      <c r="H3" s="7">
        <v>7.0397999999999999E-4</v>
      </c>
      <c r="I3" s="6">
        <v>964.48888888888882</v>
      </c>
      <c r="J3" s="6">
        <v>1494.5438277777782</v>
      </c>
      <c r="K3" s="7">
        <v>2.8370769149689927</v>
      </c>
      <c r="L3" s="7">
        <v>2.837660642120059</v>
      </c>
      <c r="M3" s="7">
        <v>0</v>
      </c>
      <c r="N3" s="7">
        <v>0.13679805555555555</v>
      </c>
    </row>
    <row r="4" spans="1:14" x14ac:dyDescent="0.25">
      <c r="B4">
        <v>2</v>
      </c>
      <c r="C4" s="6">
        <v>133</v>
      </c>
      <c r="D4" s="6">
        <v>133.65111111111113</v>
      </c>
      <c r="E4" s="7">
        <v>0.28049999999999997</v>
      </c>
      <c r="F4" s="7">
        <v>0.28184444444444445</v>
      </c>
      <c r="G4" s="7">
        <v>1.7461522222222223E-3</v>
      </c>
      <c r="H4" s="7">
        <v>1.3383866666666668E-3</v>
      </c>
      <c r="I4" s="6">
        <v>1494.1333333333334</v>
      </c>
      <c r="J4" s="6">
        <v>2097.5555555555557</v>
      </c>
      <c r="K4" s="7">
        <v>4.0321185639927357</v>
      </c>
      <c r="L4" s="7">
        <v>4.0321185639927366</v>
      </c>
      <c r="M4" s="7">
        <v>0</v>
      </c>
      <c r="N4" s="7">
        <v>0.13679805555555555</v>
      </c>
    </row>
    <row r="5" spans="1:14" x14ac:dyDescent="0.25">
      <c r="B5">
        <v>2.5</v>
      </c>
      <c r="C5" s="6">
        <v>202.53888888888889</v>
      </c>
      <c r="D5" s="6">
        <v>202.87222222222221</v>
      </c>
      <c r="E5" s="7">
        <v>0.4263777777777778</v>
      </c>
      <c r="F5" s="7">
        <v>0.4273777777777778</v>
      </c>
      <c r="G5" s="7">
        <v>1.7461522222222223E-3</v>
      </c>
      <c r="H5" s="7">
        <v>1.0032944444444444E-3</v>
      </c>
      <c r="I5" s="6">
        <v>2097.5555555555557</v>
      </c>
      <c r="J5" s="6">
        <v>2702.3222822222219</v>
      </c>
      <c r="K5" s="7">
        <v>5.2260896079559265</v>
      </c>
      <c r="L5" s="7">
        <v>5.2260897880247157</v>
      </c>
      <c r="M5" s="7">
        <v>0</v>
      </c>
      <c r="N5" s="7">
        <v>0.13679805555555555</v>
      </c>
    </row>
    <row r="6" spans="1:14" x14ac:dyDescent="0.25">
      <c r="B6">
        <v>3</v>
      </c>
      <c r="C6" s="6">
        <v>279.13333333333333</v>
      </c>
      <c r="D6" s="6">
        <v>279.66555555555556</v>
      </c>
      <c r="E6" s="7">
        <v>0.58661111111111119</v>
      </c>
      <c r="F6" s="7">
        <v>0.58764444444444441</v>
      </c>
      <c r="G6" s="7">
        <v>1.7461522222222223E-3</v>
      </c>
      <c r="H6" s="7">
        <v>1.0341244444444443E-3</v>
      </c>
      <c r="I6" s="6">
        <v>2702.3222222222225</v>
      </c>
      <c r="J6" s="6">
        <v>1814.8665275000005</v>
      </c>
      <c r="K6" s="7">
        <v>3.4903721947642086</v>
      </c>
      <c r="L6" s="7">
        <v>3.4907291559208851</v>
      </c>
      <c r="M6" s="7">
        <v>0</v>
      </c>
      <c r="N6" s="7">
        <v>0.13679805555555555</v>
      </c>
    </row>
    <row r="7" spans="1:14" x14ac:dyDescent="0.25">
      <c r="B7" t="s">
        <v>54</v>
      </c>
      <c r="C7" s="6">
        <v>174.00694444444446</v>
      </c>
      <c r="D7" s="6">
        <v>174.46944444444443</v>
      </c>
      <c r="E7" s="7">
        <v>0.36633611111111114</v>
      </c>
      <c r="F7" s="7">
        <v>0.36735555555555555</v>
      </c>
      <c r="G7" s="7">
        <v>1.7461522222222223E-3</v>
      </c>
      <c r="H7" s="7">
        <v>1.0199463888888886E-3</v>
      </c>
      <c r="I7" s="6">
        <v>1814.6249999999998</v>
      </c>
      <c r="J7" s="6">
        <v>965.04444444444584</v>
      </c>
      <c r="K7" s="7">
        <v>1.8662036921391767</v>
      </c>
      <c r="L7" s="7">
        <v>1.867047629546029</v>
      </c>
      <c r="M7" s="7">
        <v>0</v>
      </c>
      <c r="N7" s="7">
        <v>0.13679805555555555</v>
      </c>
    </row>
    <row r="8" spans="1:14" x14ac:dyDescent="0.25">
      <c r="A8" t="s">
        <v>49</v>
      </c>
      <c r="B8">
        <v>1.5</v>
      </c>
      <c r="C8" s="6">
        <v>26.35</v>
      </c>
      <c r="D8" s="6">
        <v>76.845714285714294</v>
      </c>
      <c r="E8" s="7">
        <v>4.1228571428571427E-2</v>
      </c>
      <c r="F8" s="7">
        <v>9.3457142857142878E-2</v>
      </c>
      <c r="G8" s="7">
        <v>5.9081875714285713E-2</v>
      </c>
      <c r="H8" s="7">
        <v>5.2217705714285717E-2</v>
      </c>
      <c r="I8" s="6">
        <v>680.72857142857151</v>
      </c>
      <c r="J8" s="6">
        <v>2826.8097714285727</v>
      </c>
      <c r="K8" s="7">
        <v>2.0551677396910661</v>
      </c>
      <c r="L8" s="7">
        <v>2.7228524182099405</v>
      </c>
      <c r="M8" s="7">
        <v>0.66768468571428574</v>
      </c>
      <c r="N8" s="7">
        <v>0.80602104285714282</v>
      </c>
    </row>
    <row r="9" spans="1:14" x14ac:dyDescent="0.25">
      <c r="B9">
        <v>2</v>
      </c>
      <c r="C9" s="6">
        <v>52.285714285714285</v>
      </c>
      <c r="D9" s="6">
        <v>82.78857142857143</v>
      </c>
      <c r="E9" s="7">
        <v>6.9142857142857145E-2</v>
      </c>
      <c r="F9" s="7">
        <v>0.10057142857142856</v>
      </c>
      <c r="G9" s="7">
        <v>5.9081875714285713E-2</v>
      </c>
      <c r="H9" s="7">
        <v>3.1432257142857141E-2</v>
      </c>
      <c r="I9" s="6">
        <v>2040.2142857142858</v>
      </c>
      <c r="J9" s="6">
        <v>3812.5000371428573</v>
      </c>
      <c r="K9" s="7">
        <v>3.140515187884596</v>
      </c>
      <c r="L9" s="7">
        <v>3.7834283409826397</v>
      </c>
      <c r="M9" s="7">
        <v>0.64291315714285713</v>
      </c>
      <c r="N9" s="7">
        <v>0.80602104285714282</v>
      </c>
    </row>
    <row r="10" spans="1:14" x14ac:dyDescent="0.25">
      <c r="B10">
        <v>2.5</v>
      </c>
      <c r="C10" s="6">
        <v>90.321428571428569</v>
      </c>
      <c r="D10" s="6">
        <v>117.15285714285713</v>
      </c>
      <c r="E10" s="7">
        <v>0.12465714285714284</v>
      </c>
      <c r="F10" s="7">
        <v>0.1527</v>
      </c>
      <c r="G10" s="7">
        <v>5.9081875714285713E-2</v>
      </c>
      <c r="H10" s="7">
        <v>2.8044689999999997E-2</v>
      </c>
      <c r="I10" s="6">
        <v>3014.3714285714282</v>
      </c>
      <c r="J10" s="6">
        <v>4881.42855714286</v>
      </c>
      <c r="K10" s="7">
        <v>4.5803615128993851</v>
      </c>
      <c r="L10" s="7">
        <v>4.9563416802575437</v>
      </c>
      <c r="M10" s="7">
        <v>0.37598004285714287</v>
      </c>
      <c r="N10" s="7">
        <v>0.80602104285714282</v>
      </c>
    </row>
    <row r="11" spans="1:14" x14ac:dyDescent="0.25">
      <c r="B11">
        <v>3</v>
      </c>
      <c r="C11" s="6">
        <v>128.55714285714285</v>
      </c>
      <c r="D11" s="6">
        <v>144.09714285714284</v>
      </c>
      <c r="E11" s="7">
        <v>0.18029999999999999</v>
      </c>
      <c r="F11" s="7">
        <v>0.19627142857142857</v>
      </c>
      <c r="G11" s="7">
        <v>5.9081875714285713E-2</v>
      </c>
      <c r="H11" s="7">
        <v>1.5973214285714285E-2</v>
      </c>
      <c r="I11" s="6">
        <v>4397.1714285714279</v>
      </c>
      <c r="J11" s="6">
        <v>3398.2084460714295</v>
      </c>
      <c r="K11" s="7">
        <v>2.6303785292175048</v>
      </c>
      <c r="L11" s="7">
        <v>3.3626050352651857</v>
      </c>
      <c r="M11" s="7">
        <v>0.73222643571428581</v>
      </c>
      <c r="N11" s="7">
        <v>0.80602104285714282</v>
      </c>
    </row>
    <row r="12" spans="1:14" x14ac:dyDescent="0.25">
      <c r="B12" t="s">
        <v>54</v>
      </c>
      <c r="C12" s="6">
        <v>74.378571428571448</v>
      </c>
      <c r="D12" s="6">
        <v>105.22107142857145</v>
      </c>
      <c r="E12" s="7">
        <v>0.10383214285714286</v>
      </c>
      <c r="F12" s="7">
        <v>0.13575000000000001</v>
      </c>
      <c r="G12" s="7">
        <v>5.9081875714285713E-2</v>
      </c>
      <c r="H12" s="7">
        <v>3.1916966785714283E-2</v>
      </c>
      <c r="I12" s="6">
        <v>2533.1214285714282</v>
      </c>
      <c r="J12" s="6">
        <v>2072.095418571429</v>
      </c>
      <c r="K12" s="7">
        <v>0.74546967639497186</v>
      </c>
      <c r="L12" s="7">
        <v>1.9877977016106174</v>
      </c>
      <c r="M12" s="7">
        <v>1.2423278571428573</v>
      </c>
      <c r="N12" s="7">
        <v>0.80602104285714282</v>
      </c>
    </row>
    <row r="13" spans="1:14" x14ac:dyDescent="0.25">
      <c r="A13" t="s">
        <v>50</v>
      </c>
      <c r="B13">
        <v>1.5</v>
      </c>
      <c r="C13" s="6">
        <v>147.05000000000001</v>
      </c>
      <c r="D13" s="6">
        <v>381.88</v>
      </c>
      <c r="E13" s="7">
        <v>0.15752000000000002</v>
      </c>
      <c r="F13" s="7">
        <v>0.40994000000000003</v>
      </c>
      <c r="G13" s="7">
        <v>0.35646646599999998</v>
      </c>
      <c r="H13" s="7">
        <v>0.2524208</v>
      </c>
      <c r="I13" s="6">
        <v>166.32</v>
      </c>
      <c r="J13" s="6">
        <v>5682.8387599999987</v>
      </c>
      <c r="K13" s="7">
        <v>0.39993388401730884</v>
      </c>
      <c r="L13" s="7">
        <v>4.1200412757938967</v>
      </c>
      <c r="M13" s="7">
        <v>4.1887001800000006</v>
      </c>
      <c r="N13" s="7">
        <v>1.3439280599999996</v>
      </c>
    </row>
    <row r="14" spans="1:14" x14ac:dyDescent="0.25">
      <c r="B14">
        <v>2</v>
      </c>
      <c r="C14" s="6">
        <v>192.94</v>
      </c>
      <c r="D14" s="6">
        <v>345.57399999999996</v>
      </c>
      <c r="E14" s="7">
        <v>0.19656000000000001</v>
      </c>
      <c r="F14" s="7">
        <v>0.35439999999999999</v>
      </c>
      <c r="G14" s="7">
        <v>0.35646646599999998</v>
      </c>
      <c r="H14" s="7">
        <v>0.15782993799999998</v>
      </c>
      <c r="I14" s="6">
        <v>471.82</v>
      </c>
      <c r="J14" s="6">
        <v>6201.1276199999938</v>
      </c>
      <c r="K14" s="7">
        <v>0.93869435642073162</v>
      </c>
      <c r="L14" s="7">
        <v>4.4696508762503715</v>
      </c>
      <c r="M14" s="7">
        <v>3.8805655400000001</v>
      </c>
      <c r="N14" s="7">
        <v>1.3439280599999996</v>
      </c>
    </row>
    <row r="15" spans="1:14" x14ac:dyDescent="0.25">
      <c r="B15">
        <v>2.5</v>
      </c>
      <c r="C15" s="6">
        <v>267.36</v>
      </c>
      <c r="D15" s="6">
        <v>393.94799999999998</v>
      </c>
      <c r="E15" s="7">
        <v>0.27492</v>
      </c>
      <c r="F15" s="7">
        <v>0.39451999999999998</v>
      </c>
      <c r="G15" s="7">
        <v>0.35646646599999998</v>
      </c>
      <c r="H15" s="7">
        <v>0.1196128992</v>
      </c>
      <c r="I15" s="6">
        <v>1169.0300000000002</v>
      </c>
      <c r="J15" s="6">
        <v>6923.5937600000007</v>
      </c>
      <c r="K15" s="7">
        <v>2.1155286345325037</v>
      </c>
      <c r="L15" s="7">
        <v>4.9942295495885629</v>
      </c>
      <c r="M15" s="7">
        <v>2.87870092</v>
      </c>
      <c r="N15" s="7">
        <v>1.3439280599999996</v>
      </c>
    </row>
    <row r="16" spans="1:14" x14ac:dyDescent="0.25">
      <c r="B16">
        <v>3</v>
      </c>
      <c r="C16" s="6">
        <v>350.23999999999995</v>
      </c>
      <c r="D16" s="6">
        <v>476.03999999999996</v>
      </c>
      <c r="E16" s="7">
        <v>0.36087999999999998</v>
      </c>
      <c r="F16" s="7">
        <v>0.47358</v>
      </c>
      <c r="G16" s="7">
        <v>0.35646646599999998</v>
      </c>
      <c r="H16" s="7">
        <v>0.11269617999999999</v>
      </c>
      <c r="I16" s="6">
        <v>2828.84</v>
      </c>
      <c r="J16" s="6">
        <v>5988.9082099999978</v>
      </c>
      <c r="K16" s="7">
        <v>0.89903199507149245</v>
      </c>
      <c r="L16" s="7">
        <v>4.344113631488379</v>
      </c>
      <c r="M16" s="7">
        <v>3.7713009849999999</v>
      </c>
      <c r="N16" s="7">
        <v>1.3439280600000001</v>
      </c>
    </row>
    <row r="17" spans="1:14" x14ac:dyDescent="0.25">
      <c r="B17" t="s">
        <v>54</v>
      </c>
      <c r="C17" s="6">
        <v>239.39749999999998</v>
      </c>
      <c r="D17" s="6">
        <v>399.36049999999994</v>
      </c>
      <c r="E17" s="7">
        <v>0.24747000000000002</v>
      </c>
      <c r="F17" s="7">
        <v>0.40810999999999992</v>
      </c>
      <c r="G17" s="7">
        <v>0.35646646599999998</v>
      </c>
      <c r="H17" s="7">
        <v>0.1606399543</v>
      </c>
      <c r="I17" s="6">
        <v>1159.0025000000001</v>
      </c>
      <c r="J17" s="6">
        <v>5148.0726999999988</v>
      </c>
      <c r="K17" s="7">
        <v>0.14197110531542584</v>
      </c>
      <c r="L17" s="7">
        <v>3.7925328243206864</v>
      </c>
      <c r="M17" s="7">
        <v>4.1372373000000007</v>
      </c>
      <c r="N17" s="7">
        <v>1.3439280599999996</v>
      </c>
    </row>
    <row r="18" spans="1:14" x14ac:dyDescent="0.25">
      <c r="A18" t="s">
        <v>63</v>
      </c>
      <c r="C18" s="6">
        <v>156.36666666666662</v>
      </c>
      <c r="D18" s="6">
        <v>204.93214285714285</v>
      </c>
      <c r="E18" s="7">
        <v>0.25053333333333333</v>
      </c>
      <c r="F18" s="7">
        <v>0.29985714285714282</v>
      </c>
      <c r="G18" s="7">
        <v>0.10531527761904762</v>
      </c>
      <c r="H18" s="7">
        <v>4.9323716976190472E-2</v>
      </c>
      <c r="I18" s="6">
        <v>1898.0232142857142</v>
      </c>
      <c r="J18" s="6">
        <v>3336.4666152380951</v>
      </c>
      <c r="K18" s="7">
        <v>2.5867218777503744</v>
      </c>
      <c r="L18" s="7">
        <v>3.6512078955993408</v>
      </c>
      <c r="M18" s="7">
        <v>1.1698580475609754</v>
      </c>
      <c r="N18" s="7">
        <v>0.6472842904761904</v>
      </c>
    </row>
    <row r="25" spans="1:14" x14ac:dyDescent="0.25">
      <c r="C25" s="6"/>
      <c r="D25" s="6"/>
      <c r="E25" s="7"/>
      <c r="F25" s="7"/>
      <c r="G25" s="7"/>
      <c r="H25" s="7"/>
    </row>
    <row r="26" spans="1:14" x14ac:dyDescent="0.25">
      <c r="C26" s="6"/>
      <c r="D26" s="6"/>
      <c r="E26" s="7"/>
      <c r="F26" s="7"/>
      <c r="G26" s="7"/>
      <c r="H26" s="7"/>
    </row>
    <row r="27" spans="1:14" x14ac:dyDescent="0.25">
      <c r="C27" s="6"/>
      <c r="D27" s="6"/>
      <c r="E27" s="7"/>
      <c r="F27" s="7"/>
      <c r="G27" s="7"/>
      <c r="H27" s="7"/>
    </row>
    <row r="28" spans="1:14" x14ac:dyDescent="0.25">
      <c r="C28" s="6"/>
      <c r="D28" s="6"/>
      <c r="E28" s="7"/>
      <c r="F28" s="7"/>
      <c r="G28" s="7"/>
      <c r="H28" s="7"/>
    </row>
    <row r="29" spans="1:14" x14ac:dyDescent="0.25">
      <c r="C29" s="6"/>
      <c r="D29" s="6"/>
      <c r="E29" s="7"/>
      <c r="F29" s="7"/>
      <c r="G29" s="7"/>
      <c r="H29" s="7"/>
    </row>
    <row r="30" spans="1:14" x14ac:dyDescent="0.25">
      <c r="C30" s="6"/>
      <c r="D30" s="6"/>
      <c r="E30" s="7"/>
      <c r="F30" s="7"/>
      <c r="G30" s="7"/>
      <c r="H30" s="7"/>
    </row>
    <row r="31" spans="1:14" x14ac:dyDescent="0.25">
      <c r="C31" s="6"/>
      <c r="D31" s="6"/>
      <c r="E31" s="7"/>
      <c r="F31" s="7"/>
      <c r="G31" s="7"/>
      <c r="H31" s="7"/>
    </row>
    <row r="32" spans="1:14" x14ac:dyDescent="0.25">
      <c r="C32" s="6"/>
      <c r="D32" s="6"/>
      <c r="E32" s="7"/>
      <c r="F32" s="7"/>
      <c r="G32" s="7"/>
      <c r="H32" s="7"/>
    </row>
    <row r="33" spans="3:8" x14ac:dyDescent="0.25">
      <c r="C33" s="6"/>
      <c r="D33" s="6"/>
      <c r="E33" s="7"/>
      <c r="F33" s="7"/>
      <c r="G33" s="7"/>
      <c r="H33" s="7"/>
    </row>
    <row r="34" spans="3:8" x14ac:dyDescent="0.25">
      <c r="C34" s="6"/>
      <c r="D34" s="6"/>
      <c r="E34" s="7"/>
      <c r="F34" s="7"/>
      <c r="G34" s="7"/>
      <c r="H34" s="7"/>
    </row>
    <row r="35" spans="3:8" x14ac:dyDescent="0.25">
      <c r="C35" s="6"/>
      <c r="D35" s="6"/>
      <c r="E35" s="7"/>
      <c r="F35" s="7"/>
      <c r="G35" s="7"/>
      <c r="H35" s="7"/>
    </row>
  </sheetData>
  <mergeCells count="2">
    <mergeCell ref="C1:H1"/>
    <mergeCell ref="I1:N1"/>
  </mergeCells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FB1D36-1E9A-4CA7-965C-A0F3CD2DE6DF}">
  <dimension ref="A1:U85"/>
  <sheetViews>
    <sheetView topLeftCell="B1" zoomScale="115" zoomScaleNormal="115" workbookViewId="0">
      <selection activeCell="N2" sqref="N2"/>
    </sheetView>
  </sheetViews>
  <sheetFormatPr baseColWidth="10" defaultRowHeight="15" x14ac:dyDescent="0.25"/>
  <cols>
    <col min="10" max="10" width="12" bestFit="1" customWidth="1"/>
  </cols>
  <sheetData>
    <row r="1" spans="1:21" x14ac:dyDescent="0.25">
      <c r="A1" t="s">
        <v>0</v>
      </c>
      <c r="B1" t="s">
        <v>43</v>
      </c>
      <c r="C1" t="s">
        <v>44</v>
      </c>
      <c r="D1" t="s">
        <v>45</v>
      </c>
      <c r="E1" t="s">
        <v>46</v>
      </c>
      <c r="F1" t="s">
        <v>47</v>
      </c>
      <c r="G1" t="s">
        <v>1</v>
      </c>
      <c r="H1" t="s">
        <v>2</v>
      </c>
      <c r="I1" t="s">
        <v>3</v>
      </c>
      <c r="J1" t="s">
        <v>4</v>
      </c>
      <c r="K1" t="s">
        <v>5</v>
      </c>
      <c r="L1" t="s">
        <v>6</v>
      </c>
      <c r="M1" t="s">
        <v>7</v>
      </c>
      <c r="N1" t="s">
        <v>37</v>
      </c>
      <c r="O1" t="s">
        <v>38</v>
      </c>
      <c r="P1" t="s">
        <v>35</v>
      </c>
      <c r="Q1" t="s">
        <v>36</v>
      </c>
      <c r="R1" t="s">
        <v>8</v>
      </c>
      <c r="S1" t="s">
        <v>9</v>
      </c>
      <c r="T1" t="s">
        <v>10</v>
      </c>
      <c r="U1" t="s">
        <v>11</v>
      </c>
    </row>
    <row r="2" spans="1:21" x14ac:dyDescent="0.25">
      <c r="A2" t="s">
        <v>12</v>
      </c>
      <c r="B2" t="str" cm="1">
        <f t="array" ref="B2:F2">_xlfn.TEXTSPLIT(A2,"_")</f>
        <v>MVPRP</v>
      </c>
      <c r="C2" t="str">
        <v>C10</v>
      </c>
      <c r="D2" t="str">
        <v>P3</v>
      </c>
      <c r="E2" t="str">
        <v>V3</v>
      </c>
      <c r="F2" t="str">
        <v>I3</v>
      </c>
      <c r="G2">
        <v>1.5</v>
      </c>
      <c r="H2">
        <v>20550</v>
      </c>
      <c r="I2">
        <v>20475</v>
      </c>
      <c r="J2">
        <v>20550</v>
      </c>
      <c r="K2">
        <v>20475</v>
      </c>
      <c r="L2">
        <f>H2-I2</f>
        <v>75</v>
      </c>
      <c r="M2">
        <v>0.36630000000000001</v>
      </c>
      <c r="N2">
        <f>MAX(L2,0)</f>
        <v>75</v>
      </c>
      <c r="O2">
        <f>N2/I2*100</f>
        <v>0.36630036630036628</v>
      </c>
      <c r="P2">
        <f>(H2-K2)</f>
        <v>75</v>
      </c>
      <c r="Q2">
        <f>P2/I2*100</f>
        <v>0.36630036630036628</v>
      </c>
      <c r="R2">
        <v>1.3977477549999999</v>
      </c>
      <c r="S2">
        <v>2.142055273</v>
      </c>
      <c r="T2">
        <v>0</v>
      </c>
      <c r="U2">
        <v>0</v>
      </c>
    </row>
    <row r="3" spans="1:21" x14ac:dyDescent="0.25">
      <c r="A3" t="s">
        <v>12</v>
      </c>
      <c r="B3" t="str" cm="1">
        <f t="array" ref="B3:F3">_xlfn.TEXTSPLIT(A3,"_")</f>
        <v>MVPRP</v>
      </c>
      <c r="C3" t="str">
        <v>C10</v>
      </c>
      <c r="D3" t="str">
        <v>P3</v>
      </c>
      <c r="E3" t="str">
        <v>V3</v>
      </c>
      <c r="F3" t="str">
        <v>I3</v>
      </c>
      <c r="G3">
        <v>2</v>
      </c>
      <c r="H3">
        <v>20550</v>
      </c>
      <c r="I3">
        <v>20550</v>
      </c>
      <c r="J3">
        <v>20550</v>
      </c>
      <c r="K3">
        <v>20550</v>
      </c>
      <c r="L3">
        <v>0</v>
      </c>
      <c r="M3">
        <v>0</v>
      </c>
      <c r="N3">
        <f t="shared" ref="N3:N66" si="0">MAX(L3,0)</f>
        <v>0</v>
      </c>
      <c r="O3">
        <f t="shared" ref="O3:O66" si="1">N3/I3*100</f>
        <v>0</v>
      </c>
      <c r="P3">
        <f t="shared" ref="P3:P66" si="2">(H3-K3)</f>
        <v>0</v>
      </c>
      <c r="Q3">
        <f t="shared" ref="Q3:Q66" si="3">P3/I3*100</f>
        <v>0</v>
      </c>
      <c r="R3">
        <v>1.3977477549999999</v>
      </c>
      <c r="S3">
        <v>1.268621445</v>
      </c>
      <c r="T3">
        <v>0</v>
      </c>
      <c r="U3">
        <v>0</v>
      </c>
    </row>
    <row r="4" spans="1:21" x14ac:dyDescent="0.25">
      <c r="A4" t="s">
        <v>12</v>
      </c>
      <c r="B4" t="str" cm="1">
        <f t="array" ref="B4:F4">_xlfn.TEXTSPLIT(A4,"_")</f>
        <v>MVPRP</v>
      </c>
      <c r="C4" t="str">
        <v>C10</v>
      </c>
      <c r="D4" t="str">
        <v>P3</v>
      </c>
      <c r="E4" t="str">
        <v>V3</v>
      </c>
      <c r="F4" t="str">
        <v>I3</v>
      </c>
      <c r="G4">
        <v>2.5</v>
      </c>
      <c r="H4">
        <v>20550</v>
      </c>
      <c r="I4">
        <v>20550</v>
      </c>
      <c r="J4">
        <v>20550</v>
      </c>
      <c r="K4">
        <v>20550</v>
      </c>
      <c r="L4">
        <v>0</v>
      </c>
      <c r="M4">
        <v>0</v>
      </c>
      <c r="N4">
        <f t="shared" si="0"/>
        <v>0</v>
      </c>
      <c r="O4">
        <f t="shared" si="1"/>
        <v>0</v>
      </c>
      <c r="P4">
        <f t="shared" si="2"/>
        <v>0</v>
      </c>
      <c r="Q4">
        <f t="shared" si="3"/>
        <v>0</v>
      </c>
      <c r="R4">
        <v>1.3977477549999999</v>
      </c>
      <c r="S4">
        <v>1.128122568</v>
      </c>
      <c r="T4">
        <v>0</v>
      </c>
      <c r="U4">
        <v>0</v>
      </c>
    </row>
    <row r="5" spans="1:21" x14ac:dyDescent="0.25">
      <c r="A5" t="s">
        <v>12</v>
      </c>
      <c r="B5" t="str" cm="1">
        <f t="array" ref="B5:F5">_xlfn.TEXTSPLIT(A5,"_")</f>
        <v>MVPRP</v>
      </c>
      <c r="C5" t="str">
        <v>C10</v>
      </c>
      <c r="D5" t="str">
        <v>P3</v>
      </c>
      <c r="E5" t="str">
        <v>V3</v>
      </c>
      <c r="F5" t="str">
        <v>I3</v>
      </c>
      <c r="G5">
        <v>3</v>
      </c>
      <c r="H5">
        <v>20550</v>
      </c>
      <c r="I5">
        <v>20550</v>
      </c>
      <c r="J5">
        <v>20550</v>
      </c>
      <c r="K5">
        <v>20550</v>
      </c>
      <c r="L5">
        <v>0</v>
      </c>
      <c r="M5">
        <v>0</v>
      </c>
      <c r="N5">
        <f t="shared" si="0"/>
        <v>0</v>
      </c>
      <c r="O5">
        <f t="shared" si="1"/>
        <v>0</v>
      </c>
      <c r="P5">
        <f t="shared" si="2"/>
        <v>0</v>
      </c>
      <c r="Q5">
        <f t="shared" si="3"/>
        <v>0</v>
      </c>
      <c r="R5">
        <v>1.3977477549999999</v>
      </c>
      <c r="S5">
        <v>0.94926094999999999</v>
      </c>
      <c r="T5">
        <v>0</v>
      </c>
      <c r="U5">
        <v>0</v>
      </c>
    </row>
    <row r="6" spans="1:21" x14ac:dyDescent="0.25">
      <c r="A6" t="s">
        <v>13</v>
      </c>
      <c r="B6" t="str" cm="1">
        <f t="array" ref="B6:F6">_xlfn.TEXTSPLIT(A6,"_")</f>
        <v>MVPRP</v>
      </c>
      <c r="C6" t="str">
        <v>C10</v>
      </c>
      <c r="D6" t="str">
        <v>P6</v>
      </c>
      <c r="E6" t="str">
        <v>V3</v>
      </c>
      <c r="F6" t="str">
        <v>I3</v>
      </c>
      <c r="G6">
        <v>1.5</v>
      </c>
      <c r="H6">
        <v>41795.050000000003</v>
      </c>
      <c r="I6">
        <v>41795.050000000003</v>
      </c>
      <c r="J6">
        <v>41795.050000000003</v>
      </c>
      <c r="K6">
        <v>41795.050000000003</v>
      </c>
      <c r="L6">
        <v>0</v>
      </c>
      <c r="M6">
        <v>0</v>
      </c>
      <c r="N6">
        <f t="shared" si="0"/>
        <v>0</v>
      </c>
      <c r="O6">
        <f t="shared" si="1"/>
        <v>0</v>
      </c>
      <c r="P6">
        <f t="shared" si="2"/>
        <v>0</v>
      </c>
      <c r="Q6">
        <f t="shared" si="3"/>
        <v>0</v>
      </c>
      <c r="R6">
        <v>9.5018048289999992</v>
      </c>
      <c r="S6">
        <v>6.5077271459999997</v>
      </c>
      <c r="T6">
        <v>0</v>
      </c>
      <c r="U6">
        <v>0</v>
      </c>
    </row>
    <row r="7" spans="1:21" x14ac:dyDescent="0.25">
      <c r="A7" t="s">
        <v>13</v>
      </c>
      <c r="B7" t="str" cm="1">
        <f t="array" ref="B7:F7">_xlfn.TEXTSPLIT(A7,"_")</f>
        <v>MVPRP</v>
      </c>
      <c r="C7" t="str">
        <v>C10</v>
      </c>
      <c r="D7" t="str">
        <v>P6</v>
      </c>
      <c r="E7" t="str">
        <v>V3</v>
      </c>
      <c r="F7" t="str">
        <v>I3</v>
      </c>
      <c r="G7">
        <v>2</v>
      </c>
      <c r="H7">
        <v>41892.300000000003</v>
      </c>
      <c r="I7">
        <v>41892.300000000003</v>
      </c>
      <c r="J7">
        <v>41892.300000000003</v>
      </c>
      <c r="K7">
        <v>41892.300000000003</v>
      </c>
      <c r="L7">
        <v>0</v>
      </c>
      <c r="M7">
        <v>0</v>
      </c>
      <c r="N7">
        <f t="shared" si="0"/>
        <v>0</v>
      </c>
      <c r="O7">
        <f t="shared" si="1"/>
        <v>0</v>
      </c>
      <c r="P7">
        <f t="shared" si="2"/>
        <v>0</v>
      </c>
      <c r="Q7">
        <f t="shared" si="3"/>
        <v>0</v>
      </c>
      <c r="R7">
        <v>9.5018048289999992</v>
      </c>
      <c r="S7">
        <v>5.9463109970000003</v>
      </c>
      <c r="T7">
        <v>0</v>
      </c>
      <c r="U7">
        <v>0</v>
      </c>
    </row>
    <row r="8" spans="1:21" x14ac:dyDescent="0.25">
      <c r="A8" t="s">
        <v>13</v>
      </c>
      <c r="B8" t="str" cm="1">
        <f t="array" ref="B8:F8">_xlfn.TEXTSPLIT(A8,"_")</f>
        <v>MVPRP</v>
      </c>
      <c r="C8" t="str">
        <v>C10</v>
      </c>
      <c r="D8" t="str">
        <v>P6</v>
      </c>
      <c r="E8" t="str">
        <v>V3</v>
      </c>
      <c r="F8" t="str">
        <v>I3</v>
      </c>
      <c r="G8">
        <v>2.5</v>
      </c>
      <c r="H8">
        <v>41989.55</v>
      </c>
      <c r="I8">
        <v>41989.55</v>
      </c>
      <c r="J8">
        <v>41989.55</v>
      </c>
      <c r="K8">
        <v>41989.55</v>
      </c>
      <c r="L8">
        <v>0</v>
      </c>
      <c r="M8">
        <v>0</v>
      </c>
      <c r="N8">
        <f t="shared" si="0"/>
        <v>0</v>
      </c>
      <c r="O8">
        <f t="shared" si="1"/>
        <v>0</v>
      </c>
      <c r="P8">
        <f t="shared" si="2"/>
        <v>0</v>
      </c>
      <c r="Q8">
        <f t="shared" si="3"/>
        <v>0</v>
      </c>
      <c r="R8">
        <v>9.5018048289999992</v>
      </c>
      <c r="S8">
        <v>5.0853822229999999</v>
      </c>
      <c r="T8">
        <v>0</v>
      </c>
      <c r="U8">
        <v>0</v>
      </c>
    </row>
    <row r="9" spans="1:21" x14ac:dyDescent="0.25">
      <c r="A9" t="s">
        <v>13</v>
      </c>
      <c r="B9" t="str" cm="1">
        <f t="array" ref="B9:F9">_xlfn.TEXTSPLIT(A9,"_")</f>
        <v>MVPRP</v>
      </c>
      <c r="C9" t="str">
        <v>C10</v>
      </c>
      <c r="D9" t="str">
        <v>P6</v>
      </c>
      <c r="E9" t="str">
        <v>V3</v>
      </c>
      <c r="F9" t="str">
        <v>I3</v>
      </c>
      <c r="G9">
        <v>3</v>
      </c>
      <c r="H9">
        <v>42086.8</v>
      </c>
      <c r="I9">
        <v>42064</v>
      </c>
      <c r="J9">
        <v>42086.8</v>
      </c>
      <c r="K9">
        <v>42064</v>
      </c>
      <c r="L9">
        <v>22.8</v>
      </c>
      <c r="M9">
        <v>5.4199999999999998E-2</v>
      </c>
      <c r="N9">
        <f t="shared" si="0"/>
        <v>22.8</v>
      </c>
      <c r="O9">
        <f t="shared" si="1"/>
        <v>5.420311905667554E-2</v>
      </c>
      <c r="P9">
        <f t="shared" si="2"/>
        <v>22.80000000000291</v>
      </c>
      <c r="Q9">
        <f t="shared" si="3"/>
        <v>5.4203119056682458E-2</v>
      </c>
      <c r="R9">
        <v>9.5018048289999992</v>
      </c>
      <c r="S9">
        <v>3.9460017679999999</v>
      </c>
      <c r="T9">
        <v>0</v>
      </c>
      <c r="U9">
        <v>0</v>
      </c>
    </row>
    <row r="10" spans="1:21" x14ac:dyDescent="0.25">
      <c r="A10" t="s">
        <v>14</v>
      </c>
      <c r="B10" t="str" cm="1">
        <f t="array" ref="B10:F10">_xlfn.TEXTSPLIT(A10,"_")</f>
        <v>MVPRP</v>
      </c>
      <c r="C10" t="str">
        <v>C10</v>
      </c>
      <c r="D10" t="str">
        <v>P9</v>
      </c>
      <c r="E10" t="str">
        <v>V3</v>
      </c>
      <c r="F10" t="str">
        <v>I3</v>
      </c>
      <c r="G10">
        <v>1.5</v>
      </c>
      <c r="H10">
        <v>72422.2</v>
      </c>
      <c r="I10">
        <v>72422.2</v>
      </c>
      <c r="J10">
        <v>72422.2</v>
      </c>
      <c r="K10">
        <v>72422.2</v>
      </c>
      <c r="L10">
        <v>0</v>
      </c>
      <c r="M10">
        <v>0</v>
      </c>
      <c r="N10">
        <f t="shared" si="0"/>
        <v>0</v>
      </c>
      <c r="O10">
        <f t="shared" si="1"/>
        <v>0</v>
      </c>
      <c r="P10">
        <f t="shared" si="2"/>
        <v>0</v>
      </c>
      <c r="Q10">
        <f t="shared" si="3"/>
        <v>0</v>
      </c>
      <c r="R10">
        <v>24.249806400000001</v>
      </c>
      <c r="S10">
        <v>29.534793140000001</v>
      </c>
      <c r="T10">
        <v>0</v>
      </c>
      <c r="U10">
        <v>0</v>
      </c>
    </row>
    <row r="11" spans="1:21" x14ac:dyDescent="0.25">
      <c r="A11" t="s">
        <v>14</v>
      </c>
      <c r="B11" t="str" cm="1">
        <f t="array" ref="B11:F11">_xlfn.TEXTSPLIT(A11,"_")</f>
        <v>MVPRP</v>
      </c>
      <c r="C11" t="str">
        <v>C10</v>
      </c>
      <c r="D11" t="str">
        <v>P9</v>
      </c>
      <c r="E11" t="str">
        <v>V3</v>
      </c>
      <c r="F11" t="str">
        <v>I3</v>
      </c>
      <c r="G11">
        <v>2</v>
      </c>
      <c r="H11">
        <v>72657.5</v>
      </c>
      <c r="I11">
        <v>72657.5</v>
      </c>
      <c r="J11">
        <v>72657.5</v>
      </c>
      <c r="K11">
        <v>72657.5</v>
      </c>
      <c r="L11">
        <v>0</v>
      </c>
      <c r="M11">
        <v>0</v>
      </c>
      <c r="N11">
        <f t="shared" si="0"/>
        <v>0</v>
      </c>
      <c r="O11">
        <f t="shared" si="1"/>
        <v>0</v>
      </c>
      <c r="P11">
        <f t="shared" si="2"/>
        <v>0</v>
      </c>
      <c r="Q11">
        <f t="shared" si="3"/>
        <v>0</v>
      </c>
      <c r="R11">
        <v>24.249806400000001</v>
      </c>
      <c r="S11">
        <v>70.096619129999993</v>
      </c>
      <c r="T11">
        <v>0</v>
      </c>
      <c r="U11">
        <v>0</v>
      </c>
    </row>
    <row r="12" spans="1:21" x14ac:dyDescent="0.25">
      <c r="A12" t="s">
        <v>14</v>
      </c>
      <c r="B12" t="str" cm="1">
        <f t="array" ref="B12:F12">_xlfn.TEXTSPLIT(A12,"_")</f>
        <v>MVPRP</v>
      </c>
      <c r="C12" t="str">
        <v>C10</v>
      </c>
      <c r="D12" t="str">
        <v>P9</v>
      </c>
      <c r="E12" t="str">
        <v>V3</v>
      </c>
      <c r="F12" t="str">
        <v>I3</v>
      </c>
      <c r="G12">
        <v>2.5</v>
      </c>
      <c r="H12">
        <v>72892.800000000003</v>
      </c>
      <c r="I12">
        <v>72892.800000000003</v>
      </c>
      <c r="J12">
        <v>72892.800000000003</v>
      </c>
      <c r="K12">
        <v>72892.800000000003</v>
      </c>
      <c r="L12">
        <v>0</v>
      </c>
      <c r="M12">
        <v>0</v>
      </c>
      <c r="N12">
        <f t="shared" si="0"/>
        <v>0</v>
      </c>
      <c r="O12">
        <f t="shared" si="1"/>
        <v>0</v>
      </c>
      <c r="P12">
        <f t="shared" si="2"/>
        <v>0</v>
      </c>
      <c r="Q12">
        <f t="shared" si="3"/>
        <v>0</v>
      </c>
      <c r="R12">
        <v>24.249806400000001</v>
      </c>
      <c r="S12">
        <v>56.281997920000002</v>
      </c>
      <c r="T12">
        <v>0</v>
      </c>
      <c r="U12">
        <v>0</v>
      </c>
    </row>
    <row r="13" spans="1:21" x14ac:dyDescent="0.25">
      <c r="A13" t="s">
        <v>14</v>
      </c>
      <c r="B13" t="str" cm="1">
        <f t="array" ref="B13:F13">_xlfn.TEXTSPLIT(A13,"_")</f>
        <v>MVPRP</v>
      </c>
      <c r="C13" t="str">
        <v>C10</v>
      </c>
      <c r="D13" t="str">
        <v>P9</v>
      </c>
      <c r="E13" t="str">
        <v>V3</v>
      </c>
      <c r="F13" t="str">
        <v>I3</v>
      </c>
      <c r="G13">
        <v>3</v>
      </c>
      <c r="H13">
        <v>73128.100000000006</v>
      </c>
      <c r="I13">
        <v>73128.100000000006</v>
      </c>
      <c r="J13">
        <v>73128.100000000006</v>
      </c>
      <c r="K13">
        <v>73128.100000000006</v>
      </c>
      <c r="L13">
        <v>0</v>
      </c>
      <c r="M13">
        <v>0</v>
      </c>
      <c r="N13">
        <f t="shared" si="0"/>
        <v>0</v>
      </c>
      <c r="O13">
        <f t="shared" si="1"/>
        <v>0</v>
      </c>
      <c r="P13">
        <f t="shared" si="2"/>
        <v>0</v>
      </c>
      <c r="Q13">
        <f t="shared" si="3"/>
        <v>0</v>
      </c>
      <c r="R13">
        <v>24.249806400000001</v>
      </c>
      <c r="S13">
        <v>45.822114470000002</v>
      </c>
      <c r="T13">
        <v>0</v>
      </c>
      <c r="U13">
        <v>0</v>
      </c>
    </row>
    <row r="14" spans="1:21" x14ac:dyDescent="0.25">
      <c r="A14" t="s">
        <v>15</v>
      </c>
      <c r="B14" t="str" cm="1">
        <f t="array" ref="B14:F14">_xlfn.TEXTSPLIT(A14,"_")</f>
        <v>MVPRP</v>
      </c>
      <c r="C14" t="str">
        <v>C15</v>
      </c>
      <c r="D14" t="str">
        <v>P3</v>
      </c>
      <c r="E14" t="str">
        <v>V3</v>
      </c>
      <c r="F14" t="str">
        <v>I3</v>
      </c>
      <c r="G14">
        <v>1.5</v>
      </c>
      <c r="H14">
        <v>30536.7</v>
      </c>
      <c r="I14">
        <v>30120.5</v>
      </c>
      <c r="J14">
        <v>30536.7</v>
      </c>
      <c r="K14">
        <v>30120.5</v>
      </c>
      <c r="L14">
        <v>416.2</v>
      </c>
      <c r="M14">
        <v>1.3817999999999999</v>
      </c>
      <c r="N14">
        <f t="shared" si="0"/>
        <v>416.2</v>
      </c>
      <c r="O14">
        <f t="shared" si="1"/>
        <v>1.3817831709300974</v>
      </c>
      <c r="P14">
        <f t="shared" si="2"/>
        <v>416.20000000000073</v>
      </c>
      <c r="Q14">
        <f t="shared" si="3"/>
        <v>1.3817831709300998</v>
      </c>
      <c r="R14">
        <v>18.66827846</v>
      </c>
      <c r="S14">
        <v>6.1770842080000001</v>
      </c>
      <c r="T14">
        <v>0</v>
      </c>
      <c r="U14">
        <v>0</v>
      </c>
    </row>
    <row r="15" spans="1:21" x14ac:dyDescent="0.25">
      <c r="A15" t="s">
        <v>15</v>
      </c>
      <c r="B15" t="str" cm="1">
        <f t="array" ref="B15:F15">_xlfn.TEXTSPLIT(A15,"_")</f>
        <v>MVPRP</v>
      </c>
      <c r="C15" t="str">
        <v>C15</v>
      </c>
      <c r="D15" t="str">
        <v>P3</v>
      </c>
      <c r="E15" t="str">
        <v>V3</v>
      </c>
      <c r="F15" t="str">
        <v>I3</v>
      </c>
      <c r="G15">
        <v>2</v>
      </c>
      <c r="H15">
        <v>30692.2</v>
      </c>
      <c r="I15">
        <v>30448</v>
      </c>
      <c r="J15">
        <v>30692.2</v>
      </c>
      <c r="K15">
        <v>30448</v>
      </c>
      <c r="L15">
        <v>244.2</v>
      </c>
      <c r="M15">
        <v>0.80200000000000005</v>
      </c>
      <c r="N15">
        <f t="shared" si="0"/>
        <v>244.2</v>
      </c>
      <c r="O15">
        <f t="shared" si="1"/>
        <v>0.80202312138728316</v>
      </c>
      <c r="P15">
        <f t="shared" si="2"/>
        <v>244.20000000000073</v>
      </c>
      <c r="Q15">
        <f t="shared" si="3"/>
        <v>0.8020231213872856</v>
      </c>
      <c r="R15">
        <v>18.66827846</v>
      </c>
      <c r="S15">
        <v>5.3234794140000004</v>
      </c>
      <c r="T15">
        <v>0</v>
      </c>
      <c r="U15">
        <v>0</v>
      </c>
    </row>
    <row r="16" spans="1:21" x14ac:dyDescent="0.25">
      <c r="A16" t="s">
        <v>15</v>
      </c>
      <c r="B16" t="str" cm="1">
        <f t="array" ref="B16:F16">_xlfn.TEXTSPLIT(A16,"_")</f>
        <v>MVPRP</v>
      </c>
      <c r="C16" t="str">
        <v>C15</v>
      </c>
      <c r="D16" t="str">
        <v>P3</v>
      </c>
      <c r="E16" t="str">
        <v>V3</v>
      </c>
      <c r="F16" t="str">
        <v>I3</v>
      </c>
      <c r="G16">
        <v>2.5</v>
      </c>
      <c r="H16">
        <v>30847.7</v>
      </c>
      <c r="I16">
        <v>30465.45</v>
      </c>
      <c r="J16">
        <v>30847.7</v>
      </c>
      <c r="K16">
        <v>30465.45</v>
      </c>
      <c r="L16">
        <v>382.25</v>
      </c>
      <c r="M16">
        <v>1.2546999999999999</v>
      </c>
      <c r="N16">
        <f t="shared" si="0"/>
        <v>382.25</v>
      </c>
      <c r="O16">
        <f t="shared" si="1"/>
        <v>1.2546999962252321</v>
      </c>
      <c r="P16">
        <f t="shared" si="2"/>
        <v>382.25</v>
      </c>
      <c r="Q16">
        <f t="shared" si="3"/>
        <v>1.2546999962252321</v>
      </c>
      <c r="R16">
        <v>18.66827846</v>
      </c>
      <c r="S16">
        <v>5.0509090419999998</v>
      </c>
      <c r="T16">
        <v>0</v>
      </c>
      <c r="U16">
        <v>0</v>
      </c>
    </row>
    <row r="17" spans="1:21" x14ac:dyDescent="0.25">
      <c r="A17" t="s">
        <v>15</v>
      </c>
      <c r="B17" t="str" cm="1">
        <f t="array" ref="B17:F17">_xlfn.TEXTSPLIT(A17,"_")</f>
        <v>MVPRP</v>
      </c>
      <c r="C17" t="str">
        <v>C15</v>
      </c>
      <c r="D17" t="str">
        <v>P3</v>
      </c>
      <c r="E17" t="str">
        <v>V3</v>
      </c>
      <c r="F17" t="str">
        <v>I3</v>
      </c>
      <c r="G17">
        <v>3</v>
      </c>
      <c r="H17">
        <v>31003.200000000001</v>
      </c>
      <c r="I17">
        <v>30482.9</v>
      </c>
      <c r="J17">
        <v>31003.200000000001</v>
      </c>
      <c r="K17">
        <v>30482.9</v>
      </c>
      <c r="L17">
        <v>520.29999999999995</v>
      </c>
      <c r="M17">
        <v>1.7069000000000001</v>
      </c>
      <c r="N17">
        <f t="shared" si="0"/>
        <v>520.29999999999995</v>
      </c>
      <c r="O17">
        <f t="shared" si="1"/>
        <v>1.7068585994114733</v>
      </c>
      <c r="P17">
        <f t="shared" si="2"/>
        <v>520.29999999999927</v>
      </c>
      <c r="Q17">
        <f t="shared" si="3"/>
        <v>1.7068585994114709</v>
      </c>
      <c r="R17">
        <v>18.66827846</v>
      </c>
      <c r="S17">
        <v>3.712069273</v>
      </c>
      <c r="T17">
        <v>0</v>
      </c>
      <c r="U17">
        <v>0</v>
      </c>
    </row>
    <row r="18" spans="1:21" x14ac:dyDescent="0.25">
      <c r="A18" t="s">
        <v>16</v>
      </c>
      <c r="B18" t="str" cm="1">
        <f t="array" ref="B18:F18">_xlfn.TEXTSPLIT(A18,"_")</f>
        <v>MVPRP</v>
      </c>
      <c r="C18" t="str">
        <v>C15</v>
      </c>
      <c r="D18" t="str">
        <v>P6</v>
      </c>
      <c r="E18" t="str">
        <v>V3</v>
      </c>
      <c r="F18" t="str">
        <v>I3</v>
      </c>
      <c r="G18">
        <v>1.5</v>
      </c>
      <c r="H18">
        <v>60598.1</v>
      </c>
      <c r="I18">
        <v>60005.49927</v>
      </c>
      <c r="J18">
        <v>60598.1</v>
      </c>
      <c r="K18">
        <v>60005.49927</v>
      </c>
      <c r="L18">
        <v>592.6</v>
      </c>
      <c r="M18">
        <v>0.98760000000000003</v>
      </c>
      <c r="N18">
        <f t="shared" si="0"/>
        <v>592.6</v>
      </c>
      <c r="O18">
        <f t="shared" si="1"/>
        <v>0.98757615086834694</v>
      </c>
      <c r="P18">
        <f t="shared" si="2"/>
        <v>592.60072999999829</v>
      </c>
      <c r="Q18">
        <f t="shared" si="3"/>
        <v>0.98757736742350799</v>
      </c>
      <c r="R18">
        <v>735.56635449999999</v>
      </c>
      <c r="S18">
        <v>68.752260919999998</v>
      </c>
      <c r="T18">
        <v>0</v>
      </c>
      <c r="U18">
        <v>0</v>
      </c>
    </row>
    <row r="19" spans="1:21" x14ac:dyDescent="0.25">
      <c r="A19" t="s">
        <v>16</v>
      </c>
      <c r="B19" t="str" cm="1">
        <f t="array" ref="B19:F19">_xlfn.TEXTSPLIT(A19,"_")</f>
        <v>MVPRP</v>
      </c>
      <c r="C19" t="str">
        <v>C15</v>
      </c>
      <c r="D19" t="str">
        <v>P6</v>
      </c>
      <c r="E19" t="str">
        <v>V3</v>
      </c>
      <c r="F19" t="str">
        <v>I3</v>
      </c>
      <c r="G19">
        <v>2</v>
      </c>
      <c r="H19">
        <v>61414.8</v>
      </c>
      <c r="I19">
        <v>61053.2</v>
      </c>
      <c r="J19">
        <v>61414.8</v>
      </c>
      <c r="K19">
        <v>61053.2</v>
      </c>
      <c r="L19">
        <v>361.6</v>
      </c>
      <c r="M19">
        <v>0.59230000000000005</v>
      </c>
      <c r="N19">
        <f t="shared" si="0"/>
        <v>361.6</v>
      </c>
      <c r="O19">
        <f t="shared" si="1"/>
        <v>0.59227034782779608</v>
      </c>
      <c r="P19">
        <f t="shared" si="2"/>
        <v>361.60000000000582</v>
      </c>
      <c r="Q19">
        <f t="shared" si="3"/>
        <v>0.59227034782780563</v>
      </c>
      <c r="R19">
        <v>735.56635449999999</v>
      </c>
      <c r="S19">
        <v>117.8902667</v>
      </c>
      <c r="T19">
        <v>0</v>
      </c>
      <c r="U19">
        <v>0</v>
      </c>
    </row>
    <row r="20" spans="1:21" x14ac:dyDescent="0.25">
      <c r="A20" t="s">
        <v>16</v>
      </c>
      <c r="B20" t="str" cm="1">
        <f t="array" ref="B20:F20">_xlfn.TEXTSPLIT(A20,"_")</f>
        <v>MVPRP</v>
      </c>
      <c r="C20" t="str">
        <v>C15</v>
      </c>
      <c r="D20" t="str">
        <v>P6</v>
      </c>
      <c r="E20" t="str">
        <v>V3</v>
      </c>
      <c r="F20" t="str">
        <v>I3</v>
      </c>
      <c r="G20">
        <v>2.5</v>
      </c>
      <c r="H20">
        <v>62074.45</v>
      </c>
      <c r="I20">
        <v>61335.3</v>
      </c>
      <c r="J20">
        <v>62074.45</v>
      </c>
      <c r="K20">
        <v>61335.3</v>
      </c>
      <c r="L20">
        <v>739.15</v>
      </c>
      <c r="M20">
        <v>1.2051000000000001</v>
      </c>
      <c r="N20">
        <f t="shared" si="0"/>
        <v>739.15</v>
      </c>
      <c r="O20">
        <f t="shared" si="1"/>
        <v>1.2050972278606282</v>
      </c>
      <c r="P20">
        <f t="shared" si="2"/>
        <v>739.14999999999418</v>
      </c>
      <c r="Q20">
        <f t="shared" si="3"/>
        <v>1.2050972278606189</v>
      </c>
      <c r="R20">
        <v>735.56635449999999</v>
      </c>
      <c r="S20">
        <v>122.18892529999999</v>
      </c>
      <c r="T20">
        <v>0</v>
      </c>
      <c r="U20">
        <v>0</v>
      </c>
    </row>
    <row r="21" spans="1:21" x14ac:dyDescent="0.25">
      <c r="A21" t="s">
        <v>16</v>
      </c>
      <c r="B21" t="str" cm="1">
        <f t="array" ref="B21:F21">_xlfn.TEXTSPLIT(A21,"_")</f>
        <v>MVPRP</v>
      </c>
      <c r="C21" t="str">
        <v>C15</v>
      </c>
      <c r="D21" t="str">
        <v>P6</v>
      </c>
      <c r="E21" t="str">
        <v>V3</v>
      </c>
      <c r="F21" t="str">
        <v>I3</v>
      </c>
      <c r="G21">
        <v>3</v>
      </c>
      <c r="H21">
        <v>62734.1</v>
      </c>
      <c r="I21">
        <v>61575.7</v>
      </c>
      <c r="J21">
        <v>62734.1</v>
      </c>
      <c r="K21">
        <v>61575.7</v>
      </c>
      <c r="L21">
        <v>1158.4000000000001</v>
      </c>
      <c r="M21">
        <v>1.8813</v>
      </c>
      <c r="N21">
        <f t="shared" si="0"/>
        <v>1158.4000000000001</v>
      </c>
      <c r="O21">
        <f t="shared" si="1"/>
        <v>1.8812616015733481</v>
      </c>
      <c r="P21">
        <f t="shared" si="2"/>
        <v>1158.4000000000015</v>
      </c>
      <c r="Q21">
        <f t="shared" si="3"/>
        <v>1.8812616015733505</v>
      </c>
      <c r="R21">
        <v>735.56635449999999</v>
      </c>
      <c r="S21">
        <v>92.33030033</v>
      </c>
      <c r="T21">
        <v>0</v>
      </c>
      <c r="U21">
        <v>0</v>
      </c>
    </row>
    <row r="22" spans="1:21" x14ac:dyDescent="0.25">
      <c r="A22" t="s">
        <v>17</v>
      </c>
      <c r="B22" t="str" cm="1">
        <f t="array" ref="B22:F22">_xlfn.TEXTSPLIT(A22,"_")</f>
        <v>MVPRP</v>
      </c>
      <c r="C22" t="str">
        <v>C15</v>
      </c>
      <c r="D22" t="str">
        <v>P9</v>
      </c>
      <c r="E22" t="str">
        <v>V3</v>
      </c>
      <c r="F22" t="str">
        <v>I3</v>
      </c>
      <c r="G22">
        <v>1.5</v>
      </c>
      <c r="H22">
        <v>108249.2</v>
      </c>
      <c r="I22">
        <v>108250.7</v>
      </c>
      <c r="J22">
        <v>108239.0511</v>
      </c>
      <c r="K22">
        <v>104134.96219999999</v>
      </c>
      <c r="L22">
        <v>-1.5</v>
      </c>
      <c r="M22">
        <v>-1.4E-3</v>
      </c>
      <c r="N22">
        <f t="shared" si="0"/>
        <v>0</v>
      </c>
      <c r="O22">
        <f t="shared" si="1"/>
        <v>0</v>
      </c>
      <c r="P22">
        <f t="shared" si="2"/>
        <v>4114.2378000000026</v>
      </c>
      <c r="Q22">
        <f t="shared" si="3"/>
        <v>3.8006569934420775</v>
      </c>
      <c r="R22">
        <v>3600.4851629999998</v>
      </c>
      <c r="S22">
        <v>3600.0803139999998</v>
      </c>
      <c r="T22">
        <v>4.9676169999999997E-3</v>
      </c>
      <c r="U22">
        <v>3.8020427000000002E-2</v>
      </c>
    </row>
    <row r="23" spans="1:21" x14ac:dyDescent="0.25">
      <c r="A23" t="s">
        <v>17</v>
      </c>
      <c r="B23" t="str" cm="1">
        <f t="array" ref="B23:F23">_xlfn.TEXTSPLIT(A23,"_")</f>
        <v>MVPRP</v>
      </c>
      <c r="C23" t="str">
        <v>C15</v>
      </c>
      <c r="D23" t="str">
        <v>P9</v>
      </c>
      <c r="E23" t="str">
        <v>V3</v>
      </c>
      <c r="F23" t="str">
        <v>I3</v>
      </c>
      <c r="G23">
        <v>2</v>
      </c>
      <c r="H23">
        <v>109027.7</v>
      </c>
      <c r="I23">
        <v>109246.8</v>
      </c>
      <c r="J23">
        <v>109017.5511</v>
      </c>
      <c r="K23">
        <v>105048.9013</v>
      </c>
      <c r="L23">
        <v>-219.1</v>
      </c>
      <c r="M23">
        <v>-0.2006</v>
      </c>
      <c r="N23">
        <f t="shared" si="0"/>
        <v>0</v>
      </c>
      <c r="O23">
        <f t="shared" si="1"/>
        <v>0</v>
      </c>
      <c r="P23">
        <f t="shared" si="2"/>
        <v>3978.7986999999994</v>
      </c>
      <c r="Q23">
        <f t="shared" si="3"/>
        <v>3.6420276841060786</v>
      </c>
      <c r="R23">
        <v>3600.4851629999998</v>
      </c>
      <c r="S23">
        <v>3600.029712</v>
      </c>
      <c r="T23">
        <v>4.9676169999999997E-3</v>
      </c>
      <c r="U23">
        <v>3.8425828000000002E-2</v>
      </c>
    </row>
    <row r="24" spans="1:21" x14ac:dyDescent="0.25">
      <c r="A24" t="s">
        <v>17</v>
      </c>
      <c r="B24" t="str" cm="1">
        <f t="array" ref="B24:F24">_xlfn.TEXTSPLIT(A24,"_")</f>
        <v>MVPRP</v>
      </c>
      <c r="C24" t="str">
        <v>C15</v>
      </c>
      <c r="D24" t="str">
        <v>P9</v>
      </c>
      <c r="E24" t="str">
        <v>V3</v>
      </c>
      <c r="F24" t="str">
        <v>I3</v>
      </c>
      <c r="G24">
        <v>2.5</v>
      </c>
      <c r="H24">
        <v>109602.6</v>
      </c>
      <c r="I24">
        <v>109820.1492</v>
      </c>
      <c r="J24">
        <v>109592.45110000001</v>
      </c>
      <c r="K24">
        <v>106336.16160000001</v>
      </c>
      <c r="L24">
        <v>-217.55</v>
      </c>
      <c r="M24">
        <v>-0.1981</v>
      </c>
      <c r="N24">
        <f t="shared" si="0"/>
        <v>0</v>
      </c>
      <c r="O24">
        <f t="shared" si="1"/>
        <v>0</v>
      </c>
      <c r="P24">
        <f t="shared" si="2"/>
        <v>3266.4383999999991</v>
      </c>
      <c r="Q24">
        <f t="shared" si="3"/>
        <v>2.9743525425842336</v>
      </c>
      <c r="R24">
        <v>3600.4851629999998</v>
      </c>
      <c r="S24">
        <v>3600.0292869999998</v>
      </c>
      <c r="T24">
        <v>4.9676169999999997E-3</v>
      </c>
      <c r="U24">
        <v>3.1724484999999997E-2</v>
      </c>
    </row>
    <row r="25" spans="1:21" x14ac:dyDescent="0.25">
      <c r="A25" t="s">
        <v>17</v>
      </c>
      <c r="B25" t="str" cm="1">
        <f t="array" ref="B25:F25">_xlfn.TEXTSPLIT(A25,"_")</f>
        <v>MVPRP</v>
      </c>
      <c r="C25" t="str">
        <v>C15</v>
      </c>
      <c r="D25" t="str">
        <v>P9</v>
      </c>
      <c r="E25" t="str">
        <v>V3</v>
      </c>
      <c r="F25" t="str">
        <v>I3</v>
      </c>
      <c r="G25">
        <v>3</v>
      </c>
      <c r="H25">
        <v>110177.5</v>
      </c>
      <c r="I25">
        <v>110085.6</v>
      </c>
      <c r="J25">
        <v>110167.3511</v>
      </c>
      <c r="K25">
        <v>107230.7898</v>
      </c>
      <c r="L25">
        <v>91.9</v>
      </c>
      <c r="M25">
        <v>8.3500000000000005E-2</v>
      </c>
      <c r="N25">
        <f t="shared" si="0"/>
        <v>91.9</v>
      </c>
      <c r="O25">
        <f t="shared" si="1"/>
        <v>8.3480491544761531E-2</v>
      </c>
      <c r="P25">
        <f t="shared" si="2"/>
        <v>2946.7102000000014</v>
      </c>
      <c r="Q25">
        <f t="shared" si="3"/>
        <v>2.6767444606742399</v>
      </c>
      <c r="R25">
        <v>3600.4851629999998</v>
      </c>
      <c r="S25">
        <v>3600.1176540000001</v>
      </c>
      <c r="T25">
        <v>4.9676169999999997E-3</v>
      </c>
      <c r="U25">
        <v>2.593264E-2</v>
      </c>
    </row>
    <row r="26" spans="1:21" x14ac:dyDescent="0.25">
      <c r="A26" t="s">
        <v>18</v>
      </c>
      <c r="B26" t="str" cm="1">
        <f t="array" ref="B26:F26">_xlfn.TEXTSPLIT(A26,"_")</f>
        <v>MVPRP</v>
      </c>
      <c r="C26" t="str">
        <v>C20</v>
      </c>
      <c r="D26" t="str">
        <v>P3</v>
      </c>
      <c r="E26" t="str">
        <v>V3</v>
      </c>
      <c r="F26" t="str">
        <v>I3</v>
      </c>
      <c r="G26">
        <v>1.5</v>
      </c>
      <c r="H26">
        <v>33682.9</v>
      </c>
      <c r="I26">
        <v>33052.400000000001</v>
      </c>
      <c r="J26">
        <v>33682.9</v>
      </c>
      <c r="K26">
        <v>33052.400000000001</v>
      </c>
      <c r="L26">
        <v>630.5</v>
      </c>
      <c r="M26">
        <v>1.9076</v>
      </c>
      <c r="N26">
        <f t="shared" si="0"/>
        <v>630.5</v>
      </c>
      <c r="O26">
        <f t="shared" si="1"/>
        <v>1.9075770594571044</v>
      </c>
      <c r="P26">
        <f t="shared" si="2"/>
        <v>630.5</v>
      </c>
      <c r="Q26">
        <f t="shared" si="3"/>
        <v>1.9075770594571044</v>
      </c>
      <c r="R26">
        <v>17.56340909</v>
      </c>
      <c r="S26">
        <v>7.8507876400000001</v>
      </c>
      <c r="T26">
        <v>0</v>
      </c>
      <c r="U26">
        <v>0</v>
      </c>
    </row>
    <row r="27" spans="1:21" x14ac:dyDescent="0.25">
      <c r="A27" t="s">
        <v>18</v>
      </c>
      <c r="B27" t="str" cm="1">
        <f t="array" ref="B27:F27">_xlfn.TEXTSPLIT(A27,"_")</f>
        <v>MVPRP</v>
      </c>
      <c r="C27" t="str">
        <v>C20</v>
      </c>
      <c r="D27" t="str">
        <v>P3</v>
      </c>
      <c r="E27" t="str">
        <v>V3</v>
      </c>
      <c r="F27" t="str">
        <v>I3</v>
      </c>
      <c r="G27">
        <v>2</v>
      </c>
      <c r="H27">
        <v>34354.199999999997</v>
      </c>
      <c r="I27">
        <v>33141.800000000003</v>
      </c>
      <c r="J27">
        <v>34354.199999999997</v>
      </c>
      <c r="K27">
        <v>33141.800000000003</v>
      </c>
      <c r="L27">
        <v>1212.4000000000001</v>
      </c>
      <c r="M27">
        <v>3.6581999999999999</v>
      </c>
      <c r="N27">
        <f t="shared" si="0"/>
        <v>1212.4000000000001</v>
      </c>
      <c r="O27">
        <f t="shared" si="1"/>
        <v>3.6582201328835486</v>
      </c>
      <c r="P27">
        <f t="shared" si="2"/>
        <v>1212.3999999999942</v>
      </c>
      <c r="Q27">
        <f t="shared" si="3"/>
        <v>3.6582201328835309</v>
      </c>
      <c r="R27">
        <v>17.56340909</v>
      </c>
      <c r="S27">
        <v>6.5894260410000003</v>
      </c>
      <c r="T27">
        <v>0</v>
      </c>
      <c r="U27">
        <v>0</v>
      </c>
    </row>
    <row r="28" spans="1:21" x14ac:dyDescent="0.25">
      <c r="A28" t="s">
        <v>18</v>
      </c>
      <c r="B28" t="str" cm="1">
        <f t="array" ref="B28:F28">_xlfn.TEXTSPLIT(A28,"_")</f>
        <v>MVPRP</v>
      </c>
      <c r="C28" t="str">
        <v>C20</v>
      </c>
      <c r="D28" t="str">
        <v>P3</v>
      </c>
      <c r="E28" t="str">
        <v>V3</v>
      </c>
      <c r="F28" t="str">
        <v>I3</v>
      </c>
      <c r="G28">
        <v>2.5</v>
      </c>
      <c r="H28">
        <v>35025.5</v>
      </c>
      <c r="I28">
        <v>33231.199999999997</v>
      </c>
      <c r="J28">
        <v>35025.5</v>
      </c>
      <c r="K28">
        <v>33231.199999999997</v>
      </c>
      <c r="L28">
        <v>1794.3</v>
      </c>
      <c r="M28">
        <v>5.3994</v>
      </c>
      <c r="N28">
        <f t="shared" si="0"/>
        <v>1794.3</v>
      </c>
      <c r="O28">
        <f t="shared" si="1"/>
        <v>5.3994438960976439</v>
      </c>
      <c r="P28">
        <f t="shared" si="2"/>
        <v>1794.3000000000029</v>
      </c>
      <c r="Q28">
        <f t="shared" si="3"/>
        <v>5.3994438960976527</v>
      </c>
      <c r="R28">
        <v>17.56340909</v>
      </c>
      <c r="S28">
        <v>5.9157624240000004</v>
      </c>
      <c r="T28">
        <v>0</v>
      </c>
      <c r="U28">
        <v>0</v>
      </c>
    </row>
    <row r="29" spans="1:21" x14ac:dyDescent="0.25">
      <c r="A29" t="s">
        <v>18</v>
      </c>
      <c r="B29" t="str" cm="1">
        <f t="array" ref="B29:F29">_xlfn.TEXTSPLIT(A29,"_")</f>
        <v>MVPRP</v>
      </c>
      <c r="C29" t="str">
        <v>C20</v>
      </c>
      <c r="D29" t="str">
        <v>P3</v>
      </c>
      <c r="E29" t="str">
        <v>V3</v>
      </c>
      <c r="F29" t="str">
        <v>I3</v>
      </c>
      <c r="G29">
        <v>3</v>
      </c>
      <c r="H29">
        <v>35696.800000000003</v>
      </c>
      <c r="I29">
        <v>33320.599459999998</v>
      </c>
      <c r="J29">
        <v>35696.800000000003</v>
      </c>
      <c r="K29">
        <v>33320.599459999998</v>
      </c>
      <c r="L29">
        <v>2376.1999999999998</v>
      </c>
      <c r="M29">
        <v>7.1313000000000004</v>
      </c>
      <c r="N29">
        <f t="shared" si="0"/>
        <v>2376.1999999999998</v>
      </c>
      <c r="O29">
        <f t="shared" si="1"/>
        <v>7.1313242814029492</v>
      </c>
      <c r="P29">
        <f t="shared" si="2"/>
        <v>2376.2005400000053</v>
      </c>
      <c r="Q29">
        <f t="shared" si="3"/>
        <v>7.131325902022069</v>
      </c>
      <c r="R29">
        <v>17.56340909</v>
      </c>
      <c r="S29">
        <v>9.6981806759999998</v>
      </c>
      <c r="T29">
        <v>0</v>
      </c>
      <c r="U29">
        <v>0</v>
      </c>
    </row>
    <row r="30" spans="1:21" x14ac:dyDescent="0.25">
      <c r="A30" t="s">
        <v>19</v>
      </c>
      <c r="B30" t="str" cm="1">
        <f t="array" ref="B30:F30">_xlfn.TEXTSPLIT(A30,"_")</f>
        <v>MVPRP</v>
      </c>
      <c r="C30" t="str">
        <v>C20</v>
      </c>
      <c r="D30" t="str">
        <v>P6</v>
      </c>
      <c r="E30" t="str">
        <v>V3</v>
      </c>
      <c r="F30" t="str">
        <v>I3</v>
      </c>
      <c r="G30">
        <v>1.5</v>
      </c>
      <c r="H30">
        <v>66780.3</v>
      </c>
      <c r="I30">
        <v>66381.899999999994</v>
      </c>
      <c r="J30">
        <v>66780.3</v>
      </c>
      <c r="K30">
        <v>66381.899999999994</v>
      </c>
      <c r="L30">
        <v>398.4</v>
      </c>
      <c r="M30">
        <v>0.60019999999999996</v>
      </c>
      <c r="N30">
        <f t="shared" si="0"/>
        <v>398.4</v>
      </c>
      <c r="O30">
        <f t="shared" si="1"/>
        <v>0.60016359881232684</v>
      </c>
      <c r="P30">
        <f t="shared" si="2"/>
        <v>398.40000000000873</v>
      </c>
      <c r="Q30">
        <f t="shared" si="3"/>
        <v>0.60016359881234005</v>
      </c>
      <c r="R30">
        <v>3601.2649580000002</v>
      </c>
      <c r="S30">
        <v>237.639791</v>
      </c>
      <c r="T30">
        <v>5.2169479999999999E-3</v>
      </c>
      <c r="U30">
        <v>0</v>
      </c>
    </row>
    <row r="31" spans="1:21" x14ac:dyDescent="0.25">
      <c r="A31" t="s">
        <v>19</v>
      </c>
      <c r="B31" t="str" cm="1">
        <f t="array" ref="B31:F31">_xlfn.TEXTSPLIT(A31,"_")</f>
        <v>MVPRP</v>
      </c>
      <c r="C31" t="str">
        <v>C20</v>
      </c>
      <c r="D31" t="str">
        <v>P6</v>
      </c>
      <c r="E31" t="str">
        <v>V3</v>
      </c>
      <c r="F31" t="str">
        <v>I3</v>
      </c>
      <c r="G31">
        <v>2</v>
      </c>
      <c r="H31">
        <v>67677.8</v>
      </c>
      <c r="I31">
        <v>67075.5</v>
      </c>
      <c r="J31">
        <v>67677.8</v>
      </c>
      <c r="K31">
        <v>67075.5</v>
      </c>
      <c r="L31">
        <v>602.29999999999995</v>
      </c>
      <c r="M31">
        <v>0.89790000000000003</v>
      </c>
      <c r="N31">
        <f t="shared" si="0"/>
        <v>602.29999999999995</v>
      </c>
      <c r="O31">
        <f t="shared" si="1"/>
        <v>0.89794336233050809</v>
      </c>
      <c r="P31">
        <f t="shared" si="2"/>
        <v>602.30000000000291</v>
      </c>
      <c r="Q31">
        <f t="shared" si="3"/>
        <v>0.89794336233051242</v>
      </c>
      <c r="R31">
        <v>3601.2649580000002</v>
      </c>
      <c r="S31">
        <v>229.64415049999999</v>
      </c>
      <c r="T31">
        <v>5.2169479999999999E-3</v>
      </c>
      <c r="U31">
        <v>0</v>
      </c>
    </row>
    <row r="32" spans="1:21" x14ac:dyDescent="0.25">
      <c r="A32" t="s">
        <v>19</v>
      </c>
      <c r="B32" t="str" cm="1">
        <f t="array" ref="B32:F32">_xlfn.TEXTSPLIT(A32,"_")</f>
        <v>MVPRP</v>
      </c>
      <c r="C32" t="str">
        <v>C20</v>
      </c>
      <c r="D32" t="str">
        <v>P6</v>
      </c>
      <c r="E32" t="str">
        <v>V3</v>
      </c>
      <c r="F32" t="str">
        <v>I3</v>
      </c>
      <c r="G32">
        <v>2.5</v>
      </c>
      <c r="H32">
        <v>68575.3</v>
      </c>
      <c r="I32">
        <v>67342.2</v>
      </c>
      <c r="J32">
        <v>68575.3</v>
      </c>
      <c r="K32">
        <v>67342.2</v>
      </c>
      <c r="L32">
        <v>1233.0999999999999</v>
      </c>
      <c r="M32">
        <v>1.8310999999999999</v>
      </c>
      <c r="N32">
        <f t="shared" si="0"/>
        <v>1233.0999999999999</v>
      </c>
      <c r="O32">
        <f t="shared" si="1"/>
        <v>1.8310955092052235</v>
      </c>
      <c r="P32">
        <f t="shared" si="2"/>
        <v>1233.1000000000058</v>
      </c>
      <c r="Q32">
        <f t="shared" si="3"/>
        <v>1.8310955092052321</v>
      </c>
      <c r="R32">
        <v>3601.2649580000002</v>
      </c>
      <c r="S32">
        <v>161.5786042</v>
      </c>
      <c r="T32">
        <v>5.2169479999999999E-3</v>
      </c>
      <c r="U32">
        <v>0</v>
      </c>
    </row>
    <row r="33" spans="1:21" x14ac:dyDescent="0.25">
      <c r="A33" t="s">
        <v>19</v>
      </c>
      <c r="B33" t="str" cm="1">
        <f t="array" ref="B33:F33">_xlfn.TEXTSPLIT(A33,"_")</f>
        <v>MVPRP</v>
      </c>
      <c r="C33" t="str">
        <v>C20</v>
      </c>
      <c r="D33" t="str">
        <v>P6</v>
      </c>
      <c r="E33" t="str">
        <v>V3</v>
      </c>
      <c r="F33" t="str">
        <v>I3</v>
      </c>
      <c r="G33">
        <v>3</v>
      </c>
      <c r="H33">
        <v>69472.800000000003</v>
      </c>
      <c r="I33">
        <v>67431.600000000006</v>
      </c>
      <c r="J33">
        <v>69472.800000000003</v>
      </c>
      <c r="K33">
        <v>67431.600000000006</v>
      </c>
      <c r="L33">
        <v>2041.2</v>
      </c>
      <c r="M33">
        <v>3.0270999999999999</v>
      </c>
      <c r="N33">
        <f t="shared" si="0"/>
        <v>2041.2</v>
      </c>
      <c r="O33">
        <f t="shared" si="1"/>
        <v>3.0270674283273715</v>
      </c>
      <c r="P33">
        <f t="shared" si="2"/>
        <v>2041.1999999999971</v>
      </c>
      <c r="Q33">
        <f t="shared" si="3"/>
        <v>3.0270674283273671</v>
      </c>
      <c r="R33">
        <v>3601.2649580000002</v>
      </c>
      <c r="S33">
        <v>101.5456133</v>
      </c>
      <c r="T33">
        <v>5.2169479999999999E-3</v>
      </c>
      <c r="U33">
        <v>0</v>
      </c>
    </row>
    <row r="34" spans="1:21" x14ac:dyDescent="0.25">
      <c r="A34" t="s">
        <v>20</v>
      </c>
      <c r="B34" t="str" cm="1">
        <f t="array" ref="B34:F34">_xlfn.TEXTSPLIT(A34,"_")</f>
        <v>MVPRP</v>
      </c>
      <c r="C34" t="str">
        <v>C20</v>
      </c>
      <c r="D34" t="str">
        <v>P9</v>
      </c>
      <c r="E34" t="str">
        <v>V3</v>
      </c>
      <c r="F34" t="str">
        <v>I3</v>
      </c>
      <c r="G34">
        <v>1.5</v>
      </c>
      <c r="H34">
        <v>117982.2</v>
      </c>
      <c r="I34">
        <v>117150.59880000001</v>
      </c>
      <c r="J34">
        <v>117974.2</v>
      </c>
      <c r="K34">
        <v>113366.198</v>
      </c>
      <c r="L34">
        <v>831.6</v>
      </c>
      <c r="M34">
        <v>0.70989999999999998</v>
      </c>
      <c r="N34">
        <f t="shared" si="0"/>
        <v>831.6</v>
      </c>
      <c r="O34">
        <f t="shared" si="1"/>
        <v>0.70985552657712914</v>
      </c>
      <c r="P34">
        <f t="shared" si="2"/>
        <v>4616.0019999999931</v>
      </c>
      <c r="Q34">
        <f t="shared" si="3"/>
        <v>3.9402291130243823</v>
      </c>
      <c r="R34">
        <v>3600.0640389999999</v>
      </c>
      <c r="S34">
        <v>3600.0961280000001</v>
      </c>
      <c r="T34">
        <v>4.9507789999999998E-3</v>
      </c>
      <c r="U34">
        <v>3.2303724999999998E-2</v>
      </c>
    </row>
    <row r="35" spans="1:21" x14ac:dyDescent="0.25">
      <c r="A35" t="s">
        <v>20</v>
      </c>
      <c r="B35" t="str" cm="1">
        <f t="array" ref="B35:F35">_xlfn.TEXTSPLIT(A35,"_")</f>
        <v>MVPRP</v>
      </c>
      <c r="C35" t="str">
        <v>C20</v>
      </c>
      <c r="D35" t="str">
        <v>P9</v>
      </c>
      <c r="E35" t="str">
        <v>V3</v>
      </c>
      <c r="F35" t="str">
        <v>I3</v>
      </c>
      <c r="G35">
        <v>2</v>
      </c>
      <c r="H35">
        <v>120333.6</v>
      </c>
      <c r="I35">
        <v>117974.5</v>
      </c>
      <c r="J35">
        <v>120325.6</v>
      </c>
      <c r="K35">
        <v>115160.12609999999</v>
      </c>
      <c r="L35">
        <v>2359.1</v>
      </c>
      <c r="M35">
        <v>1.9997</v>
      </c>
      <c r="N35">
        <f t="shared" si="0"/>
        <v>2359.1</v>
      </c>
      <c r="O35">
        <f t="shared" si="1"/>
        <v>1.9996694200865441</v>
      </c>
      <c r="P35">
        <f t="shared" si="2"/>
        <v>5173.4739000000118</v>
      </c>
      <c r="Q35">
        <f t="shared" si="3"/>
        <v>4.3852475746877602</v>
      </c>
      <c r="R35">
        <v>3600.0640389999999</v>
      </c>
      <c r="S35">
        <v>3600.1222790000002</v>
      </c>
      <c r="T35">
        <v>4.9507789999999998E-3</v>
      </c>
      <c r="U35">
        <v>2.3855781999999999E-2</v>
      </c>
    </row>
    <row r="36" spans="1:21" x14ac:dyDescent="0.25">
      <c r="A36" t="s">
        <v>20</v>
      </c>
      <c r="B36" t="str" cm="1">
        <f t="array" ref="B36:F36">_xlfn.TEXTSPLIT(A36,"_")</f>
        <v>MVPRP</v>
      </c>
      <c r="C36" t="str">
        <v>C20</v>
      </c>
      <c r="D36" t="str">
        <v>P9</v>
      </c>
      <c r="E36" t="str">
        <v>V3</v>
      </c>
      <c r="F36" t="str">
        <v>I3</v>
      </c>
      <c r="G36">
        <v>2.5</v>
      </c>
      <c r="H36">
        <v>122639.3</v>
      </c>
      <c r="I36">
        <v>118012.1997</v>
      </c>
      <c r="J36">
        <v>122631.3</v>
      </c>
      <c r="K36">
        <v>115944.83289999999</v>
      </c>
      <c r="L36">
        <v>4627.1000000000004</v>
      </c>
      <c r="M36">
        <v>3.9209000000000001</v>
      </c>
      <c r="N36">
        <f t="shared" si="0"/>
        <v>4627.1000000000004</v>
      </c>
      <c r="O36">
        <f t="shared" si="1"/>
        <v>3.9208658187565337</v>
      </c>
      <c r="P36">
        <f t="shared" si="2"/>
        <v>6694.4671000000089</v>
      </c>
      <c r="Q36">
        <f t="shared" si="3"/>
        <v>5.6726907192799398</v>
      </c>
      <c r="R36">
        <v>3600.0640389999999</v>
      </c>
      <c r="S36">
        <v>3600.1682300000002</v>
      </c>
      <c r="T36">
        <v>4.9507789999999998E-3</v>
      </c>
      <c r="U36">
        <v>1.7518246000000001E-2</v>
      </c>
    </row>
    <row r="37" spans="1:21" x14ac:dyDescent="0.25">
      <c r="A37" t="s">
        <v>20</v>
      </c>
      <c r="B37" t="str" cm="1">
        <f t="array" ref="B37:F37">_xlfn.TEXTSPLIT(A37,"_")</f>
        <v>MVPRP</v>
      </c>
      <c r="C37" t="str">
        <v>C20</v>
      </c>
      <c r="D37" t="str">
        <v>P9</v>
      </c>
      <c r="E37" t="str">
        <v>V3</v>
      </c>
      <c r="F37" t="str">
        <v>I3</v>
      </c>
      <c r="G37">
        <v>3</v>
      </c>
      <c r="H37">
        <v>124931</v>
      </c>
      <c r="I37">
        <v>118385.60000000001</v>
      </c>
      <c r="J37">
        <v>124923</v>
      </c>
      <c r="K37">
        <v>117337.46460000001</v>
      </c>
      <c r="L37">
        <v>6545.4</v>
      </c>
      <c r="M37">
        <v>5.5289000000000001</v>
      </c>
      <c r="N37">
        <f t="shared" si="0"/>
        <v>6545.4</v>
      </c>
      <c r="O37">
        <f t="shared" si="1"/>
        <v>5.5288818910408013</v>
      </c>
      <c r="P37">
        <f t="shared" si="2"/>
        <v>7593.5353999999934</v>
      </c>
      <c r="Q37">
        <f t="shared" si="3"/>
        <v>6.4142390628589911</v>
      </c>
      <c r="R37">
        <v>3600.0640389999999</v>
      </c>
      <c r="S37">
        <v>3600.133155</v>
      </c>
      <c r="T37">
        <v>4.9507789999999998E-3</v>
      </c>
      <c r="U37">
        <v>8.8535720000000005E-3</v>
      </c>
    </row>
    <row r="38" spans="1:21" x14ac:dyDescent="0.25">
      <c r="A38" t="s">
        <v>21</v>
      </c>
      <c r="B38" t="str" cm="1">
        <f t="array" ref="B38:F38">_xlfn.TEXTSPLIT(A38,"_")</f>
        <v>MVPRP</v>
      </c>
      <c r="C38" t="str">
        <v>C25</v>
      </c>
      <c r="D38" t="str">
        <v>P3</v>
      </c>
      <c r="E38" t="str">
        <v>V3</v>
      </c>
      <c r="F38" t="str">
        <v>I3</v>
      </c>
      <c r="G38">
        <v>1.5</v>
      </c>
      <c r="H38">
        <v>39412.75</v>
      </c>
      <c r="I38">
        <v>38341.75</v>
      </c>
      <c r="J38">
        <v>39412.75</v>
      </c>
      <c r="K38">
        <v>38341.75</v>
      </c>
      <c r="L38">
        <v>1071</v>
      </c>
      <c r="M38">
        <v>2.7932999999999999</v>
      </c>
      <c r="N38">
        <f t="shared" si="0"/>
        <v>1071</v>
      </c>
      <c r="O38">
        <f t="shared" si="1"/>
        <v>2.7932997320153619</v>
      </c>
      <c r="P38">
        <f t="shared" si="2"/>
        <v>1071</v>
      </c>
      <c r="Q38">
        <f t="shared" si="3"/>
        <v>2.7932997320153619</v>
      </c>
      <c r="R38">
        <v>50.579355720000002</v>
      </c>
      <c r="S38">
        <v>21.189520600000002</v>
      </c>
      <c r="T38">
        <v>0</v>
      </c>
      <c r="U38">
        <v>0</v>
      </c>
    </row>
    <row r="39" spans="1:21" x14ac:dyDescent="0.25">
      <c r="A39" t="s">
        <v>21</v>
      </c>
      <c r="B39" t="str" cm="1">
        <f t="array" ref="B39:F39">_xlfn.TEXTSPLIT(A39,"_")</f>
        <v>MVPRP</v>
      </c>
      <c r="C39" t="str">
        <v>C25</v>
      </c>
      <c r="D39" t="str">
        <v>P3</v>
      </c>
      <c r="E39" t="str">
        <v>V3</v>
      </c>
      <c r="F39" t="str">
        <v>I3</v>
      </c>
      <c r="G39">
        <v>2</v>
      </c>
      <c r="H39">
        <v>40473.5</v>
      </c>
      <c r="I39">
        <v>38710.5</v>
      </c>
      <c r="J39">
        <v>40473.5</v>
      </c>
      <c r="K39">
        <v>38710.5</v>
      </c>
      <c r="L39">
        <v>1763</v>
      </c>
      <c r="M39">
        <v>4.5542999999999996</v>
      </c>
      <c r="N39">
        <f t="shared" si="0"/>
        <v>1763</v>
      </c>
      <c r="O39">
        <f t="shared" si="1"/>
        <v>4.5543198873690596</v>
      </c>
      <c r="P39">
        <f t="shared" si="2"/>
        <v>1763</v>
      </c>
      <c r="Q39">
        <f t="shared" si="3"/>
        <v>4.5543198873690596</v>
      </c>
      <c r="R39">
        <v>50.579355720000002</v>
      </c>
      <c r="S39">
        <v>19.908083680000001</v>
      </c>
      <c r="T39">
        <v>0</v>
      </c>
      <c r="U39">
        <v>0</v>
      </c>
    </row>
    <row r="40" spans="1:21" x14ac:dyDescent="0.25">
      <c r="A40" t="s">
        <v>21</v>
      </c>
      <c r="B40" t="str" cm="1">
        <f t="array" ref="B40:F40">_xlfn.TEXTSPLIT(A40,"_")</f>
        <v>MVPRP</v>
      </c>
      <c r="C40" t="str">
        <v>C25</v>
      </c>
      <c r="D40" t="str">
        <v>P3</v>
      </c>
      <c r="E40" t="str">
        <v>V3</v>
      </c>
      <c r="F40" t="str">
        <v>I3</v>
      </c>
      <c r="G40">
        <v>2.5</v>
      </c>
      <c r="H40">
        <v>41534.25</v>
      </c>
      <c r="I40">
        <v>38941.15</v>
      </c>
      <c r="J40">
        <v>41534.25</v>
      </c>
      <c r="K40">
        <v>38941.15</v>
      </c>
      <c r="L40">
        <v>2593.1</v>
      </c>
      <c r="M40">
        <v>6.6589999999999998</v>
      </c>
      <c r="N40">
        <f t="shared" si="0"/>
        <v>2593.1</v>
      </c>
      <c r="O40">
        <f t="shared" si="1"/>
        <v>6.6590226534141896</v>
      </c>
      <c r="P40">
        <f t="shared" si="2"/>
        <v>2593.0999999999985</v>
      </c>
      <c r="Q40">
        <f t="shared" si="3"/>
        <v>6.6590226534141861</v>
      </c>
      <c r="R40">
        <v>50.579355720000002</v>
      </c>
      <c r="S40">
        <v>17.293042660000001</v>
      </c>
      <c r="T40">
        <v>0</v>
      </c>
      <c r="U40">
        <v>0</v>
      </c>
    </row>
    <row r="41" spans="1:21" x14ac:dyDescent="0.25">
      <c r="A41" t="s">
        <v>21</v>
      </c>
      <c r="B41" t="str" cm="1">
        <f t="array" ref="B41:F41">_xlfn.TEXTSPLIT(A41,"_")</f>
        <v>MVPRP</v>
      </c>
      <c r="C41" t="str">
        <v>C25</v>
      </c>
      <c r="D41" t="str">
        <v>P3</v>
      </c>
      <c r="E41" t="str">
        <v>V3</v>
      </c>
      <c r="F41" t="str">
        <v>I3</v>
      </c>
      <c r="G41">
        <v>3</v>
      </c>
      <c r="H41">
        <v>42595</v>
      </c>
      <c r="I41">
        <v>39170.5</v>
      </c>
      <c r="J41">
        <v>42595</v>
      </c>
      <c r="K41">
        <v>39170.5</v>
      </c>
      <c r="L41">
        <v>3424.5</v>
      </c>
      <c r="M41">
        <v>8.7424999999999997</v>
      </c>
      <c r="N41">
        <f t="shared" si="0"/>
        <v>3424.5</v>
      </c>
      <c r="O41">
        <f t="shared" si="1"/>
        <v>8.7425486016262237</v>
      </c>
      <c r="P41">
        <f t="shared" si="2"/>
        <v>3424.5</v>
      </c>
      <c r="Q41">
        <f t="shared" si="3"/>
        <v>8.7425486016262237</v>
      </c>
      <c r="R41">
        <v>50.579355720000002</v>
      </c>
      <c r="S41">
        <v>15.66376138</v>
      </c>
      <c r="T41">
        <v>0</v>
      </c>
      <c r="U41">
        <v>0</v>
      </c>
    </row>
    <row r="42" spans="1:21" x14ac:dyDescent="0.25">
      <c r="A42" t="s">
        <v>22</v>
      </c>
      <c r="B42" t="str" cm="1">
        <f t="array" ref="B42:F42">_xlfn.TEXTSPLIT(A42,"_")</f>
        <v>MVPRP</v>
      </c>
      <c r="C42" t="str">
        <v>C25</v>
      </c>
      <c r="D42" t="str">
        <v>P6</v>
      </c>
      <c r="E42" t="str">
        <v>V3</v>
      </c>
      <c r="F42" t="str">
        <v>I3</v>
      </c>
      <c r="G42">
        <v>1.5</v>
      </c>
      <c r="H42">
        <v>78780.7</v>
      </c>
      <c r="I42">
        <v>78075.899999999994</v>
      </c>
      <c r="J42">
        <v>78780.7</v>
      </c>
      <c r="K42">
        <v>78075.899999999994</v>
      </c>
      <c r="L42">
        <v>704.8</v>
      </c>
      <c r="M42">
        <v>0.90269999999999995</v>
      </c>
      <c r="N42">
        <f t="shared" si="0"/>
        <v>704.8</v>
      </c>
      <c r="O42">
        <f t="shared" si="1"/>
        <v>0.90271133602046216</v>
      </c>
      <c r="P42">
        <f t="shared" si="2"/>
        <v>704.80000000000291</v>
      </c>
      <c r="Q42">
        <f t="shared" si="3"/>
        <v>0.90271133602046594</v>
      </c>
      <c r="R42">
        <v>1484.522759</v>
      </c>
      <c r="S42">
        <v>2050.433133</v>
      </c>
      <c r="T42">
        <v>0</v>
      </c>
      <c r="U42">
        <v>0</v>
      </c>
    </row>
    <row r="43" spans="1:21" x14ac:dyDescent="0.25">
      <c r="A43" t="s">
        <v>22</v>
      </c>
      <c r="B43" t="str" cm="1">
        <f t="array" ref="B43:F43">_xlfn.TEXTSPLIT(A43,"_")</f>
        <v>MVPRP</v>
      </c>
      <c r="C43" t="str">
        <v>C25</v>
      </c>
      <c r="D43" t="str">
        <v>P6</v>
      </c>
      <c r="E43" t="str">
        <v>V3</v>
      </c>
      <c r="F43" t="str">
        <v>I3</v>
      </c>
      <c r="G43">
        <v>2</v>
      </c>
      <c r="H43">
        <v>80589.100000000006</v>
      </c>
      <c r="I43">
        <v>78360.7</v>
      </c>
      <c r="J43">
        <v>80589.100000000006</v>
      </c>
      <c r="K43">
        <v>78360.7</v>
      </c>
      <c r="L43">
        <v>2228.4</v>
      </c>
      <c r="M43">
        <v>2.8437999999999999</v>
      </c>
      <c r="N43">
        <f t="shared" si="0"/>
        <v>2228.4</v>
      </c>
      <c r="O43">
        <f t="shared" si="1"/>
        <v>2.8437724522624226</v>
      </c>
      <c r="P43">
        <f t="shared" si="2"/>
        <v>2228.4000000000087</v>
      </c>
      <c r="Q43">
        <f t="shared" si="3"/>
        <v>2.8437724522624337</v>
      </c>
      <c r="R43">
        <v>1484.522759</v>
      </c>
      <c r="S43">
        <v>531.49708410000005</v>
      </c>
      <c r="T43">
        <v>0</v>
      </c>
      <c r="U43">
        <v>0</v>
      </c>
    </row>
    <row r="44" spans="1:21" x14ac:dyDescent="0.25">
      <c r="A44" t="s">
        <v>22</v>
      </c>
      <c r="B44" t="str" cm="1">
        <f t="array" ref="B44:F44">_xlfn.TEXTSPLIT(A44,"_")</f>
        <v>MVPRP</v>
      </c>
      <c r="C44" t="str">
        <v>C25</v>
      </c>
      <c r="D44" t="str">
        <v>P6</v>
      </c>
      <c r="E44" t="str">
        <v>V3</v>
      </c>
      <c r="F44" t="str">
        <v>I3</v>
      </c>
      <c r="G44">
        <v>2.5</v>
      </c>
      <c r="H44">
        <v>82356.399999999994</v>
      </c>
      <c r="I44">
        <v>78625.350000000006</v>
      </c>
      <c r="J44">
        <v>82356.399999999994</v>
      </c>
      <c r="K44">
        <v>78625.350000000006</v>
      </c>
      <c r="L44">
        <v>3731.05</v>
      </c>
      <c r="M44">
        <v>4.7454000000000001</v>
      </c>
      <c r="N44">
        <f t="shared" si="0"/>
        <v>3731.05</v>
      </c>
      <c r="O44">
        <f t="shared" si="1"/>
        <v>4.7453524849173965</v>
      </c>
      <c r="P44">
        <f t="shared" si="2"/>
        <v>3731.0499999999884</v>
      </c>
      <c r="Q44">
        <f t="shared" si="3"/>
        <v>4.7453524849173814</v>
      </c>
      <c r="R44">
        <v>1484.522759</v>
      </c>
      <c r="S44">
        <v>574.76572229999999</v>
      </c>
      <c r="T44">
        <v>0</v>
      </c>
      <c r="U44">
        <v>0</v>
      </c>
    </row>
    <row r="45" spans="1:21" x14ac:dyDescent="0.25">
      <c r="A45" t="s">
        <v>22</v>
      </c>
      <c r="B45" t="str" cm="1">
        <f t="array" ref="B45:F45">_xlfn.TEXTSPLIT(A45,"_")</f>
        <v>MVPRP</v>
      </c>
      <c r="C45" t="str">
        <v>C25</v>
      </c>
      <c r="D45" t="str">
        <v>P6</v>
      </c>
      <c r="E45" t="str">
        <v>V3</v>
      </c>
      <c r="F45" t="str">
        <v>I3</v>
      </c>
      <c r="G45">
        <v>3</v>
      </c>
      <c r="H45">
        <v>84123.7</v>
      </c>
      <c r="I45">
        <v>78889.999299999996</v>
      </c>
      <c r="J45">
        <v>84123.7</v>
      </c>
      <c r="K45">
        <v>78889.999299999996</v>
      </c>
      <c r="L45">
        <v>5233.7</v>
      </c>
      <c r="M45">
        <v>6.6341999999999999</v>
      </c>
      <c r="N45">
        <f t="shared" si="0"/>
        <v>5233.7</v>
      </c>
      <c r="O45">
        <f t="shared" si="1"/>
        <v>6.634174225426821</v>
      </c>
      <c r="P45">
        <f t="shared" si="2"/>
        <v>5233.7007000000012</v>
      </c>
      <c r="Q45">
        <f t="shared" si="3"/>
        <v>6.6341751127382773</v>
      </c>
      <c r="R45">
        <v>1484.522759</v>
      </c>
      <c r="S45">
        <v>190.17450360000001</v>
      </c>
      <c r="T45">
        <v>0</v>
      </c>
      <c r="U45">
        <v>0</v>
      </c>
    </row>
    <row r="46" spans="1:21" x14ac:dyDescent="0.25">
      <c r="A46" t="s">
        <v>23</v>
      </c>
      <c r="B46" t="str" cm="1">
        <f t="array" ref="B46:F46">_xlfn.TEXTSPLIT(A46,"_")</f>
        <v>MVPRP</v>
      </c>
      <c r="C46" t="str">
        <v>C25</v>
      </c>
      <c r="D46" t="str">
        <v>P9</v>
      </c>
      <c r="E46" t="str">
        <v>V3</v>
      </c>
      <c r="F46" t="str">
        <v>I3</v>
      </c>
      <c r="G46">
        <v>1.5</v>
      </c>
      <c r="H46">
        <v>141504.25</v>
      </c>
      <c r="I46">
        <v>142572.95000000001</v>
      </c>
      <c r="J46">
        <v>141504.25</v>
      </c>
      <c r="K46">
        <v>135316.7323</v>
      </c>
      <c r="L46">
        <v>-1068.7</v>
      </c>
      <c r="M46">
        <v>-0.74960000000000004</v>
      </c>
      <c r="N46">
        <f t="shared" si="0"/>
        <v>0</v>
      </c>
      <c r="O46">
        <f t="shared" si="1"/>
        <v>0</v>
      </c>
      <c r="P46">
        <f t="shared" si="2"/>
        <v>6187.5176999999967</v>
      </c>
      <c r="Q46">
        <f t="shared" si="3"/>
        <v>4.3398959620320658</v>
      </c>
      <c r="R46">
        <v>3601.9903949999998</v>
      </c>
      <c r="S46">
        <v>3600.1555709999998</v>
      </c>
      <c r="T46">
        <v>2.1224179999999999E-2</v>
      </c>
      <c r="U46">
        <v>5.0894770999999998E-2</v>
      </c>
    </row>
    <row r="47" spans="1:21" x14ac:dyDescent="0.25">
      <c r="A47" t="s">
        <v>23</v>
      </c>
      <c r="B47" t="str" cm="1">
        <f t="array" ref="B47:F47">_xlfn.TEXTSPLIT(A47,"_")</f>
        <v>MVPRP</v>
      </c>
      <c r="C47" t="str">
        <v>C25</v>
      </c>
      <c r="D47" t="str">
        <v>P9</v>
      </c>
      <c r="E47" t="str">
        <v>V3</v>
      </c>
      <c r="F47" t="str">
        <v>I3</v>
      </c>
      <c r="G47">
        <v>2</v>
      </c>
      <c r="H47">
        <v>143902.9</v>
      </c>
      <c r="I47">
        <v>144779.6</v>
      </c>
      <c r="J47">
        <v>143902.9</v>
      </c>
      <c r="K47">
        <v>136287.6257</v>
      </c>
      <c r="L47">
        <v>-876.7</v>
      </c>
      <c r="M47">
        <v>-0.60550000000000004</v>
      </c>
      <c r="N47">
        <f t="shared" si="0"/>
        <v>0</v>
      </c>
      <c r="O47">
        <f t="shared" si="1"/>
        <v>0</v>
      </c>
      <c r="P47">
        <f t="shared" si="2"/>
        <v>7615.27429999999</v>
      </c>
      <c r="Q47">
        <f t="shared" si="3"/>
        <v>5.2599083710688452</v>
      </c>
      <c r="R47">
        <v>3601.9903949999998</v>
      </c>
      <c r="S47">
        <v>3600.2055359999999</v>
      </c>
      <c r="T47">
        <v>2.1224179999999999E-2</v>
      </c>
      <c r="U47">
        <v>5.8654495000000001E-2</v>
      </c>
    </row>
    <row r="48" spans="1:21" x14ac:dyDescent="0.25">
      <c r="A48" t="s">
        <v>23</v>
      </c>
      <c r="B48" t="str" cm="1">
        <f t="array" ref="B48:F48">_xlfn.TEXTSPLIT(A48,"_")</f>
        <v>MVPRP</v>
      </c>
      <c r="C48" t="str">
        <v>C25</v>
      </c>
      <c r="D48" t="str">
        <v>P9</v>
      </c>
      <c r="E48" t="str">
        <v>V3</v>
      </c>
      <c r="F48" t="str">
        <v>I3</v>
      </c>
      <c r="G48">
        <v>2.5</v>
      </c>
      <c r="H48">
        <v>146301.54999999999</v>
      </c>
      <c r="I48">
        <v>148604.85</v>
      </c>
      <c r="J48">
        <v>146301.54999999999</v>
      </c>
      <c r="K48">
        <v>137173.7035</v>
      </c>
      <c r="L48">
        <v>-2303.3000000000002</v>
      </c>
      <c r="M48">
        <v>-1.5499000000000001</v>
      </c>
      <c r="N48">
        <f t="shared" si="0"/>
        <v>0</v>
      </c>
      <c r="O48">
        <f t="shared" si="1"/>
        <v>0</v>
      </c>
      <c r="P48">
        <f t="shared" si="2"/>
        <v>9127.8464999999851</v>
      </c>
      <c r="Q48">
        <f t="shared" si="3"/>
        <v>6.1423611005966388</v>
      </c>
      <c r="R48">
        <v>3601.9903949999998</v>
      </c>
      <c r="S48">
        <v>3600.3485620000001</v>
      </c>
      <c r="T48">
        <v>2.1224179999999999E-2</v>
      </c>
      <c r="U48">
        <v>7.6923105000000006E-2</v>
      </c>
    </row>
    <row r="49" spans="1:21" x14ac:dyDescent="0.25">
      <c r="A49" t="s">
        <v>23</v>
      </c>
      <c r="B49" t="str" cm="1">
        <f t="array" ref="B49:F49">_xlfn.TEXTSPLIT(A49,"_")</f>
        <v>MVPRP</v>
      </c>
      <c r="C49" t="str">
        <v>C25</v>
      </c>
      <c r="D49" t="str">
        <v>P9</v>
      </c>
      <c r="E49" t="str">
        <v>V3</v>
      </c>
      <c r="F49" t="str">
        <v>I3</v>
      </c>
      <c r="G49">
        <v>3</v>
      </c>
      <c r="H49">
        <v>148700.20000000001</v>
      </c>
      <c r="I49">
        <v>145172</v>
      </c>
      <c r="J49">
        <v>148700.20000000001</v>
      </c>
      <c r="K49">
        <v>138264.37450000001</v>
      </c>
      <c r="L49">
        <v>3528.2</v>
      </c>
      <c r="M49">
        <v>2.4304000000000001</v>
      </c>
      <c r="N49">
        <f t="shared" si="0"/>
        <v>3528.2</v>
      </c>
      <c r="O49">
        <f t="shared" si="1"/>
        <v>2.4303584713305595</v>
      </c>
      <c r="P49">
        <f t="shared" si="2"/>
        <v>10435.825500000006</v>
      </c>
      <c r="Q49">
        <f t="shared" si="3"/>
        <v>7.1885938748519038</v>
      </c>
      <c r="R49">
        <v>3601.9903949999998</v>
      </c>
      <c r="S49">
        <v>3600.1880740000001</v>
      </c>
      <c r="T49">
        <v>2.1224179999999999E-2</v>
      </c>
      <c r="U49">
        <v>4.7582354E-2</v>
      </c>
    </row>
    <row r="50" spans="1:21" x14ac:dyDescent="0.25">
      <c r="A50" t="s">
        <v>24</v>
      </c>
      <c r="B50" t="str" cm="1">
        <f t="array" ref="B50:F50">_xlfn.TEXTSPLIT(A50,"_")</f>
        <v>MVPRP</v>
      </c>
      <c r="C50" t="str">
        <v>C30</v>
      </c>
      <c r="D50" t="str">
        <v>P3</v>
      </c>
      <c r="E50" t="str">
        <v>V3</v>
      </c>
      <c r="F50" t="str">
        <v>I3</v>
      </c>
      <c r="G50">
        <v>1.5</v>
      </c>
      <c r="H50">
        <v>41971.9</v>
      </c>
      <c r="I50">
        <v>41726</v>
      </c>
      <c r="J50">
        <v>41971.9</v>
      </c>
      <c r="K50">
        <v>41726</v>
      </c>
      <c r="L50">
        <v>245.9</v>
      </c>
      <c r="M50">
        <v>0.58930000000000005</v>
      </c>
      <c r="N50">
        <f t="shared" si="0"/>
        <v>245.9</v>
      </c>
      <c r="O50">
        <f t="shared" si="1"/>
        <v>0.5893208071705891</v>
      </c>
      <c r="P50">
        <f t="shared" si="2"/>
        <v>245.90000000000146</v>
      </c>
      <c r="Q50">
        <f t="shared" si="3"/>
        <v>0.58932080717059254</v>
      </c>
      <c r="R50">
        <v>14.64698052</v>
      </c>
      <c r="S50">
        <v>163.8590639</v>
      </c>
      <c r="T50">
        <v>0</v>
      </c>
      <c r="U50">
        <v>0</v>
      </c>
    </row>
    <row r="51" spans="1:21" x14ac:dyDescent="0.25">
      <c r="A51" t="s">
        <v>24</v>
      </c>
      <c r="B51" t="str" cm="1">
        <f t="array" ref="B51:F51">_xlfn.TEXTSPLIT(A51,"_")</f>
        <v>MVPRP</v>
      </c>
      <c r="C51" t="str">
        <v>C30</v>
      </c>
      <c r="D51" t="str">
        <v>P3</v>
      </c>
      <c r="E51" t="str">
        <v>V3</v>
      </c>
      <c r="F51" t="str">
        <v>I3</v>
      </c>
      <c r="G51">
        <v>2</v>
      </c>
      <c r="H51">
        <v>42351.3</v>
      </c>
      <c r="I51">
        <v>41726</v>
      </c>
      <c r="J51">
        <v>42351.3</v>
      </c>
      <c r="K51">
        <v>41726</v>
      </c>
      <c r="L51">
        <v>625.29999999999995</v>
      </c>
      <c r="M51">
        <v>1.4985999999999999</v>
      </c>
      <c r="N51">
        <f t="shared" si="0"/>
        <v>625.29999999999995</v>
      </c>
      <c r="O51">
        <f t="shared" si="1"/>
        <v>1.4985860135167519</v>
      </c>
      <c r="P51">
        <f t="shared" si="2"/>
        <v>625.30000000000291</v>
      </c>
      <c r="Q51">
        <f t="shared" si="3"/>
        <v>1.498586013516759</v>
      </c>
      <c r="R51">
        <v>14.64698052</v>
      </c>
      <c r="S51">
        <v>123.7599721</v>
      </c>
      <c r="T51">
        <v>0</v>
      </c>
      <c r="U51">
        <v>0</v>
      </c>
    </row>
    <row r="52" spans="1:21" x14ac:dyDescent="0.25">
      <c r="A52" t="s">
        <v>24</v>
      </c>
      <c r="B52" t="str" cm="1">
        <f t="array" ref="B52:F52">_xlfn.TEXTSPLIT(A52,"_")</f>
        <v>MVPRP</v>
      </c>
      <c r="C52" t="str">
        <v>C30</v>
      </c>
      <c r="D52" t="str">
        <v>P3</v>
      </c>
      <c r="E52" t="str">
        <v>V3</v>
      </c>
      <c r="F52" t="str">
        <v>I3</v>
      </c>
      <c r="G52">
        <v>2.5</v>
      </c>
      <c r="H52">
        <v>42730.7</v>
      </c>
      <c r="I52">
        <v>41726</v>
      </c>
      <c r="J52">
        <v>42730.7</v>
      </c>
      <c r="K52">
        <v>41726</v>
      </c>
      <c r="L52">
        <v>1004.7</v>
      </c>
      <c r="M52">
        <v>2.4079000000000002</v>
      </c>
      <c r="N52">
        <f t="shared" si="0"/>
        <v>1004.7</v>
      </c>
      <c r="O52">
        <f t="shared" si="1"/>
        <v>2.4078512198629154</v>
      </c>
      <c r="P52">
        <f t="shared" si="2"/>
        <v>1004.6999999999971</v>
      </c>
      <c r="Q52">
        <f t="shared" si="3"/>
        <v>2.4078512198629083</v>
      </c>
      <c r="R52">
        <v>14.64698052</v>
      </c>
      <c r="S52">
        <v>85.500769849999998</v>
      </c>
      <c r="T52">
        <v>0</v>
      </c>
      <c r="U52">
        <v>0</v>
      </c>
    </row>
    <row r="53" spans="1:21" x14ac:dyDescent="0.25">
      <c r="A53" t="s">
        <v>24</v>
      </c>
      <c r="B53" t="str" cm="1">
        <f t="array" ref="B53:F53">_xlfn.TEXTSPLIT(A53,"_")</f>
        <v>MVPRP</v>
      </c>
      <c r="C53" t="str">
        <v>C30</v>
      </c>
      <c r="D53" t="str">
        <v>P3</v>
      </c>
      <c r="E53" t="str">
        <v>V3</v>
      </c>
      <c r="F53" t="str">
        <v>I3</v>
      </c>
      <c r="G53">
        <v>3</v>
      </c>
      <c r="H53">
        <v>43110.1</v>
      </c>
      <c r="I53">
        <v>41726</v>
      </c>
      <c r="J53">
        <v>43110.1</v>
      </c>
      <c r="K53">
        <v>41726</v>
      </c>
      <c r="L53">
        <v>1384.1</v>
      </c>
      <c r="M53">
        <v>3.3170999999999999</v>
      </c>
      <c r="N53">
        <f t="shared" si="0"/>
        <v>1384.1</v>
      </c>
      <c r="O53">
        <f t="shared" si="1"/>
        <v>3.3171164262090782</v>
      </c>
      <c r="P53">
        <f t="shared" si="2"/>
        <v>1384.0999999999985</v>
      </c>
      <c r="Q53">
        <f t="shared" si="3"/>
        <v>3.3171164262090747</v>
      </c>
      <c r="R53">
        <v>14.64698052</v>
      </c>
      <c r="S53">
        <v>64.368170980000002</v>
      </c>
      <c r="T53">
        <v>0</v>
      </c>
      <c r="U53">
        <v>0</v>
      </c>
    </row>
    <row r="54" spans="1:21" x14ac:dyDescent="0.25">
      <c r="A54" t="s">
        <v>25</v>
      </c>
      <c r="B54" t="str" cm="1">
        <f t="array" ref="B54:F54">_xlfn.TEXTSPLIT(A54,"_")</f>
        <v>MVPRP</v>
      </c>
      <c r="C54" t="str">
        <v>C30</v>
      </c>
      <c r="D54" t="str">
        <v>P6</v>
      </c>
      <c r="E54" t="str">
        <v>V3</v>
      </c>
      <c r="F54" t="str">
        <v>I3</v>
      </c>
      <c r="G54">
        <v>1.5</v>
      </c>
      <c r="H54">
        <v>85047.4</v>
      </c>
      <c r="I54">
        <v>84213.65</v>
      </c>
      <c r="J54">
        <v>85047.4</v>
      </c>
      <c r="K54">
        <v>83166.663310000004</v>
      </c>
      <c r="L54">
        <v>833.75</v>
      </c>
      <c r="M54">
        <v>0.99</v>
      </c>
      <c r="N54">
        <f t="shared" si="0"/>
        <v>833.75</v>
      </c>
      <c r="O54">
        <f t="shared" si="1"/>
        <v>0.99004140065179458</v>
      </c>
      <c r="P54">
        <f t="shared" si="2"/>
        <v>1880.7366899999906</v>
      </c>
      <c r="Q54">
        <f t="shared" si="3"/>
        <v>2.2332919782006728</v>
      </c>
      <c r="R54">
        <v>3601.4695879999999</v>
      </c>
      <c r="S54">
        <v>3600.1932109999998</v>
      </c>
      <c r="T54">
        <v>4.6214769999999997E-3</v>
      </c>
      <c r="U54">
        <v>1.2432505999999999E-2</v>
      </c>
    </row>
    <row r="55" spans="1:21" x14ac:dyDescent="0.25">
      <c r="A55" t="s">
        <v>25</v>
      </c>
      <c r="B55" t="str" cm="1">
        <f t="array" ref="B55:F55">_xlfn.TEXTSPLIT(A55,"_")</f>
        <v>MVPRP</v>
      </c>
      <c r="C55" t="str">
        <v>C30</v>
      </c>
      <c r="D55" t="str">
        <v>P6</v>
      </c>
      <c r="E55" t="str">
        <v>V3</v>
      </c>
      <c r="F55" t="str">
        <v>I3</v>
      </c>
      <c r="G55">
        <v>2</v>
      </c>
      <c r="H55">
        <v>86499.3</v>
      </c>
      <c r="I55">
        <v>84392.5</v>
      </c>
      <c r="J55">
        <v>86499.3</v>
      </c>
      <c r="K55">
        <v>84392.5</v>
      </c>
      <c r="L55">
        <v>2106.8000000000002</v>
      </c>
      <c r="M55">
        <v>2.4964</v>
      </c>
      <c r="N55">
        <f t="shared" si="0"/>
        <v>2106.8000000000002</v>
      </c>
      <c r="O55">
        <f t="shared" si="1"/>
        <v>2.4964303699973338</v>
      </c>
      <c r="P55">
        <f t="shared" si="2"/>
        <v>2106.8000000000029</v>
      </c>
      <c r="Q55">
        <f t="shared" si="3"/>
        <v>2.4964303699973374</v>
      </c>
      <c r="R55">
        <v>3601.4695879999999</v>
      </c>
      <c r="S55">
        <v>2735.3070189999999</v>
      </c>
      <c r="T55">
        <v>4.6214769999999997E-3</v>
      </c>
      <c r="U55">
        <v>0</v>
      </c>
    </row>
    <row r="56" spans="1:21" x14ac:dyDescent="0.25">
      <c r="A56" t="s">
        <v>25</v>
      </c>
      <c r="B56" t="str" cm="1">
        <f t="array" ref="B56:F56">_xlfn.TEXTSPLIT(A56,"_")</f>
        <v>MVPRP</v>
      </c>
      <c r="C56" t="str">
        <v>C30</v>
      </c>
      <c r="D56" t="str">
        <v>P6</v>
      </c>
      <c r="E56" t="str">
        <v>V3</v>
      </c>
      <c r="F56" t="str">
        <v>I3</v>
      </c>
      <c r="G56">
        <v>2.5</v>
      </c>
      <c r="H56">
        <v>87951.2</v>
      </c>
      <c r="I56">
        <v>84571.34994</v>
      </c>
      <c r="J56">
        <v>87951.2</v>
      </c>
      <c r="K56">
        <v>84571.34994</v>
      </c>
      <c r="L56">
        <v>3379.85</v>
      </c>
      <c r="M56">
        <v>3.9964</v>
      </c>
      <c r="N56">
        <f t="shared" si="0"/>
        <v>3379.85</v>
      </c>
      <c r="O56">
        <f t="shared" si="1"/>
        <v>3.9964479725082649</v>
      </c>
      <c r="P56">
        <f t="shared" si="2"/>
        <v>3379.850059999997</v>
      </c>
      <c r="Q56">
        <f t="shared" si="3"/>
        <v>3.996448043454274</v>
      </c>
      <c r="R56">
        <v>3601.4695879999999</v>
      </c>
      <c r="S56">
        <v>1709.304189</v>
      </c>
      <c r="T56">
        <v>4.6214769999999997E-3</v>
      </c>
      <c r="U56">
        <v>0</v>
      </c>
    </row>
    <row r="57" spans="1:21" x14ac:dyDescent="0.25">
      <c r="A57" t="s">
        <v>25</v>
      </c>
      <c r="B57" t="str" cm="1">
        <f t="array" ref="B57:F57">_xlfn.TEXTSPLIT(A57,"_")</f>
        <v>MVPRP</v>
      </c>
      <c r="C57" t="str">
        <v>C30</v>
      </c>
      <c r="D57" t="str">
        <v>P6</v>
      </c>
      <c r="E57" t="str">
        <v>V3</v>
      </c>
      <c r="F57" t="str">
        <v>I3</v>
      </c>
      <c r="G57">
        <v>3</v>
      </c>
      <c r="H57">
        <v>89403.1</v>
      </c>
      <c r="I57">
        <v>84724.4</v>
      </c>
      <c r="J57">
        <v>89403.1</v>
      </c>
      <c r="K57">
        <v>84724.4</v>
      </c>
      <c r="L57">
        <v>4678.7</v>
      </c>
      <c r="M57">
        <v>5.5223000000000004</v>
      </c>
      <c r="N57">
        <f t="shared" si="0"/>
        <v>4678.7</v>
      </c>
      <c r="O57">
        <f t="shared" si="1"/>
        <v>5.5222580508094481</v>
      </c>
      <c r="P57">
        <f t="shared" si="2"/>
        <v>4678.7000000000116</v>
      </c>
      <c r="Q57">
        <f t="shared" si="3"/>
        <v>5.5222580508094623</v>
      </c>
      <c r="R57">
        <v>3601.4695879999999</v>
      </c>
      <c r="S57">
        <v>1561.9112110000001</v>
      </c>
      <c r="T57">
        <v>4.6214769999999997E-3</v>
      </c>
      <c r="U57">
        <v>0</v>
      </c>
    </row>
    <row r="58" spans="1:21" x14ac:dyDescent="0.25">
      <c r="A58" t="s">
        <v>26</v>
      </c>
      <c r="B58" t="str" cm="1">
        <f t="array" ref="B58:F58">_xlfn.TEXTSPLIT(A58,"_")</f>
        <v>MVPRP</v>
      </c>
      <c r="C58" t="str">
        <v>C30</v>
      </c>
      <c r="D58" t="str">
        <v>P9</v>
      </c>
      <c r="E58" t="str">
        <v>V3</v>
      </c>
      <c r="F58" t="str">
        <v>I3</v>
      </c>
      <c r="G58">
        <v>1.5</v>
      </c>
      <c r="H58">
        <v>154616.5</v>
      </c>
      <c r="I58">
        <v>157262.29999999999</v>
      </c>
      <c r="J58">
        <v>154611.86379999999</v>
      </c>
      <c r="K58">
        <v>143793.894</v>
      </c>
      <c r="L58">
        <v>-2645.8</v>
      </c>
      <c r="M58">
        <v>-1.6823999999999999</v>
      </c>
      <c r="N58">
        <f t="shared" si="0"/>
        <v>0</v>
      </c>
      <c r="O58">
        <f t="shared" si="1"/>
        <v>0</v>
      </c>
      <c r="P58">
        <f t="shared" si="2"/>
        <v>10822.606</v>
      </c>
      <c r="Q58">
        <f t="shared" si="3"/>
        <v>6.8818820531049081</v>
      </c>
      <c r="R58">
        <v>3600.2826089999999</v>
      </c>
      <c r="S58">
        <v>3600.1742949999998</v>
      </c>
      <c r="T58">
        <v>3.6053826999999997E-2</v>
      </c>
      <c r="U58">
        <v>8.5642942E-2</v>
      </c>
    </row>
    <row r="59" spans="1:21" x14ac:dyDescent="0.25">
      <c r="A59" t="s">
        <v>26</v>
      </c>
      <c r="B59" t="str" cm="1">
        <f t="array" ref="B59:F59">_xlfn.TEXTSPLIT(A59,"_")</f>
        <v>MVPRP</v>
      </c>
      <c r="C59" t="str">
        <v>C30</v>
      </c>
      <c r="D59" t="str">
        <v>P9</v>
      </c>
      <c r="E59" t="str">
        <v>V3</v>
      </c>
      <c r="F59" t="str">
        <v>I3</v>
      </c>
      <c r="G59">
        <v>2</v>
      </c>
      <c r="H59">
        <v>156811.4</v>
      </c>
      <c r="I59">
        <v>159259</v>
      </c>
      <c r="J59">
        <v>156806.76379999999</v>
      </c>
      <c r="K59">
        <v>145164.7531</v>
      </c>
      <c r="L59">
        <v>-2447.6</v>
      </c>
      <c r="M59">
        <v>-1.5368999999999999</v>
      </c>
      <c r="N59">
        <f t="shared" si="0"/>
        <v>0</v>
      </c>
      <c r="O59">
        <f t="shared" si="1"/>
        <v>0</v>
      </c>
      <c r="P59">
        <f t="shared" si="2"/>
        <v>11646.646899999992</v>
      </c>
      <c r="Q59">
        <f t="shared" si="3"/>
        <v>7.3130227491067954</v>
      </c>
      <c r="R59">
        <v>3600.2826089999999</v>
      </c>
      <c r="S59">
        <v>3600.4222639999998</v>
      </c>
      <c r="T59">
        <v>3.6053826999999997E-2</v>
      </c>
      <c r="U59">
        <v>8.8498904000000003E-2</v>
      </c>
    </row>
    <row r="60" spans="1:21" x14ac:dyDescent="0.25">
      <c r="A60" t="s">
        <v>26</v>
      </c>
      <c r="B60" t="str" cm="1">
        <f t="array" ref="B60:F60">_xlfn.TEXTSPLIT(A60,"_")</f>
        <v>MVPRP</v>
      </c>
      <c r="C60" t="str">
        <v>C30</v>
      </c>
      <c r="D60" t="str">
        <v>P9</v>
      </c>
      <c r="E60" t="str">
        <v>V3</v>
      </c>
      <c r="F60" t="str">
        <v>I3</v>
      </c>
      <c r="G60">
        <v>2.5</v>
      </c>
      <c r="H60">
        <v>158872.79999999999</v>
      </c>
      <c r="I60">
        <v>157654.75</v>
      </c>
      <c r="J60">
        <v>158868.16380000001</v>
      </c>
      <c r="K60">
        <v>146955.91390000001</v>
      </c>
      <c r="L60">
        <v>1218.05</v>
      </c>
      <c r="M60">
        <v>0.77259999999999995</v>
      </c>
      <c r="N60">
        <f t="shared" si="0"/>
        <v>1218.05</v>
      </c>
      <c r="O60">
        <f t="shared" si="1"/>
        <v>0.77260596334712406</v>
      </c>
      <c r="P60">
        <f t="shared" si="2"/>
        <v>11916.886099999974</v>
      </c>
      <c r="Q60">
        <f t="shared" si="3"/>
        <v>7.5588500187910439</v>
      </c>
      <c r="R60">
        <v>3600.2826089999999</v>
      </c>
      <c r="S60">
        <v>3600.0443399999999</v>
      </c>
      <c r="T60">
        <v>3.6053826999999997E-2</v>
      </c>
      <c r="U60">
        <v>6.7862440999999996E-2</v>
      </c>
    </row>
    <row r="61" spans="1:21" x14ac:dyDescent="0.25">
      <c r="A61" t="s">
        <v>26</v>
      </c>
      <c r="B61" t="str" cm="1">
        <f t="array" ref="B61:F61">_xlfn.TEXTSPLIT(A61,"_")</f>
        <v>MVPRP</v>
      </c>
      <c r="C61" t="str">
        <v>C30</v>
      </c>
      <c r="D61" t="str">
        <v>P9</v>
      </c>
      <c r="E61" t="str">
        <v>V3</v>
      </c>
      <c r="F61" t="str">
        <v>I3</v>
      </c>
      <c r="G61">
        <v>3</v>
      </c>
      <c r="H61">
        <v>160934.20000000001</v>
      </c>
      <c r="I61">
        <v>156955.5</v>
      </c>
      <c r="J61">
        <v>160929.5638</v>
      </c>
      <c r="K61">
        <v>147292.30230000001</v>
      </c>
      <c r="L61">
        <v>3978.7</v>
      </c>
      <c r="M61">
        <v>2.5348999999999999</v>
      </c>
      <c r="N61">
        <f t="shared" si="0"/>
        <v>3978.7</v>
      </c>
      <c r="O61">
        <f t="shared" si="1"/>
        <v>2.5349223187463963</v>
      </c>
      <c r="P61">
        <f t="shared" si="2"/>
        <v>13641.897700000001</v>
      </c>
      <c r="Q61">
        <f t="shared" si="3"/>
        <v>8.6915703495576793</v>
      </c>
      <c r="R61">
        <v>3600.2826089999999</v>
      </c>
      <c r="S61">
        <v>3600.1242849999999</v>
      </c>
      <c r="T61">
        <v>3.6053826999999997E-2</v>
      </c>
      <c r="U61">
        <v>6.156648E-2</v>
      </c>
    </row>
    <row r="62" spans="1:21" x14ac:dyDescent="0.25">
      <c r="A62" t="s">
        <v>27</v>
      </c>
      <c r="B62" t="str" cm="1">
        <f t="array" ref="B62:F62">_xlfn.TEXTSPLIT(A62,"_")</f>
        <v>MVPRP</v>
      </c>
      <c r="C62" t="str">
        <v>C35</v>
      </c>
      <c r="D62" t="str">
        <v>P3</v>
      </c>
      <c r="E62" t="str">
        <v>V3</v>
      </c>
      <c r="F62" t="str">
        <v>I3</v>
      </c>
      <c r="G62">
        <v>1.5</v>
      </c>
      <c r="H62">
        <v>50770.400000000001</v>
      </c>
      <c r="I62">
        <v>50262.55</v>
      </c>
      <c r="J62">
        <v>50770.400000000001</v>
      </c>
      <c r="K62">
        <v>50262.55</v>
      </c>
      <c r="L62">
        <v>507.85</v>
      </c>
      <c r="M62">
        <v>1.0104</v>
      </c>
      <c r="N62">
        <f t="shared" si="0"/>
        <v>507.85</v>
      </c>
      <c r="O62">
        <f t="shared" si="1"/>
        <v>1.010394418906323</v>
      </c>
      <c r="P62">
        <f t="shared" si="2"/>
        <v>507.84999999999854</v>
      </c>
      <c r="Q62">
        <f t="shared" si="3"/>
        <v>1.0103944189063199</v>
      </c>
      <c r="R62">
        <v>121.5128121</v>
      </c>
      <c r="S62">
        <v>461.2260814</v>
      </c>
      <c r="T62">
        <v>0</v>
      </c>
      <c r="U62">
        <v>0</v>
      </c>
    </row>
    <row r="63" spans="1:21" x14ac:dyDescent="0.25">
      <c r="A63" t="s">
        <v>27</v>
      </c>
      <c r="B63" t="str" cm="1">
        <f t="array" ref="B63:F63">_xlfn.TEXTSPLIT(A63,"_")</f>
        <v>MVPRP</v>
      </c>
      <c r="C63" t="str">
        <v>C35</v>
      </c>
      <c r="D63" t="str">
        <v>P3</v>
      </c>
      <c r="E63" t="str">
        <v>V3</v>
      </c>
      <c r="F63" t="str">
        <v>I3</v>
      </c>
      <c r="G63">
        <v>2</v>
      </c>
      <c r="H63">
        <v>51253.4</v>
      </c>
      <c r="I63">
        <v>50414.2</v>
      </c>
      <c r="J63">
        <v>51253.4</v>
      </c>
      <c r="K63">
        <v>50414.2</v>
      </c>
      <c r="L63">
        <v>839.2</v>
      </c>
      <c r="M63">
        <v>1.6646000000000001</v>
      </c>
      <c r="N63">
        <f t="shared" si="0"/>
        <v>839.2</v>
      </c>
      <c r="O63">
        <f t="shared" si="1"/>
        <v>1.6646103677138586</v>
      </c>
      <c r="P63">
        <f t="shared" si="2"/>
        <v>839.20000000000437</v>
      </c>
      <c r="Q63">
        <f t="shared" si="3"/>
        <v>1.6646103677138671</v>
      </c>
      <c r="R63">
        <v>121.5128121</v>
      </c>
      <c r="S63">
        <v>249.37905910000001</v>
      </c>
      <c r="T63">
        <v>0</v>
      </c>
      <c r="U63">
        <v>0</v>
      </c>
    </row>
    <row r="64" spans="1:21" x14ac:dyDescent="0.25">
      <c r="A64" t="s">
        <v>27</v>
      </c>
      <c r="B64" t="str" cm="1">
        <f t="array" ref="B64:F64">_xlfn.TEXTSPLIT(A64,"_")</f>
        <v>MVPRP</v>
      </c>
      <c r="C64" t="str">
        <v>C35</v>
      </c>
      <c r="D64" t="str">
        <v>P3</v>
      </c>
      <c r="E64" t="str">
        <v>V3</v>
      </c>
      <c r="F64" t="str">
        <v>I3</v>
      </c>
      <c r="G64">
        <v>2.5</v>
      </c>
      <c r="H64">
        <v>51736.4</v>
      </c>
      <c r="I64">
        <v>50425</v>
      </c>
      <c r="J64">
        <v>51736.4</v>
      </c>
      <c r="K64">
        <v>50425</v>
      </c>
      <c r="L64">
        <v>1311.4</v>
      </c>
      <c r="M64">
        <v>2.6006999999999998</v>
      </c>
      <c r="N64">
        <f t="shared" si="0"/>
        <v>1311.4</v>
      </c>
      <c r="O64">
        <f t="shared" si="1"/>
        <v>2.6006941001487358</v>
      </c>
      <c r="P64">
        <f t="shared" si="2"/>
        <v>1311.4000000000015</v>
      </c>
      <c r="Q64">
        <f t="shared" si="3"/>
        <v>2.6006941001487385</v>
      </c>
      <c r="R64">
        <v>121.5128121</v>
      </c>
      <c r="S64">
        <v>265.9618845</v>
      </c>
      <c r="T64">
        <v>0</v>
      </c>
      <c r="U64">
        <v>0</v>
      </c>
    </row>
    <row r="65" spans="1:21" x14ac:dyDescent="0.25">
      <c r="A65" t="s">
        <v>27</v>
      </c>
      <c r="B65" t="str" cm="1">
        <f t="array" ref="B65:F65">_xlfn.TEXTSPLIT(A65,"_")</f>
        <v>MVPRP</v>
      </c>
      <c r="C65" t="str">
        <v>C35</v>
      </c>
      <c r="D65" t="str">
        <v>P3</v>
      </c>
      <c r="E65" t="str">
        <v>V3</v>
      </c>
      <c r="F65" t="str">
        <v>I3</v>
      </c>
      <c r="G65">
        <v>3</v>
      </c>
      <c r="H65">
        <v>52219.4</v>
      </c>
      <c r="I65">
        <v>50425</v>
      </c>
      <c r="J65">
        <v>52219.4</v>
      </c>
      <c r="K65">
        <v>50425</v>
      </c>
      <c r="L65">
        <v>1794.4</v>
      </c>
      <c r="M65">
        <v>3.5586000000000002</v>
      </c>
      <c r="N65">
        <f t="shared" si="0"/>
        <v>1794.4</v>
      </c>
      <c r="O65">
        <f t="shared" si="1"/>
        <v>3.5585523054040653</v>
      </c>
      <c r="P65">
        <f t="shared" si="2"/>
        <v>1794.4000000000015</v>
      </c>
      <c r="Q65">
        <f t="shared" si="3"/>
        <v>3.5585523054040684</v>
      </c>
      <c r="R65">
        <v>121.5128121</v>
      </c>
      <c r="S65">
        <v>185.6011939</v>
      </c>
      <c r="T65">
        <v>0</v>
      </c>
      <c r="U65">
        <v>0</v>
      </c>
    </row>
    <row r="66" spans="1:21" x14ac:dyDescent="0.25">
      <c r="A66" t="s">
        <v>28</v>
      </c>
      <c r="B66" t="str" cm="1">
        <f t="array" ref="B66:F66">_xlfn.TEXTSPLIT(A66,"_")</f>
        <v>MVPRP</v>
      </c>
      <c r="C66" t="str">
        <v>C35</v>
      </c>
      <c r="D66" t="str">
        <v>P6</v>
      </c>
      <c r="E66" t="str">
        <v>V3</v>
      </c>
      <c r="F66" t="str">
        <v>I3</v>
      </c>
      <c r="G66">
        <v>1.5</v>
      </c>
      <c r="H66">
        <v>103105.9</v>
      </c>
      <c r="I66">
        <v>103103.65</v>
      </c>
      <c r="J66">
        <v>103105.9</v>
      </c>
      <c r="K66">
        <v>99484.429789999995</v>
      </c>
      <c r="L66">
        <v>2.25</v>
      </c>
      <c r="M66">
        <v>2.2000000000000001E-3</v>
      </c>
      <c r="N66">
        <f t="shared" si="0"/>
        <v>2.25</v>
      </c>
      <c r="O66">
        <f t="shared" si="1"/>
        <v>2.1822699778329866E-3</v>
      </c>
      <c r="P66">
        <f t="shared" si="2"/>
        <v>3621.4702099999995</v>
      </c>
      <c r="Q66">
        <f t="shared" si="3"/>
        <v>3.5124558732886757</v>
      </c>
      <c r="R66">
        <v>3601.3276820000001</v>
      </c>
      <c r="S66">
        <v>3600.1099629999999</v>
      </c>
      <c r="T66">
        <v>1.9531355E-2</v>
      </c>
      <c r="U66">
        <v>3.5102736000000002E-2</v>
      </c>
    </row>
    <row r="67" spans="1:21" x14ac:dyDescent="0.25">
      <c r="A67" t="s">
        <v>28</v>
      </c>
      <c r="B67" t="str" cm="1">
        <f t="array" ref="B67:F67">_xlfn.TEXTSPLIT(A67,"_")</f>
        <v>MVPRP</v>
      </c>
      <c r="C67" t="str">
        <v>C35</v>
      </c>
      <c r="D67" t="str">
        <v>P6</v>
      </c>
      <c r="E67" t="str">
        <v>V3</v>
      </c>
      <c r="F67" t="str">
        <v>I3</v>
      </c>
      <c r="G67">
        <v>2</v>
      </c>
      <c r="H67">
        <v>104723</v>
      </c>
      <c r="I67">
        <v>102045.3</v>
      </c>
      <c r="J67">
        <v>104723</v>
      </c>
      <c r="K67">
        <v>100190.71309999999</v>
      </c>
      <c r="L67">
        <v>2677.7</v>
      </c>
      <c r="M67">
        <v>2.6240000000000001</v>
      </c>
      <c r="N67">
        <f t="shared" ref="N67:N85" si="4">MAX(L67,0)</f>
        <v>2677.7</v>
      </c>
      <c r="O67">
        <f t="shared" ref="O67:O85" si="5">N67/I67*100</f>
        <v>2.6240307000910379</v>
      </c>
      <c r="P67">
        <f t="shared" ref="P67:P85" si="6">(H67-K67)</f>
        <v>4532.2869000000064</v>
      </c>
      <c r="Q67">
        <f t="shared" ref="Q67:Q85" si="7">P67/I67*100</f>
        <v>4.4414460048625521</v>
      </c>
      <c r="R67">
        <v>3601.3276820000001</v>
      </c>
      <c r="S67">
        <v>3600.1454039999999</v>
      </c>
      <c r="T67">
        <v>1.9531355E-2</v>
      </c>
      <c r="U67">
        <v>1.8174152999999998E-2</v>
      </c>
    </row>
    <row r="68" spans="1:21" x14ac:dyDescent="0.25">
      <c r="A68" t="s">
        <v>28</v>
      </c>
      <c r="B68" t="str" cm="1">
        <f t="array" ref="B68:F68">_xlfn.TEXTSPLIT(A68,"_")</f>
        <v>MVPRP</v>
      </c>
      <c r="C68" t="str">
        <v>C35</v>
      </c>
      <c r="D68" t="str">
        <v>P6</v>
      </c>
      <c r="E68" t="str">
        <v>V3</v>
      </c>
      <c r="F68" t="str">
        <v>I3</v>
      </c>
      <c r="G68">
        <v>2.5</v>
      </c>
      <c r="H68">
        <v>106340.1</v>
      </c>
      <c r="I68">
        <v>101872.55</v>
      </c>
      <c r="J68">
        <v>106340.1</v>
      </c>
      <c r="K68">
        <v>100954.39449999999</v>
      </c>
      <c r="L68">
        <v>4467.55</v>
      </c>
      <c r="M68">
        <v>4.3853999999999997</v>
      </c>
      <c r="N68">
        <f t="shared" si="4"/>
        <v>4467.55</v>
      </c>
      <c r="O68">
        <f t="shared" si="5"/>
        <v>4.3854306189449463</v>
      </c>
      <c r="P68">
        <f t="shared" si="6"/>
        <v>5385.7055000000109</v>
      </c>
      <c r="Q68">
        <f t="shared" si="7"/>
        <v>5.2867092263814062</v>
      </c>
      <c r="R68">
        <v>3601.3276820000001</v>
      </c>
      <c r="S68">
        <v>3600.0929540000002</v>
      </c>
      <c r="T68">
        <v>1.9531355E-2</v>
      </c>
      <c r="U68">
        <v>9.0127869999999995E-3</v>
      </c>
    </row>
    <row r="69" spans="1:21" x14ac:dyDescent="0.25">
      <c r="A69" t="s">
        <v>28</v>
      </c>
      <c r="B69" t="str" cm="1">
        <f t="array" ref="B69:F69">_xlfn.TEXTSPLIT(A69,"_")</f>
        <v>MVPRP</v>
      </c>
      <c r="C69" t="str">
        <v>C35</v>
      </c>
      <c r="D69" t="str">
        <v>P6</v>
      </c>
      <c r="E69" t="str">
        <v>V3</v>
      </c>
      <c r="F69" t="str">
        <v>I3</v>
      </c>
      <c r="G69">
        <v>3</v>
      </c>
      <c r="H69">
        <v>107957.2</v>
      </c>
      <c r="I69">
        <v>101891.8</v>
      </c>
      <c r="J69">
        <v>107957.2</v>
      </c>
      <c r="K69">
        <v>101891.8</v>
      </c>
      <c r="L69">
        <v>6065.4</v>
      </c>
      <c r="M69">
        <v>5.9527999999999999</v>
      </c>
      <c r="N69">
        <f t="shared" si="4"/>
        <v>6065.4</v>
      </c>
      <c r="O69">
        <f t="shared" si="5"/>
        <v>5.952785209408411</v>
      </c>
      <c r="P69">
        <f t="shared" si="6"/>
        <v>6065.3999999999942</v>
      </c>
      <c r="Q69">
        <f t="shared" si="7"/>
        <v>5.9527852094084057</v>
      </c>
      <c r="R69">
        <v>3601.3276820000001</v>
      </c>
      <c r="S69">
        <v>3174.8945130000002</v>
      </c>
      <c r="T69">
        <v>1.9531355E-2</v>
      </c>
      <c r="U69">
        <v>0</v>
      </c>
    </row>
    <row r="70" spans="1:21" x14ac:dyDescent="0.25">
      <c r="A70" t="s">
        <v>29</v>
      </c>
      <c r="B70" t="str" cm="1">
        <f t="array" ref="B70:F70">_xlfn.TEXTSPLIT(A70,"_")</f>
        <v>MVPRP</v>
      </c>
      <c r="C70" t="str">
        <v>C40</v>
      </c>
      <c r="D70" t="str">
        <v>P3</v>
      </c>
      <c r="E70" t="str">
        <v>V3</v>
      </c>
      <c r="F70" t="str">
        <v>I3</v>
      </c>
      <c r="G70">
        <v>1.5</v>
      </c>
      <c r="H70">
        <v>64415.8</v>
      </c>
      <c r="I70">
        <v>62081</v>
      </c>
      <c r="J70">
        <v>64415.8</v>
      </c>
      <c r="K70">
        <v>62081</v>
      </c>
      <c r="L70">
        <v>2334.8000000000002</v>
      </c>
      <c r="M70">
        <v>3.7608999999999999</v>
      </c>
      <c r="N70">
        <f t="shared" si="4"/>
        <v>2334.8000000000002</v>
      </c>
      <c r="O70">
        <f t="shared" si="5"/>
        <v>3.7608930268520164</v>
      </c>
      <c r="P70">
        <f t="shared" si="6"/>
        <v>2334.8000000000029</v>
      </c>
      <c r="Q70">
        <f t="shared" si="7"/>
        <v>3.7608930268520204</v>
      </c>
      <c r="R70">
        <v>1146.8290810000001</v>
      </c>
      <c r="S70">
        <v>852.70444610000004</v>
      </c>
      <c r="T70">
        <v>0</v>
      </c>
      <c r="U70">
        <v>0</v>
      </c>
    </row>
    <row r="71" spans="1:21" x14ac:dyDescent="0.25">
      <c r="A71" t="s">
        <v>29</v>
      </c>
      <c r="B71" t="str" cm="1">
        <f t="array" ref="B71:F71">_xlfn.TEXTSPLIT(A71,"_")</f>
        <v>MVPRP</v>
      </c>
      <c r="C71" t="str">
        <v>C40</v>
      </c>
      <c r="D71" t="str">
        <v>P3</v>
      </c>
      <c r="E71" t="str">
        <v>V3</v>
      </c>
      <c r="F71" t="str">
        <v>I3</v>
      </c>
      <c r="G71">
        <v>2</v>
      </c>
      <c r="H71">
        <v>65624.399999999994</v>
      </c>
      <c r="I71">
        <v>62081</v>
      </c>
      <c r="J71">
        <v>65624.399999999994</v>
      </c>
      <c r="K71">
        <v>62081</v>
      </c>
      <c r="L71">
        <v>3543.4</v>
      </c>
      <c r="M71">
        <v>5.7077</v>
      </c>
      <c r="N71">
        <f t="shared" si="4"/>
        <v>3543.4</v>
      </c>
      <c r="O71">
        <f t="shared" si="5"/>
        <v>5.7077044506370713</v>
      </c>
      <c r="P71">
        <f t="shared" si="6"/>
        <v>3543.3999999999942</v>
      </c>
      <c r="Q71">
        <f t="shared" si="7"/>
        <v>5.7077044506370616</v>
      </c>
      <c r="R71">
        <v>1146.8290810000001</v>
      </c>
      <c r="S71">
        <v>687.55316540000001</v>
      </c>
      <c r="T71">
        <v>0</v>
      </c>
      <c r="U71">
        <v>0</v>
      </c>
    </row>
    <row r="72" spans="1:21" x14ac:dyDescent="0.25">
      <c r="A72" t="s">
        <v>29</v>
      </c>
      <c r="B72" t="str" cm="1">
        <f t="array" ref="B72:F72">_xlfn.TEXTSPLIT(A72,"_")</f>
        <v>MVPRP</v>
      </c>
      <c r="C72" t="str">
        <v>C40</v>
      </c>
      <c r="D72" t="str">
        <v>P3</v>
      </c>
      <c r="E72" t="str">
        <v>V3</v>
      </c>
      <c r="F72" t="str">
        <v>I3</v>
      </c>
      <c r="G72">
        <v>2.5</v>
      </c>
      <c r="H72">
        <v>66833</v>
      </c>
      <c r="I72">
        <v>62081</v>
      </c>
      <c r="J72">
        <v>66833</v>
      </c>
      <c r="K72">
        <v>62081</v>
      </c>
      <c r="L72">
        <v>4752</v>
      </c>
      <c r="M72">
        <v>7.6544999999999996</v>
      </c>
      <c r="N72">
        <f t="shared" si="4"/>
        <v>4752</v>
      </c>
      <c r="O72">
        <f t="shared" si="5"/>
        <v>7.6545158744221258</v>
      </c>
      <c r="P72">
        <f t="shared" si="6"/>
        <v>4752</v>
      </c>
      <c r="Q72">
        <f t="shared" si="7"/>
        <v>7.6545158744221258</v>
      </c>
      <c r="R72">
        <v>1146.8290810000001</v>
      </c>
      <c r="S72">
        <v>453.60951110000002</v>
      </c>
      <c r="T72">
        <v>0</v>
      </c>
      <c r="U72">
        <v>0</v>
      </c>
    </row>
    <row r="73" spans="1:21" x14ac:dyDescent="0.25">
      <c r="A73" t="s">
        <v>29</v>
      </c>
      <c r="B73" t="str" cm="1">
        <f t="array" ref="B73:F73">_xlfn.TEXTSPLIT(A73,"_")</f>
        <v>MVPRP</v>
      </c>
      <c r="C73" t="str">
        <v>C40</v>
      </c>
      <c r="D73" t="str">
        <v>P3</v>
      </c>
      <c r="E73" t="str">
        <v>V3</v>
      </c>
      <c r="F73" t="str">
        <v>I3</v>
      </c>
      <c r="G73">
        <v>3</v>
      </c>
      <c r="H73">
        <v>68041.600000000006</v>
      </c>
      <c r="I73">
        <v>62081</v>
      </c>
      <c r="J73">
        <v>68041.600000000006</v>
      </c>
      <c r="K73">
        <v>62081</v>
      </c>
      <c r="L73">
        <v>5960.6</v>
      </c>
      <c r="M73">
        <v>9.6013000000000002</v>
      </c>
      <c r="N73">
        <f t="shared" si="4"/>
        <v>5960.6</v>
      </c>
      <c r="O73">
        <f t="shared" si="5"/>
        <v>9.6013272982071811</v>
      </c>
      <c r="P73">
        <f t="shared" si="6"/>
        <v>5960.6000000000058</v>
      </c>
      <c r="Q73">
        <f t="shared" si="7"/>
        <v>9.60132729820719</v>
      </c>
      <c r="R73">
        <v>1146.8290810000001</v>
      </c>
      <c r="S73">
        <v>310.46887179999999</v>
      </c>
      <c r="T73">
        <v>0</v>
      </c>
      <c r="U73">
        <v>0</v>
      </c>
    </row>
    <row r="74" spans="1:21" x14ac:dyDescent="0.25">
      <c r="A74" t="s">
        <v>30</v>
      </c>
      <c r="B74" t="str" cm="1">
        <f t="array" ref="B74:F74">_xlfn.TEXTSPLIT(A74,"_")</f>
        <v>MVPRP</v>
      </c>
      <c r="C74" t="str">
        <v>C40</v>
      </c>
      <c r="D74" t="str">
        <v>P6</v>
      </c>
      <c r="E74" t="str">
        <v>V3</v>
      </c>
      <c r="F74" t="str">
        <v>I3</v>
      </c>
      <c r="G74">
        <v>1.5</v>
      </c>
      <c r="H74">
        <v>130908.3</v>
      </c>
      <c r="I74">
        <v>128675</v>
      </c>
      <c r="J74">
        <v>130908.3</v>
      </c>
      <c r="K74">
        <v>123601.6397</v>
      </c>
      <c r="L74">
        <v>2233.3000000000002</v>
      </c>
      <c r="M74">
        <v>1.7356</v>
      </c>
      <c r="N74">
        <f t="shared" si="4"/>
        <v>2233.3000000000002</v>
      </c>
      <c r="O74">
        <f t="shared" si="5"/>
        <v>1.7356129784340393</v>
      </c>
      <c r="P74">
        <f t="shared" si="6"/>
        <v>7306.6603000000032</v>
      </c>
      <c r="Q74">
        <f t="shared" si="7"/>
        <v>5.6783837575286604</v>
      </c>
      <c r="R74">
        <v>3601.411122</v>
      </c>
      <c r="S74">
        <v>3600.1578589999999</v>
      </c>
      <c r="T74">
        <v>2.7051693000000002E-2</v>
      </c>
      <c r="U74">
        <v>3.9427707999999999E-2</v>
      </c>
    </row>
    <row r="75" spans="1:21" x14ac:dyDescent="0.25">
      <c r="A75" t="s">
        <v>30</v>
      </c>
      <c r="B75" t="str" cm="1">
        <f t="array" ref="B75:F75">_xlfn.TEXTSPLIT(A75,"_")</f>
        <v>MVPRP</v>
      </c>
      <c r="C75" t="str">
        <v>C40</v>
      </c>
      <c r="D75" t="str">
        <v>P6</v>
      </c>
      <c r="E75" t="str">
        <v>V3</v>
      </c>
      <c r="F75" t="str">
        <v>I3</v>
      </c>
      <c r="G75">
        <v>2</v>
      </c>
      <c r="H75">
        <v>134144.29999999999</v>
      </c>
      <c r="I75">
        <v>127839.6</v>
      </c>
      <c r="J75">
        <v>134144.29999999999</v>
      </c>
      <c r="K75">
        <v>124188.01850000001</v>
      </c>
      <c r="L75">
        <v>6304.7</v>
      </c>
      <c r="M75">
        <v>4.9317000000000002</v>
      </c>
      <c r="N75">
        <f t="shared" si="4"/>
        <v>6304.7</v>
      </c>
      <c r="O75">
        <f t="shared" si="5"/>
        <v>4.9317269453283643</v>
      </c>
      <c r="P75">
        <f t="shared" si="6"/>
        <v>9956.2814999999828</v>
      </c>
      <c r="Q75">
        <f t="shared" si="7"/>
        <v>7.7881043901889422</v>
      </c>
      <c r="R75">
        <v>3601.411122</v>
      </c>
      <c r="S75">
        <v>3600.1022480000001</v>
      </c>
      <c r="T75">
        <v>2.7051693000000002E-2</v>
      </c>
      <c r="U75">
        <v>2.8563775E-2</v>
      </c>
    </row>
    <row r="76" spans="1:21" x14ac:dyDescent="0.25">
      <c r="A76" t="s">
        <v>30</v>
      </c>
      <c r="B76" t="str" cm="1">
        <f t="array" ref="B76:F76">_xlfn.TEXTSPLIT(A76,"_")</f>
        <v>MVPRP</v>
      </c>
      <c r="C76" t="str">
        <v>C40</v>
      </c>
      <c r="D76" t="str">
        <v>P6</v>
      </c>
      <c r="E76" t="str">
        <v>V3</v>
      </c>
      <c r="F76" t="str">
        <v>I3</v>
      </c>
      <c r="G76">
        <v>2.5</v>
      </c>
      <c r="H76">
        <v>137269.20000000001</v>
      </c>
      <c r="I76">
        <v>129719.3</v>
      </c>
      <c r="J76">
        <v>137269.20000000001</v>
      </c>
      <c r="K76">
        <v>125050.55530000001</v>
      </c>
      <c r="L76">
        <v>7549.9</v>
      </c>
      <c r="M76">
        <v>5.8201999999999998</v>
      </c>
      <c r="N76">
        <f t="shared" si="4"/>
        <v>7549.9</v>
      </c>
      <c r="O76">
        <f t="shared" si="5"/>
        <v>5.8201825017557134</v>
      </c>
      <c r="P76">
        <f t="shared" si="6"/>
        <v>12218.644700000004</v>
      </c>
      <c r="Q76">
        <f t="shared" si="7"/>
        <v>9.419295895059566</v>
      </c>
      <c r="R76">
        <v>3601.411122</v>
      </c>
      <c r="S76">
        <v>3600.325738</v>
      </c>
      <c r="T76">
        <v>2.7051693000000002E-2</v>
      </c>
      <c r="U76">
        <v>3.5991134000000001E-2</v>
      </c>
    </row>
    <row r="77" spans="1:21" x14ac:dyDescent="0.25">
      <c r="A77" t="s">
        <v>30</v>
      </c>
      <c r="B77" t="str" cm="1">
        <f t="array" ref="B77:F77">_xlfn.TEXTSPLIT(A77,"_")</f>
        <v>MVPRP</v>
      </c>
      <c r="C77" t="str">
        <v>C40</v>
      </c>
      <c r="D77" t="str">
        <v>P6</v>
      </c>
      <c r="E77" t="str">
        <v>V3</v>
      </c>
      <c r="F77" t="str">
        <v>I3</v>
      </c>
      <c r="G77">
        <v>3</v>
      </c>
      <c r="H77">
        <v>140378.6</v>
      </c>
      <c r="I77">
        <v>128798.6</v>
      </c>
      <c r="J77">
        <v>140378.6</v>
      </c>
      <c r="K77">
        <v>125408.8008</v>
      </c>
      <c r="L77">
        <v>11580</v>
      </c>
      <c r="M77">
        <v>8.9908000000000001</v>
      </c>
      <c r="N77">
        <f t="shared" si="4"/>
        <v>11580</v>
      </c>
      <c r="O77">
        <f t="shared" si="5"/>
        <v>8.9907809556936176</v>
      </c>
      <c r="P77">
        <f t="shared" si="6"/>
        <v>14969.799200000009</v>
      </c>
      <c r="Q77">
        <f t="shared" si="7"/>
        <v>11.62264123988926</v>
      </c>
      <c r="R77">
        <v>3601.411122</v>
      </c>
      <c r="S77">
        <v>3600.160476</v>
      </c>
      <c r="T77">
        <v>2.7051693000000002E-2</v>
      </c>
      <c r="U77">
        <v>2.6318602999999999E-2</v>
      </c>
    </row>
    <row r="78" spans="1:21" x14ac:dyDescent="0.25">
      <c r="A78" t="s">
        <v>31</v>
      </c>
      <c r="B78" t="str" cm="1">
        <f t="array" ref="B78:F78">_xlfn.TEXTSPLIT(A78,"_")</f>
        <v>MVPRP</v>
      </c>
      <c r="C78" t="str">
        <v>C45</v>
      </c>
      <c r="D78" t="str">
        <v>P3</v>
      </c>
      <c r="E78" t="str">
        <v>V3</v>
      </c>
      <c r="F78" t="str">
        <v>I3</v>
      </c>
      <c r="G78">
        <v>1.5</v>
      </c>
      <c r="H78">
        <v>72095.350000000006</v>
      </c>
      <c r="I78">
        <v>70234</v>
      </c>
      <c r="J78">
        <v>72095.350000000006</v>
      </c>
      <c r="K78">
        <v>70234</v>
      </c>
      <c r="L78">
        <v>1861.35</v>
      </c>
      <c r="M78">
        <v>2.6501999999999999</v>
      </c>
      <c r="N78">
        <f t="shared" si="4"/>
        <v>1861.35</v>
      </c>
      <c r="O78">
        <f t="shared" si="5"/>
        <v>2.6502121479625251</v>
      </c>
      <c r="P78">
        <f t="shared" si="6"/>
        <v>1861.3500000000058</v>
      </c>
      <c r="Q78">
        <f t="shared" si="7"/>
        <v>2.6502121479625336</v>
      </c>
      <c r="R78">
        <v>1263.6088030000001</v>
      </c>
      <c r="S78">
        <v>2661.0199640000001</v>
      </c>
      <c r="T78">
        <v>0</v>
      </c>
      <c r="U78">
        <v>0</v>
      </c>
    </row>
    <row r="79" spans="1:21" x14ac:dyDescent="0.25">
      <c r="A79" t="s">
        <v>31</v>
      </c>
      <c r="B79" t="str" cm="1">
        <f t="array" ref="B79:F79">_xlfn.TEXTSPLIT(A79,"_")</f>
        <v>MVPRP</v>
      </c>
      <c r="C79" t="str">
        <v>C45</v>
      </c>
      <c r="D79" t="str">
        <v>P3</v>
      </c>
      <c r="E79" t="str">
        <v>V3</v>
      </c>
      <c r="F79" t="str">
        <v>I3</v>
      </c>
      <c r="G79">
        <v>2</v>
      </c>
      <c r="H79">
        <v>73217.100000000006</v>
      </c>
      <c r="I79">
        <v>70323</v>
      </c>
      <c r="J79">
        <v>73217.100000000006</v>
      </c>
      <c r="K79">
        <v>70319.305550000005</v>
      </c>
      <c r="L79">
        <v>2894.1</v>
      </c>
      <c r="M79">
        <v>4.1154000000000002</v>
      </c>
      <c r="N79">
        <f t="shared" si="4"/>
        <v>2894.1</v>
      </c>
      <c r="O79">
        <f t="shared" si="5"/>
        <v>4.1154387611450023</v>
      </c>
      <c r="P79">
        <f t="shared" si="6"/>
        <v>2897.7944500000012</v>
      </c>
      <c r="Q79">
        <f t="shared" si="7"/>
        <v>4.1206923055046021</v>
      </c>
      <c r="R79">
        <v>1263.6088030000001</v>
      </c>
      <c r="S79">
        <v>815.24494770000001</v>
      </c>
      <c r="T79">
        <v>0</v>
      </c>
      <c r="U79" s="1" t="s">
        <v>32</v>
      </c>
    </row>
    <row r="80" spans="1:21" x14ac:dyDescent="0.25">
      <c r="A80" t="s">
        <v>31</v>
      </c>
      <c r="B80" t="str" cm="1">
        <f t="array" ref="B80:F80">_xlfn.TEXTSPLIT(A80,"_")</f>
        <v>MVPRP</v>
      </c>
      <c r="C80" t="str">
        <v>C45</v>
      </c>
      <c r="D80" t="str">
        <v>P3</v>
      </c>
      <c r="E80" t="str">
        <v>V3</v>
      </c>
      <c r="F80" t="str">
        <v>I3</v>
      </c>
      <c r="G80">
        <v>2.5</v>
      </c>
      <c r="H80">
        <v>74258.75</v>
      </c>
      <c r="I80">
        <v>70331.899999999994</v>
      </c>
      <c r="J80">
        <v>74258.75</v>
      </c>
      <c r="K80">
        <v>70331.899999999994</v>
      </c>
      <c r="L80">
        <v>3926.85</v>
      </c>
      <c r="M80">
        <v>5.5833000000000004</v>
      </c>
      <c r="N80">
        <f t="shared" si="4"/>
        <v>3926.85</v>
      </c>
      <c r="O80">
        <f t="shared" si="5"/>
        <v>5.5833128352852697</v>
      </c>
      <c r="P80">
        <f t="shared" si="6"/>
        <v>3926.8500000000058</v>
      </c>
      <c r="Q80">
        <f t="shared" si="7"/>
        <v>5.5833128352852777</v>
      </c>
      <c r="R80">
        <v>1263.6088030000001</v>
      </c>
      <c r="S80">
        <v>569.14165949999995</v>
      </c>
      <c r="T80">
        <v>0</v>
      </c>
      <c r="U80">
        <v>0</v>
      </c>
    </row>
    <row r="81" spans="1:21" x14ac:dyDescent="0.25">
      <c r="A81" t="s">
        <v>31</v>
      </c>
      <c r="B81" t="str" cm="1">
        <f t="array" ref="B81:F81">_xlfn.TEXTSPLIT(A81,"_")</f>
        <v>MVPRP</v>
      </c>
      <c r="C81" t="str">
        <v>C45</v>
      </c>
      <c r="D81" t="str">
        <v>P3</v>
      </c>
      <c r="E81" t="str">
        <v>V3</v>
      </c>
      <c r="F81" t="str">
        <v>I3</v>
      </c>
      <c r="G81">
        <v>3</v>
      </c>
      <c r="H81">
        <v>75300.399999999994</v>
      </c>
      <c r="I81">
        <v>70340.800000000003</v>
      </c>
      <c r="J81">
        <v>75300.399999999994</v>
      </c>
      <c r="K81">
        <v>70340.800000000003</v>
      </c>
      <c r="L81">
        <v>4959.6000000000004</v>
      </c>
      <c r="M81">
        <v>7.0507999999999997</v>
      </c>
      <c r="N81">
        <f t="shared" si="4"/>
        <v>4959.6000000000004</v>
      </c>
      <c r="O81">
        <f t="shared" si="5"/>
        <v>7.0508154584537008</v>
      </c>
      <c r="P81">
        <f t="shared" si="6"/>
        <v>4959.5999999999913</v>
      </c>
      <c r="Q81">
        <f t="shared" si="7"/>
        <v>7.0508154584536866</v>
      </c>
      <c r="R81">
        <v>1263.6088030000001</v>
      </c>
      <c r="S81">
        <v>696.51968739999995</v>
      </c>
      <c r="T81">
        <v>0</v>
      </c>
      <c r="U81">
        <v>0</v>
      </c>
    </row>
    <row r="82" spans="1:21" x14ac:dyDescent="0.25">
      <c r="A82" t="s">
        <v>33</v>
      </c>
      <c r="B82" t="str" cm="1">
        <f t="array" ref="B82:F82">_xlfn.TEXTSPLIT(A82,"_")</f>
        <v>MVPRP</v>
      </c>
      <c r="C82" t="str">
        <v>C50</v>
      </c>
      <c r="D82" t="str">
        <v>P3</v>
      </c>
      <c r="E82" t="str">
        <v>V3</v>
      </c>
      <c r="F82" t="str">
        <v>I3</v>
      </c>
      <c r="G82">
        <v>1.5</v>
      </c>
      <c r="H82">
        <v>67366.8</v>
      </c>
      <c r="I82">
        <v>65829</v>
      </c>
      <c r="J82">
        <v>67366.8</v>
      </c>
      <c r="K82">
        <v>65824</v>
      </c>
      <c r="L82">
        <v>1537.8</v>
      </c>
      <c r="M82">
        <v>2.3361000000000001</v>
      </c>
      <c r="N82">
        <f t="shared" si="4"/>
        <v>1537.8</v>
      </c>
      <c r="O82">
        <f t="shared" si="5"/>
        <v>2.3360524996582055</v>
      </c>
      <c r="P82">
        <f t="shared" si="6"/>
        <v>1542.8000000000029</v>
      </c>
      <c r="Q82">
        <f t="shared" si="7"/>
        <v>2.3436479363198632</v>
      </c>
      <c r="R82">
        <v>3603.0426229999998</v>
      </c>
      <c r="S82">
        <v>3521.5407049999999</v>
      </c>
      <c r="T82">
        <v>1.2311825E-2</v>
      </c>
      <c r="U82" s="1" t="s">
        <v>34</v>
      </c>
    </row>
    <row r="83" spans="1:21" x14ac:dyDescent="0.25">
      <c r="A83" t="s">
        <v>33</v>
      </c>
      <c r="B83" t="str" cm="1">
        <f t="array" ref="B83:F83">_xlfn.TEXTSPLIT(A83,"_")</f>
        <v>MVPRP</v>
      </c>
      <c r="C83" t="str">
        <v>C50</v>
      </c>
      <c r="D83" t="str">
        <v>P3</v>
      </c>
      <c r="E83" t="str">
        <v>V3</v>
      </c>
      <c r="F83" t="str">
        <v>I3</v>
      </c>
      <c r="G83">
        <v>2</v>
      </c>
      <c r="H83">
        <v>68154.600000000006</v>
      </c>
      <c r="I83">
        <v>65829</v>
      </c>
      <c r="J83">
        <v>68154.600000000006</v>
      </c>
      <c r="K83">
        <v>65829</v>
      </c>
      <c r="L83">
        <v>2325.6</v>
      </c>
      <c r="M83">
        <v>3.5327999999999999</v>
      </c>
      <c r="N83">
        <f t="shared" si="4"/>
        <v>2325.6</v>
      </c>
      <c r="O83">
        <f t="shared" si="5"/>
        <v>3.5327895000683589</v>
      </c>
      <c r="P83">
        <f t="shared" si="6"/>
        <v>2325.6000000000058</v>
      </c>
      <c r="Q83">
        <f t="shared" si="7"/>
        <v>3.5327895000683682</v>
      </c>
      <c r="R83">
        <v>3603.0426229999998</v>
      </c>
      <c r="S83">
        <v>1300.778061</v>
      </c>
      <c r="T83">
        <v>1.2311825E-2</v>
      </c>
      <c r="U83">
        <v>0</v>
      </c>
    </row>
    <row r="84" spans="1:21" x14ac:dyDescent="0.25">
      <c r="A84" t="s">
        <v>33</v>
      </c>
      <c r="B84" t="str" cm="1">
        <f t="array" ref="B84:F84">_xlfn.TEXTSPLIT(A84,"_")</f>
        <v>MVPRP</v>
      </c>
      <c r="C84" t="str">
        <v>C50</v>
      </c>
      <c r="D84" t="str">
        <v>P3</v>
      </c>
      <c r="E84" t="str">
        <v>V3</v>
      </c>
      <c r="F84" t="str">
        <v>I3</v>
      </c>
      <c r="G84">
        <v>2.5</v>
      </c>
      <c r="H84">
        <v>68942.399999999994</v>
      </c>
      <c r="I84">
        <v>65829</v>
      </c>
      <c r="J84">
        <v>68942.399999999994</v>
      </c>
      <c r="K84">
        <v>65829</v>
      </c>
      <c r="L84">
        <v>3113.4</v>
      </c>
      <c r="M84">
        <v>4.7294999999999998</v>
      </c>
      <c r="N84">
        <f t="shared" si="4"/>
        <v>3113.4</v>
      </c>
      <c r="O84">
        <f t="shared" si="5"/>
        <v>4.7295265004785128</v>
      </c>
      <c r="P84">
        <f t="shared" si="6"/>
        <v>3113.3999999999942</v>
      </c>
      <c r="Q84">
        <f t="shared" si="7"/>
        <v>4.7295265004785039</v>
      </c>
      <c r="R84">
        <v>3603.0426229999998</v>
      </c>
      <c r="S84">
        <v>1515.0493309999999</v>
      </c>
      <c r="T84">
        <v>1.2311825E-2</v>
      </c>
      <c r="U84">
        <v>0</v>
      </c>
    </row>
    <row r="85" spans="1:21" x14ac:dyDescent="0.25">
      <c r="A85" t="s">
        <v>33</v>
      </c>
      <c r="B85" t="str" cm="1">
        <f t="array" ref="B85:F85">_xlfn.TEXTSPLIT(A85,"_")</f>
        <v>MVPRP</v>
      </c>
      <c r="C85" t="str">
        <v>C50</v>
      </c>
      <c r="D85" t="str">
        <v>P3</v>
      </c>
      <c r="E85" t="str">
        <v>V3</v>
      </c>
      <c r="F85" t="str">
        <v>I3</v>
      </c>
      <c r="G85">
        <v>3</v>
      </c>
      <c r="H85">
        <v>69730.2</v>
      </c>
      <c r="I85">
        <v>65829</v>
      </c>
      <c r="J85">
        <v>69730.2</v>
      </c>
      <c r="K85">
        <v>65829</v>
      </c>
      <c r="L85">
        <v>3901.2</v>
      </c>
      <c r="M85">
        <v>5.9263000000000003</v>
      </c>
      <c r="N85">
        <f t="shared" si="4"/>
        <v>3901.2</v>
      </c>
      <c r="O85">
        <f t="shared" si="5"/>
        <v>5.9262635008886653</v>
      </c>
      <c r="P85">
        <f t="shared" si="6"/>
        <v>3901.1999999999971</v>
      </c>
      <c r="Q85">
        <f t="shared" si="7"/>
        <v>5.9262635008886617</v>
      </c>
      <c r="R85">
        <v>3603.0426229999998</v>
      </c>
      <c r="S85">
        <v>1013.332621</v>
      </c>
      <c r="T85">
        <v>1.2311825E-2</v>
      </c>
      <c r="U85">
        <v>0</v>
      </c>
    </row>
  </sheetData>
  <pageMargins left="0.7" right="0.7" top="0.78740157499999996" bottom="0.78740157499999996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Pivot</vt:lpstr>
      <vt:lpstr>Tabelle1</vt:lpstr>
      <vt:lpstr>vss_calc_tab_I3_2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Rocha, Luis</cp:lastModifiedBy>
  <dcterms:created xsi:type="dcterms:W3CDTF">2025-11-11T17:24:59Z</dcterms:created>
  <dcterms:modified xsi:type="dcterms:W3CDTF">2025-11-17T11:36:24Z</dcterms:modified>
</cp:coreProperties>
</file>