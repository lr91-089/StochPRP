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User\Documents\000_Passau\Research\Code\StochPRP_Git\data\"/>
    </mc:Choice>
  </mc:AlternateContent>
  <xr:revisionPtr revIDLastSave="0" documentId="13_ncr:1_{61EE1211-DAE8-4B75-90C6-BAFE93835BC7}" xr6:coauthVersionLast="47" xr6:coauthVersionMax="47" xr10:uidLastSave="{00000000-0000-0000-0000-000000000000}"/>
  <bookViews>
    <workbookView xWindow="-2208" yWindow="1872" windowWidth="17280" windowHeight="8880" tabRatio="500" activeTab="2" xr2:uid="{00000000-000D-0000-FFFF-FFFF00000000}"/>
  </bookViews>
  <sheets>
    <sheet name="AveragesOverall" sheetId="2" r:id="rId1"/>
    <sheet name="Solved" sheetId="3" r:id="rId2"/>
    <sheet name="ByMedByPeriod" sheetId="4" r:id="rId3"/>
    <sheet name="model2_16_threads_MIPstart_July" sheetId="1" r:id="rId4"/>
  </sheets>
  <definedNames>
    <definedName name="_xlnm._FilterDatabase" localSheetId="3" hidden="1">model2_16_threads_MIPstart_July!$D$1:$D$127</definedName>
  </definedNames>
  <calcPr calcId="191029"/>
  <pivotCaches>
    <pivotCache cacheId="13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B133" i="1" l="1"/>
  <c r="C133" i="1"/>
  <c r="D133" i="1"/>
  <c r="B134" i="1"/>
  <c r="C134" i="1"/>
  <c r="D134" i="1"/>
  <c r="B135" i="1"/>
  <c r="C135" i="1"/>
  <c r="D135" i="1"/>
  <c r="B136" i="1"/>
  <c r="C136" i="1"/>
  <c r="D136" i="1"/>
  <c r="B137" i="1"/>
  <c r="C137" i="1"/>
  <c r="D137" i="1"/>
  <c r="B138" i="1"/>
  <c r="C138" i="1"/>
  <c r="D138" i="1"/>
  <c r="B139" i="1"/>
  <c r="C139" i="1"/>
  <c r="D139" i="1"/>
  <c r="B140" i="1"/>
  <c r="C140" i="1"/>
  <c r="D140" i="1"/>
  <c r="AL128" i="1" a="1"/>
  <c r="AL128" i="1"/>
  <c r="AL129" i="1" a="1"/>
  <c r="AL129" i="1"/>
  <c r="AL130" i="1" a="1"/>
  <c r="AL130" i="1"/>
  <c r="AL131" i="1" a="1"/>
  <c r="AL131" i="1"/>
  <c r="AL132" i="1" a="1"/>
  <c r="AL132" i="1" s="1"/>
  <c r="AL133" i="1" a="1"/>
  <c r="AL133" i="1" s="1"/>
  <c r="AL134" i="1" a="1"/>
  <c r="AL134" i="1" s="1"/>
  <c r="AL135" i="1" a="1"/>
  <c r="AL135" i="1" s="1"/>
  <c r="AL136" i="1" a="1"/>
  <c r="AL136" i="1" s="1"/>
  <c r="AL137" i="1" a="1"/>
  <c r="AL137" i="1" s="1"/>
  <c r="AL138" i="1" a="1"/>
  <c r="AL138" i="1" s="1"/>
  <c r="AL139" i="1" a="1"/>
  <c r="AL139" i="1" s="1"/>
  <c r="AL140" i="1" a="1"/>
  <c r="AL140" i="1" s="1"/>
  <c r="AL141" i="1" a="1"/>
  <c r="AL141" i="1"/>
  <c r="AL142" i="1" a="1"/>
  <c r="AL142" i="1"/>
  <c r="AL143" i="1" a="1"/>
  <c r="AL143" i="1"/>
  <c r="AL144" i="1" a="1"/>
  <c r="AL144" i="1"/>
  <c r="AL145" i="1" a="1"/>
  <c r="AL145" i="1"/>
  <c r="AL146" i="1" a="1"/>
  <c r="AL146" i="1"/>
  <c r="AL147" i="1" a="1"/>
  <c r="AL147" i="1"/>
  <c r="AL148" i="1" a="1"/>
  <c r="AL148" i="1"/>
  <c r="AL149" i="1" a="1"/>
  <c r="AL149" i="1"/>
  <c r="AL150" i="1" a="1"/>
  <c r="AL150" i="1"/>
  <c r="AL151" i="1" a="1"/>
  <c r="AL151" i="1"/>
  <c r="D132" i="1"/>
  <c r="C132" i="1"/>
  <c r="B132" i="1"/>
  <c r="AL4" i="1" a="1"/>
  <c r="AL4" i="1" s="1"/>
  <c r="AL2" i="1" a="1"/>
  <c r="AL2" i="1" s="1"/>
  <c r="AL3" i="1" a="1"/>
  <c r="AL3" i="1" s="1"/>
  <c r="AL5" i="1" a="1"/>
  <c r="AL5" i="1" s="1"/>
  <c r="AL6" i="1" a="1"/>
  <c r="AL6" i="1" s="1"/>
  <c r="AL7" i="1" a="1"/>
  <c r="AL7" i="1" s="1"/>
  <c r="AL8" i="1" a="1"/>
  <c r="AL8" i="1" s="1"/>
  <c r="AL9" i="1" a="1"/>
  <c r="AL9" i="1" s="1"/>
  <c r="AL10" i="1" a="1"/>
  <c r="AL10" i="1" s="1"/>
  <c r="AL11" i="1" a="1"/>
  <c r="AL11" i="1" s="1"/>
  <c r="AL12" i="1" a="1"/>
  <c r="AL12" i="1" s="1"/>
  <c r="AL13" i="1" a="1"/>
  <c r="AL13" i="1" s="1"/>
  <c r="AL14" i="1" a="1"/>
  <c r="AL14" i="1" s="1"/>
  <c r="AL15" i="1" a="1"/>
  <c r="AL15" i="1" s="1"/>
  <c r="AL16" i="1" a="1"/>
  <c r="AL16" i="1" s="1"/>
  <c r="AL17" i="1" a="1"/>
  <c r="AL17" i="1" s="1"/>
  <c r="AL18" i="1" a="1"/>
  <c r="AL18" i="1" s="1"/>
  <c r="AL19" i="1" a="1"/>
  <c r="AL19" i="1" s="1"/>
  <c r="AL20" i="1" a="1"/>
  <c r="AL20" i="1" s="1"/>
  <c r="AL21" i="1" a="1"/>
  <c r="AL21" i="1" s="1"/>
  <c r="AL22" i="1" a="1"/>
  <c r="AL22" i="1" s="1"/>
  <c r="AL23" i="1" a="1"/>
  <c r="AL23" i="1" s="1"/>
  <c r="AL24" i="1" a="1"/>
  <c r="AL24" i="1" s="1"/>
  <c r="AL25" i="1" a="1"/>
  <c r="AL25" i="1" s="1"/>
  <c r="AL26" i="1" a="1"/>
  <c r="AL26" i="1" s="1"/>
  <c r="AL27" i="1" a="1"/>
  <c r="AL27" i="1" s="1"/>
  <c r="AL28" i="1" a="1"/>
  <c r="AL28" i="1" s="1"/>
  <c r="AL29" i="1" a="1"/>
  <c r="AL29" i="1" s="1"/>
  <c r="AL30" i="1" a="1"/>
  <c r="AL30" i="1" s="1"/>
  <c r="AL31" i="1" a="1"/>
  <c r="AL31" i="1" s="1"/>
  <c r="AL32" i="1" a="1"/>
  <c r="AL32" i="1" s="1"/>
  <c r="AL33" i="1" a="1"/>
  <c r="AL33" i="1" s="1"/>
  <c r="AL34" i="1" a="1"/>
  <c r="AL34" i="1" s="1"/>
  <c r="AL35" i="1" a="1"/>
  <c r="AL35" i="1" s="1"/>
  <c r="AL36" i="1" a="1"/>
  <c r="AL36" i="1" s="1"/>
  <c r="AL37" i="1" a="1"/>
  <c r="AL37" i="1" s="1"/>
  <c r="AL38" i="1" a="1"/>
  <c r="AL38" i="1" s="1"/>
  <c r="AL39" i="1" a="1"/>
  <c r="AL39" i="1" s="1"/>
  <c r="AL40" i="1" a="1"/>
  <c r="AL40" i="1" s="1"/>
  <c r="AL41" i="1" a="1"/>
  <c r="AL41" i="1" s="1"/>
  <c r="AL42" i="1" a="1"/>
  <c r="AL42" i="1" s="1"/>
  <c r="AL43" i="1" a="1"/>
  <c r="AL43" i="1" s="1"/>
  <c r="AL127" i="1" a="1"/>
  <c r="AL127" i="1" s="1"/>
  <c r="AL126" i="1" a="1"/>
  <c r="C126" i="1" s="1"/>
  <c r="AL125" i="1" a="1"/>
  <c r="AL125" i="1" s="1"/>
  <c r="AL124" i="1" a="1"/>
  <c r="C124" i="1" s="1"/>
  <c r="AL123" i="1" a="1"/>
  <c r="B123" i="1" s="1"/>
  <c r="AL122" i="1" a="1"/>
  <c r="C122" i="1" s="1"/>
  <c r="AL121" i="1" a="1"/>
  <c r="D121" i="1" s="1"/>
  <c r="AL120" i="1" a="1"/>
  <c r="D120" i="1" s="1"/>
  <c r="AL119" i="1" a="1"/>
  <c r="C119" i="1" s="1"/>
  <c r="AL118" i="1" a="1"/>
  <c r="B118" i="1" s="1"/>
  <c r="AL117" i="1" a="1"/>
  <c r="D117" i="1" s="1"/>
  <c r="AL116" i="1" a="1"/>
  <c r="D116" i="1" s="1"/>
  <c r="AL115" i="1" a="1"/>
  <c r="AL115" i="1" s="1"/>
  <c r="AL114" i="1" a="1"/>
  <c r="AL114" i="1" s="1"/>
  <c r="AL113" i="1" a="1"/>
  <c r="AL113" i="1" s="1"/>
  <c r="AL112" i="1" a="1"/>
  <c r="D112" i="1" s="1"/>
  <c r="AL111" i="1" a="1"/>
  <c r="C111" i="1" s="1"/>
  <c r="AL110" i="1" a="1"/>
  <c r="B110" i="1" s="1"/>
  <c r="AL109" i="1" a="1"/>
  <c r="D109" i="1" s="1"/>
  <c r="AL108" i="1" a="1"/>
  <c r="D108" i="1" s="1"/>
  <c r="AL107" i="1" a="1"/>
  <c r="AL107" i="1" s="1"/>
  <c r="AL106" i="1" a="1"/>
  <c r="AL106" i="1" s="1"/>
  <c r="AL105" i="1" a="1"/>
  <c r="AL105" i="1" s="1"/>
  <c r="AL104" i="1" a="1"/>
  <c r="C104" i="1" s="1"/>
  <c r="AL103" i="1" a="1"/>
  <c r="C103" i="1" s="1"/>
  <c r="AL102" i="1" a="1"/>
  <c r="B102" i="1" s="1"/>
  <c r="AL101" i="1" a="1"/>
  <c r="D101" i="1" s="1"/>
  <c r="AL100" i="1" a="1"/>
  <c r="D100" i="1" s="1"/>
  <c r="AL99" i="1" a="1"/>
  <c r="AL99" i="1" s="1"/>
  <c r="AL98" i="1" a="1"/>
  <c r="AL98" i="1" s="1"/>
  <c r="AL97" i="1" a="1"/>
  <c r="C97" i="1" s="1"/>
  <c r="AL96" i="1" a="1"/>
  <c r="B96" i="1" s="1"/>
  <c r="AL95" i="1" a="1"/>
  <c r="C95" i="1" s="1"/>
  <c r="AL94" i="1" a="1"/>
  <c r="B94" i="1" s="1"/>
  <c r="AL93" i="1" a="1"/>
  <c r="D93" i="1" s="1"/>
  <c r="AL92" i="1" a="1"/>
  <c r="D92" i="1" s="1"/>
  <c r="AL91" i="1" a="1"/>
  <c r="AL91" i="1" s="1"/>
  <c r="AL90" i="1" a="1"/>
  <c r="AL90" i="1" s="1"/>
  <c r="AL89" i="1" a="1"/>
  <c r="C89" i="1" s="1"/>
  <c r="AL88" i="1" a="1"/>
  <c r="B88" i="1" s="1"/>
  <c r="AL87" i="1" a="1"/>
  <c r="C87" i="1" s="1"/>
  <c r="AL86" i="1" a="1"/>
  <c r="B86" i="1" s="1"/>
  <c r="AL85" i="1" a="1"/>
  <c r="D85" i="1" s="1"/>
  <c r="AL84" i="1" a="1"/>
  <c r="D84" i="1" s="1"/>
  <c r="AL83" i="1" a="1"/>
  <c r="AL83" i="1" s="1"/>
  <c r="AL82" i="1" a="1"/>
  <c r="AL82" i="1" s="1"/>
  <c r="AL81" i="1" a="1"/>
  <c r="C81" i="1" s="1"/>
  <c r="AL80" i="1" a="1"/>
  <c r="C80" i="1" s="1"/>
  <c r="AL79" i="1" a="1"/>
  <c r="C79" i="1" s="1"/>
  <c r="AL78" i="1" a="1"/>
  <c r="B78" i="1" s="1"/>
  <c r="AL77" i="1" a="1"/>
  <c r="D77" i="1" s="1"/>
  <c r="AL76" i="1" a="1"/>
  <c r="D76" i="1" s="1"/>
  <c r="AL75" i="1" a="1"/>
  <c r="AL75" i="1" s="1"/>
  <c r="AL74" i="1" a="1"/>
  <c r="AL74" i="1" s="1"/>
  <c r="AL73" i="1" a="1"/>
  <c r="C73" i="1" s="1"/>
  <c r="AL72" i="1" a="1"/>
  <c r="AL72" i="1" s="1"/>
  <c r="AL71" i="1" a="1"/>
  <c r="C71" i="1" s="1"/>
  <c r="AL70" i="1" a="1"/>
  <c r="B70" i="1" s="1"/>
  <c r="AL69" i="1" a="1"/>
  <c r="D69" i="1" s="1"/>
  <c r="AL68" i="1" a="1"/>
  <c r="D68" i="1" s="1"/>
  <c r="AL67" i="1" a="1"/>
  <c r="AL67" i="1" s="1"/>
  <c r="AL66" i="1" a="1"/>
  <c r="AL66" i="1" s="1"/>
  <c r="AL65" i="1" a="1"/>
  <c r="C65" i="1" s="1"/>
  <c r="AL64" i="1" a="1"/>
  <c r="AL64" i="1" s="1"/>
  <c r="AL63" i="1" a="1"/>
  <c r="C63" i="1" s="1"/>
  <c r="AL62" i="1" a="1"/>
  <c r="B62" i="1" s="1"/>
  <c r="AL61" i="1" a="1"/>
  <c r="D61" i="1" s="1"/>
  <c r="AL60" i="1" a="1"/>
  <c r="D60" i="1" s="1"/>
  <c r="AL59" i="1" a="1"/>
  <c r="AL59" i="1" s="1"/>
  <c r="AL58" i="1" a="1"/>
  <c r="AL58" i="1" s="1"/>
  <c r="AL57" i="1" a="1"/>
  <c r="C57" i="1" s="1"/>
  <c r="AL56" i="1" a="1"/>
  <c r="AL56" i="1" s="1"/>
  <c r="AL55" i="1" a="1"/>
  <c r="C55" i="1" s="1"/>
  <c r="AL54" i="1" a="1"/>
  <c r="B54" i="1" s="1"/>
  <c r="AL53" i="1" a="1"/>
  <c r="D53" i="1" s="1"/>
  <c r="AL52" i="1" a="1"/>
  <c r="D52" i="1" s="1"/>
  <c r="AL51" i="1" a="1"/>
  <c r="AL51" i="1" s="1"/>
  <c r="AL50" i="1" a="1"/>
  <c r="AL50" i="1" s="1"/>
  <c r="AL49" i="1" a="1"/>
  <c r="C49" i="1" s="1"/>
  <c r="AL48" i="1" a="1"/>
  <c r="D48" i="1" s="1"/>
  <c r="AL47" i="1" a="1"/>
  <c r="C47" i="1" s="1"/>
  <c r="AL46" i="1" a="1"/>
  <c r="B46" i="1" s="1"/>
  <c r="AL45" i="1" a="1"/>
  <c r="D45" i="1" s="1"/>
  <c r="AL44" i="1" a="1"/>
  <c r="D44" i="1" s="1"/>
  <c r="C4" i="1" l="1"/>
  <c r="C12" i="1"/>
  <c r="C28" i="1"/>
  <c r="D59" i="1"/>
  <c r="B80" i="1"/>
  <c r="B81" i="1"/>
  <c r="AL81" i="1"/>
  <c r="B91" i="1"/>
  <c r="D4" i="1"/>
  <c r="B4" i="1"/>
  <c r="C19" i="1"/>
  <c r="C37" i="1"/>
  <c r="C43" i="1"/>
  <c r="B43" i="1"/>
  <c r="D43" i="1"/>
  <c r="B37" i="1"/>
  <c r="D37" i="1"/>
  <c r="C34" i="1"/>
  <c r="B34" i="1"/>
  <c r="D34" i="1"/>
  <c r="B28" i="1"/>
  <c r="D28" i="1"/>
  <c r="B19" i="1"/>
  <c r="D19" i="1"/>
  <c r="C16" i="1"/>
  <c r="B16" i="1"/>
  <c r="D16" i="1"/>
  <c r="B12" i="1"/>
  <c r="D12" i="1"/>
  <c r="C9" i="1"/>
  <c r="B9" i="1"/>
  <c r="D9" i="1"/>
  <c r="B121" i="1"/>
  <c r="AL121" i="1"/>
  <c r="D123" i="1"/>
  <c r="B124" i="1"/>
  <c r="C48" i="1"/>
  <c r="AL48" i="1"/>
  <c r="B69" i="1"/>
  <c r="B72" i="1"/>
  <c r="C91" i="1"/>
  <c r="AL103" i="1"/>
  <c r="B105" i="1"/>
  <c r="C110" i="1"/>
  <c r="B115" i="1"/>
  <c r="D42" i="1"/>
  <c r="B26" i="1"/>
  <c r="D15" i="1"/>
  <c r="D7" i="1"/>
  <c r="B49" i="1"/>
  <c r="AL49" i="1"/>
  <c r="D55" i="1"/>
  <c r="C56" i="1"/>
  <c r="B57" i="1"/>
  <c r="B61" i="1"/>
  <c r="AL61" i="1"/>
  <c r="D67" i="1"/>
  <c r="C72" i="1"/>
  <c r="D80" i="1"/>
  <c r="AL80" i="1"/>
  <c r="C86" i="1"/>
  <c r="D119" i="1"/>
  <c r="C120" i="1"/>
  <c r="AL120" i="1"/>
  <c r="D124" i="1"/>
  <c r="C42" i="1"/>
  <c r="D26" i="1"/>
  <c r="C18" i="1"/>
  <c r="B10" i="1"/>
  <c r="C7" i="1"/>
  <c r="D56" i="1"/>
  <c r="AL71" i="1"/>
  <c r="C77" i="1"/>
  <c r="B89" i="1"/>
  <c r="B97" i="1"/>
  <c r="D104" i="1"/>
  <c r="B107" i="1"/>
  <c r="D115" i="1"/>
  <c r="C26" i="1"/>
  <c r="B18" i="1"/>
  <c r="B8" i="1"/>
  <c r="C45" i="1"/>
  <c r="B53" i="1"/>
  <c r="B64" i="1"/>
  <c r="D89" i="1"/>
  <c r="C94" i="1"/>
  <c r="D97" i="1"/>
  <c r="B101" i="1"/>
  <c r="D107" i="1"/>
  <c r="D111" i="1"/>
  <c r="B24" i="1"/>
  <c r="D49" i="1"/>
  <c r="C54" i="1"/>
  <c r="D57" i="1"/>
  <c r="C61" i="1"/>
  <c r="D65" i="1"/>
  <c r="C69" i="1"/>
  <c r="D79" i="1"/>
  <c r="D95" i="1"/>
  <c r="AL97" i="1"/>
  <c r="AL101" i="1"/>
  <c r="C105" i="1"/>
  <c r="C121" i="1"/>
  <c r="B42" i="1"/>
  <c r="B32" i="1"/>
  <c r="D23" i="1"/>
  <c r="C15" i="1"/>
  <c r="C5" i="1"/>
  <c r="D47" i="1"/>
  <c r="C102" i="1"/>
  <c r="D105" i="1"/>
  <c r="B109" i="1"/>
  <c r="B113" i="1"/>
  <c r="B40" i="1"/>
  <c r="D31" i="1"/>
  <c r="C23" i="1"/>
  <c r="C13" i="1"/>
  <c r="D2" i="1"/>
  <c r="D39" i="1"/>
  <c r="C31" i="1"/>
  <c r="C21" i="1"/>
  <c r="D10" i="1"/>
  <c r="C2" i="1"/>
  <c r="C88" i="1"/>
  <c r="C96" i="1"/>
  <c r="B99" i="1"/>
  <c r="B48" i="1"/>
  <c r="B59" i="1"/>
  <c r="C62" i="1"/>
  <c r="B67" i="1"/>
  <c r="D71" i="1"/>
  <c r="B83" i="1"/>
  <c r="D88" i="1"/>
  <c r="D96" i="1"/>
  <c r="D99" i="1"/>
  <c r="AL109" i="1"/>
  <c r="C39" i="1"/>
  <c r="C29" i="1"/>
  <c r="D18" i="1"/>
  <c r="C10" i="1"/>
  <c r="B2" i="1"/>
  <c r="B5" i="1"/>
  <c r="D36" i="1"/>
  <c r="B45" i="1"/>
  <c r="AL47" i="1"/>
  <c r="C53" i="1"/>
  <c r="B56" i="1"/>
  <c r="AL57" i="1"/>
  <c r="C64" i="1"/>
  <c r="AL69" i="1"/>
  <c r="D72" i="1"/>
  <c r="B75" i="1"/>
  <c r="C78" i="1"/>
  <c r="D83" i="1"/>
  <c r="AL88" i="1"/>
  <c r="D91" i="1"/>
  <c r="AL96" i="1"/>
  <c r="D103" i="1"/>
  <c r="C113" i="1"/>
  <c r="AL119" i="1"/>
  <c r="D41" i="1"/>
  <c r="B39" i="1"/>
  <c r="C36" i="1"/>
  <c r="D33" i="1"/>
  <c r="B31" i="1"/>
  <c r="D25" i="1"/>
  <c r="B23" i="1"/>
  <c r="C20" i="1"/>
  <c r="D17" i="1"/>
  <c r="B15" i="1"/>
  <c r="B7" i="1"/>
  <c r="B29" i="1"/>
  <c r="AL65" i="1"/>
  <c r="D64" i="1"/>
  <c r="C70" i="1"/>
  <c r="D75" i="1"/>
  <c r="D87" i="1"/>
  <c r="AL111" i="1"/>
  <c r="D113" i="1"/>
  <c r="B117" i="1"/>
  <c r="B120" i="1"/>
  <c r="C41" i="1"/>
  <c r="D38" i="1"/>
  <c r="B36" i="1"/>
  <c r="C33" i="1"/>
  <c r="D30" i="1"/>
  <c r="C25" i="1"/>
  <c r="D22" i="1"/>
  <c r="B20" i="1"/>
  <c r="C17" i="1"/>
  <c r="D14" i="1"/>
  <c r="D6" i="1"/>
  <c r="AL85" i="1"/>
  <c r="B21" i="1"/>
  <c r="AL104" i="1"/>
  <c r="AL53" i="1"/>
  <c r="B112" i="1"/>
  <c r="B41" i="1"/>
  <c r="C38" i="1"/>
  <c r="D35" i="1"/>
  <c r="B33" i="1"/>
  <c r="C30" i="1"/>
  <c r="D27" i="1"/>
  <c r="B25" i="1"/>
  <c r="C22" i="1"/>
  <c r="B17" i="1"/>
  <c r="C14" i="1"/>
  <c r="D11" i="1"/>
  <c r="C6" i="1"/>
  <c r="D3" i="1"/>
  <c r="AL93" i="1"/>
  <c r="AL45" i="1"/>
  <c r="B51" i="1"/>
  <c r="B73" i="1"/>
  <c r="D81" i="1"/>
  <c r="B85" i="1"/>
  <c r="AL87" i="1"/>
  <c r="B93" i="1"/>
  <c r="AL95" i="1"/>
  <c r="C101" i="1"/>
  <c r="B104" i="1"/>
  <c r="C112" i="1"/>
  <c r="AL117" i="1"/>
  <c r="B122" i="1"/>
  <c r="D40" i="1"/>
  <c r="B38" i="1"/>
  <c r="C35" i="1"/>
  <c r="D32" i="1"/>
  <c r="B30" i="1"/>
  <c r="C27" i="1"/>
  <c r="D24" i="1"/>
  <c r="B22" i="1"/>
  <c r="B14" i="1"/>
  <c r="C11" i="1"/>
  <c r="D8" i="1"/>
  <c r="B6" i="1"/>
  <c r="C3" i="1"/>
  <c r="AL63" i="1"/>
  <c r="AL73" i="1"/>
  <c r="AL112" i="1"/>
  <c r="AL122" i="1"/>
  <c r="B13" i="1"/>
  <c r="AL55" i="1"/>
  <c r="AL77" i="1"/>
  <c r="D20" i="1"/>
  <c r="C46" i="1"/>
  <c r="D51" i="1"/>
  <c r="D63" i="1"/>
  <c r="B65" i="1"/>
  <c r="D73" i="1"/>
  <c r="B77" i="1"/>
  <c r="AL79" i="1"/>
  <c r="C85" i="1"/>
  <c r="AL89" i="1"/>
  <c r="C93" i="1"/>
  <c r="C118" i="1"/>
  <c r="D122" i="1"/>
  <c r="B125" i="1"/>
  <c r="C40" i="1"/>
  <c r="B35" i="1"/>
  <c r="C32" i="1"/>
  <c r="D29" i="1"/>
  <c r="B27" i="1"/>
  <c r="C24" i="1"/>
  <c r="D21" i="1"/>
  <c r="D13" i="1"/>
  <c r="B11" i="1"/>
  <c r="C8" i="1"/>
  <c r="D5" i="1"/>
  <c r="B3" i="1"/>
  <c r="AL44" i="1"/>
  <c r="D46" i="1"/>
  <c r="C51" i="1"/>
  <c r="AL52" i="1"/>
  <c r="D54" i="1"/>
  <c r="C59" i="1"/>
  <c r="AL60" i="1"/>
  <c r="D62" i="1"/>
  <c r="C67" i="1"/>
  <c r="AL68" i="1"/>
  <c r="D70" i="1"/>
  <c r="C75" i="1"/>
  <c r="AL76" i="1"/>
  <c r="D78" i="1"/>
  <c r="C83" i="1"/>
  <c r="AL84" i="1"/>
  <c r="D86" i="1"/>
  <c r="AL92" i="1"/>
  <c r="D94" i="1"/>
  <c r="C99" i="1"/>
  <c r="AL100" i="1"/>
  <c r="D102" i="1"/>
  <c r="C107" i="1"/>
  <c r="AL108" i="1"/>
  <c r="D110" i="1"/>
  <c r="C115" i="1"/>
  <c r="AL116" i="1"/>
  <c r="D118" i="1"/>
  <c r="C123" i="1"/>
  <c r="AL124" i="1"/>
  <c r="D126" i="1"/>
  <c r="AL62" i="1"/>
  <c r="B74" i="1"/>
  <c r="AL78" i="1"/>
  <c r="B82" i="1"/>
  <c r="AL86" i="1"/>
  <c r="B90" i="1"/>
  <c r="AL94" i="1"/>
  <c r="B98" i="1"/>
  <c r="AL102" i="1"/>
  <c r="B106" i="1"/>
  <c r="C109" i="1"/>
  <c r="AL110" i="1"/>
  <c r="B114" i="1"/>
  <c r="C117" i="1"/>
  <c r="AL118" i="1"/>
  <c r="C125" i="1"/>
  <c r="AL126" i="1"/>
  <c r="B47" i="1"/>
  <c r="C50" i="1"/>
  <c r="B55" i="1"/>
  <c r="C58" i="1"/>
  <c r="B63" i="1"/>
  <c r="C66" i="1"/>
  <c r="B71" i="1"/>
  <c r="C74" i="1"/>
  <c r="B79" i="1"/>
  <c r="C82" i="1"/>
  <c r="B87" i="1"/>
  <c r="C90" i="1"/>
  <c r="B95" i="1"/>
  <c r="C98" i="1"/>
  <c r="B103" i="1"/>
  <c r="C106" i="1"/>
  <c r="B111" i="1"/>
  <c r="C114" i="1"/>
  <c r="B119" i="1"/>
  <c r="AL123" i="1"/>
  <c r="D125" i="1"/>
  <c r="B127" i="1"/>
  <c r="AL46" i="1"/>
  <c r="B50" i="1"/>
  <c r="AL54" i="1"/>
  <c r="B58" i="1"/>
  <c r="B66" i="1"/>
  <c r="AL70" i="1"/>
  <c r="B44" i="1"/>
  <c r="D50" i="1"/>
  <c r="B52" i="1"/>
  <c r="D58" i="1"/>
  <c r="B60" i="1"/>
  <c r="D66" i="1"/>
  <c r="B68" i="1"/>
  <c r="D74" i="1"/>
  <c r="B76" i="1"/>
  <c r="D82" i="1"/>
  <c r="B84" i="1"/>
  <c r="D90" i="1"/>
  <c r="B92" i="1"/>
  <c r="D98" i="1"/>
  <c r="B100" i="1"/>
  <c r="D106" i="1"/>
  <c r="B108" i="1"/>
  <c r="D114" i="1"/>
  <c r="B116" i="1"/>
  <c r="C127" i="1"/>
  <c r="C60" i="1"/>
  <c r="C68" i="1"/>
  <c r="C76" i="1"/>
  <c r="C84" i="1"/>
  <c r="C92" i="1"/>
  <c r="C100" i="1"/>
  <c r="C108" i="1"/>
  <c r="C116" i="1"/>
  <c r="D127" i="1"/>
  <c r="C44" i="1"/>
  <c r="C52" i="1"/>
  <c r="B12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<sst xmlns="http://schemas.openxmlformats.org/spreadsheetml/2006/main" count="616" uniqueCount="134">
  <si>
    <t>instance</t>
  </si>
  <si>
    <t>Model</t>
  </si>
  <si>
    <t>status</t>
  </si>
  <si>
    <t>ObjVal</t>
  </si>
  <si>
    <t>ObjBound</t>
  </si>
  <si>
    <t>Gap</t>
  </si>
  <si>
    <t>runtime</t>
  </si>
  <si>
    <t>period_vehicle</t>
  </si>
  <si>
    <t>Q</t>
  </si>
  <si>
    <t>error</t>
  </si>
  <si>
    <t>fixed_prod_cost</t>
  </si>
  <si>
    <t>variable_prod_cost</t>
  </si>
  <si>
    <t>inv_hold_cost</t>
  </si>
  <si>
    <t>routing_cost</t>
  </si>
  <si>
    <t>recourse_cost</t>
  </si>
  <si>
    <t>unused_routing_cost</t>
  </si>
  <si>
    <t>expected_cost_diff</t>
  </si>
  <si>
    <t>MVPRP_C15_P9_V3_I1</t>
  </si>
  <si>
    <t>OPTIMAL</t>
  </si>
  <si>
    <t>[(2, 1, 132.0), (2, 2, 71.0), (4, 1, 131.0), (5, 1, 104.0), (6, 1, 132.0), (6, 2, 112.0), (6, 3, 38.0), (7, 1, 132.0), (7, 2, 44.0), (8, 1, 132.0), (8, 2, 125.0), (8, 3, 58.0), (9, 1, 132.0), (9, 2, 22.0)]</t>
  </si>
  <si>
    <t>MVPRP_C20_P3_V2_I1</t>
  </si>
  <si>
    <t>[(1, 1, 251.0), (3, 1, 150.0)]</t>
  </si>
  <si>
    <t>MVPRP_C40_P3_V4_I1</t>
  </si>
  <si>
    <t>MVPRP_C10_P9_V2_I1</t>
  </si>
  <si>
    <t>[(2, 1, 129.0), (4, 1, 142.0), (6, 1, 186.0), (6, 2, 118.0), (8, 1, 186.0), (8, 2, 118.0)]</t>
  </si>
  <si>
    <t>MVPRP_C15_P3_V2_I1</t>
  </si>
  <si>
    <t>[(1, 1, 97.0), (2, 1, 168.0), (3, 1, 67.0)]</t>
  </si>
  <si>
    <t>MVPRP_C40_P3_V3_I1</t>
  </si>
  <si>
    <t>[(1, 1, 294.0), (2, 1, 268.0), (3, 1, 360.0)]</t>
  </si>
  <si>
    <t>MVPRP_C20_P6_V3_I1</t>
  </si>
  <si>
    <t>[(2, 1, 188.0), (3, 1, 174.0), (5, 1, 188.0), (5, 2, 58.0), (6, 1, 186.0)]</t>
  </si>
  <si>
    <t>MVPRP_C30_P3_V4_I1</t>
  </si>
  <si>
    <t>MVPRP_C10_P3_V3_I1</t>
  </si>
  <si>
    <t>[(1, 1, 89.0), (2, 1, 76.0), (3, 1, 48.0)]</t>
  </si>
  <si>
    <t>MVPRP_C10_P3_V2_I1</t>
  </si>
  <si>
    <t>[(1, 1, 165.0), (3, 1, 48.0)]</t>
  </si>
  <si>
    <t>MVPRP_C30_P9_V4_I1</t>
  </si>
  <si>
    <t>TIME_LIMIT</t>
  </si>
  <si>
    <t>MVPRP_C20_P3_V3_I1</t>
  </si>
  <si>
    <t>[(1, 1, 182.0), (1, 2, 60.0), (3, 1, 159.0)]</t>
  </si>
  <si>
    <t>MVPRP_C40_P6_V3_I1</t>
  </si>
  <si>
    <t>[(2, 1, 263.0), (3, 1, 329.0), (4, 1, 185.0), (5, 1, 360.0), (5, 2, 342.0), (6, 1, 360.0)]</t>
  </si>
  <si>
    <t>MVPRP_C15_P9_V2_I1</t>
  </si>
  <si>
    <t>[(2, 1, 194.0), (4, 1, 197.0), (4, 2, 38.0), (6, 1, 198.0), (6, 2, 188.0), (6, 3, 38.0), (7, 1, 44.0), (8, 1, 198.0), (8, 2, 188.0), (8, 3, 38.0), (9, 1, 44.0)]</t>
  </si>
  <si>
    <t>MVPRP_C35_P6_V4_I1</t>
  </si>
  <si>
    <t>MVPRP_C45_P3_V3_I1</t>
  </si>
  <si>
    <t>[(1, 1, 176.0), (2, 1, 343.0), (3, 1, 356.0), (3, 2, 227.0)]</t>
  </si>
  <si>
    <t>MVPRP_C10_P6_V2_I1</t>
  </si>
  <si>
    <t>[(2, 1, 176.0), (5, 1, 188.0), (6, 1, 59.0)]</t>
  </si>
  <si>
    <t>MVPRP_C45_P3_V4_I1</t>
  </si>
  <si>
    <t>MVPRP_C25_P6_V3_I1</t>
  </si>
  <si>
    <t>[(2, 1, 140.0), (2, 2, 78.0), (3, 1, 180.0), (5, 1, 178.0), (5, 2, 181.0), (6, 1, 189.0)]</t>
  </si>
  <si>
    <t>MVPRP_C15_P6_V2_I1</t>
  </si>
  <si>
    <t>[(2, 1, 70.0), (3, 1, 196.0), (5, 1, 197.0), (5, 2, 38.0), (6, 1, 159.0)]</t>
  </si>
  <si>
    <t>MVPRP_C35_P6_V3_I1</t>
  </si>
  <si>
    <t>[(2, 1, 276.0), (3, 1, 137.0), (4, 1, 196.0), (5, 1, 276.0), (5, 2, 269.0), (6, 1, 276.0)]</t>
  </si>
  <si>
    <t>MVPRP_C25_P3_V3_I1</t>
  </si>
  <si>
    <t>[(1, 1, 175.0), (2, 1, 114.0), (3, 1, 189.0)]</t>
  </si>
  <si>
    <t>MVPRP_C10_P6_V3_I1</t>
  </si>
  <si>
    <t>[(2, 1, 100.0), (3, 1, 76.0), (5, 1, 131.0), (6, 1, 116.0)]</t>
  </si>
  <si>
    <t>MVPRP_C35_P3_V3_I1</t>
  </si>
  <si>
    <t>[(1, 1, 257.0), (2, 1, 186.9999995461255), (3, 1, 276.0000004538745)]</t>
  </si>
  <si>
    <t xml:space="preserve">error in vehicle quantity for vehicle 1 and period 3 with load 276.0000004538745&gt;276; </t>
  </si>
  <si>
    <t>MVPRP_C50_P3_V3_I1</t>
  </si>
  <si>
    <t>[(1, 1, 312.0), (2, 1, 314.0), (3, 1, 360.0)]</t>
  </si>
  <si>
    <t>MVPRP_C30_P6_V3_I1</t>
  </si>
  <si>
    <t>[(2, 1, 217.0), (3, 1, 213.0), (5, 1, 228.0), (5, 2, 219.0), (6, 1, 228.0)]</t>
  </si>
  <si>
    <t>MVPRP_C30_P6_V4_I1</t>
  </si>
  <si>
    <t>MVPRP_C25_P9_V3_I1</t>
  </si>
  <si>
    <t>[(2, 1, 180.0), (2, 2, 78.0), (3, 1, 43.99998657960625), (4, 1, 118.0000168599842), (5, 1, 183.9999831400158), (6, 1, 189.0), (6, 2, 189.0), (6, 3, 130.0), (7, 1, 189.0), (8, 1, 189.0), (8, 2, 187.0), (8, 3, 130.0), (9, 1, 189.0)]</t>
  </si>
  <si>
    <t>MVPRP_C20_P6_V2_I1</t>
  </si>
  <si>
    <t>[(2, 1, 246.0), (3, 1, 116.0), (5, 1, 278.0), (6, 1, 154.0)]</t>
  </si>
  <si>
    <t>MVPRP_C15_P6_V3_I1</t>
  </si>
  <si>
    <t>[(2, 1, 100.0), (3, 1, 128.0), (3, 2, 38.0), (5, 1, 130.0), (5, 2, 132.0), (6, 1, 132.0)]</t>
  </si>
  <si>
    <t>MVPRP_C15_P3_V3_I1</t>
  </si>
  <si>
    <t>[(1, 1, 97.0), (2, 1, 130.0), (2, 2, 38.0), (3, 1, 67.0)]</t>
  </si>
  <si>
    <t>MVPRP_C25_P9_V2_I1</t>
  </si>
  <si>
    <t>[(2, 1, 270.0), (4, 1, 280.0), (5, 1, 46.0), (6, 1, 283.0), (6, 2, 282.0), (7, 1, 135.0), (8, 1, 283.0), (8, 2, 282.0), (9, 1, 135.0)]</t>
  </si>
  <si>
    <t>MVPRP_C35_P3_V4_I1</t>
  </si>
  <si>
    <t>MVPRP_C25_P3_V2_I1</t>
  </si>
  <si>
    <t>[(1, 1, 281.0), (2, 1, 18.0), (3, 1, 179.0)]</t>
  </si>
  <si>
    <t>MVPRP_C20_P9_V3_I1</t>
  </si>
  <si>
    <t>[(2, 1, 184.0), (2, 2, 78.0), (4, 1, 147.0), (5, 1, 117.0), (6, 1, 189.0), (6, 2, 168.0), (7, 1, 183.0), (8, 1, 189.0), (8, 2, 168.0), (9, 1, 181.0)]</t>
  </si>
  <si>
    <t>MVPRP_C40_P6_V4_I1</t>
  </si>
  <si>
    <t>MVPRP_C30_P9_V3_I1</t>
  </si>
  <si>
    <t>[(2, 1, 219.0), (3, 1, 212.0), (5, 1, 228.0), (5, 2, 225.0), (6, 1, 228.0), (7, 1, 225.0), (7, 2, 226.0), (8, 1, 222.0), (8, 2, 218.0), (8, 3, 26.0), (9, 1, 228.0)]</t>
  </si>
  <si>
    <t>MVPRP_C25_P6_V2_I1</t>
  </si>
  <si>
    <t>[(2, 1, 258.0), (3, 1, 140.0), (5, 1, 272.0), (6, 1, 276.0)]</t>
  </si>
  <si>
    <t>MVPRP_C10_P9_V3_I1</t>
  </si>
  <si>
    <t>[(2, 1, 129.0), (4, 1, 132.0), (5, 1, 10.0), (6, 1, 125.0), (6, 2, 120.0), (7, 1, 59.0), (8, 1, 125.0), (8, 2, 120.0), (9, 1, 59.0)]</t>
  </si>
  <si>
    <t>MVPRP_C20_P9_V2_I1</t>
  </si>
  <si>
    <t>[(2, 1, 254.0), (4, 1, 270.0), (6, 1, 272.0), (6, 2, 267.9999819999939), (8, 1, 272.0), (8, 2, 268.0)]</t>
  </si>
  <si>
    <t>MVPRP_C30_P3_V3_I1</t>
  </si>
  <si>
    <t>[(1, 1, 189.0), (2, 1, 156.0), (3, 1, 211.0)]</t>
  </si>
  <si>
    <t>MVPRP_C50_P3_V4_I1</t>
  </si>
  <si>
    <t>[]</t>
  </si>
  <si>
    <t>Customers</t>
  </si>
  <si>
    <t>Periods</t>
  </si>
  <si>
    <t>MED</t>
  </si>
  <si>
    <t>benders_cuts</t>
  </si>
  <si>
    <t>lfcc</t>
  </si>
  <si>
    <t>ufcc</t>
  </si>
  <si>
    <t>lsec</t>
  </si>
  <si>
    <t>usec</t>
  </si>
  <si>
    <t>l_st_time</t>
  </si>
  <si>
    <t>u_st_time</t>
  </si>
  <si>
    <t>l_fcc_time</t>
  </si>
  <si>
    <t>u_fcc_time</t>
  </si>
  <si>
    <t>l_benders</t>
  </si>
  <si>
    <t>gamma</t>
  </si>
  <si>
    <t>Average of ObjVal</t>
  </si>
  <si>
    <t>Average of ObjBound</t>
  </si>
  <si>
    <t>Average of Gap</t>
  </si>
  <si>
    <t>Average of runtime</t>
  </si>
  <si>
    <t>Count of status</t>
  </si>
  <si>
    <t>Gesamtergebnis</t>
  </si>
  <si>
    <t>Spaltenbeschriftungen</t>
  </si>
  <si>
    <t>model3_HPRP_Hybrid_twoFlow</t>
  </si>
  <si>
    <t>[(1, 2, 208.0), (2, 2, 178.0), (3, 2, 535.9999995845076)]</t>
  </si>
  <si>
    <t>[(1, 2, 171.99999660257348), (2, 2, 123.99999914344534), (3, 2, 260.0000000055)]</t>
  </si>
  <si>
    <t>[(2, 2, 120.0), (3, 2, 325.0), (5, 2, 342.0), (6, 2, 338.0), (6, 3, 113.0), (7, 2, 286.0), (8, 2, 338.0), (8, 3, 109.0), (9, 2, 286.0)]</t>
  </si>
  <si>
    <t>[(2, 2, 190.0), (3, 2, 414.0), (5, 2, 413.0), (6, 2, 413.0)]</t>
  </si>
  <si>
    <t>[(1, 2, 254.0), (2, 2, 223.0), (3, 2, 540.0), (3, 3, 85.0)]</t>
  </si>
  <si>
    <t>[(2, 2, 112.0), (3, 2, 319.0), (5, 2, 341.0), (6, 2, 333.0)]</t>
  </si>
  <si>
    <t>[(1, 2, 246.0), (2, 2, 108.0), (3, 2, 366.0)]</t>
  </si>
  <si>
    <t>[(2, 2, 263.0), (3, 2, 259.0), (4, 2, 248.0), (5, 2, 531.0), (6, 2, 538.0)]</t>
  </si>
  <si>
    <t>[(1, 2, 175.99999949290577), (2, 2, 269.9999997432205), (3, 2, 540.0)]</t>
  </si>
  <si>
    <t>HetPRP</t>
  </si>
  <si>
    <t>Benders</t>
  </si>
  <si>
    <t>EF</t>
  </si>
  <si>
    <t>Zeilenbeschriftungen</t>
  </si>
  <si>
    <t>HetPRP Ergebnis</t>
  </si>
  <si>
    <t>Benders Ergebnis</t>
  </si>
  <si>
    <t>EF 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</si>
</sst>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Standard" xfId="0" builtinId="0"/>
  </cellStyles>
  <dxfs count="12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[models_16_threads_MIPstart_July_I1.xlsm]AveragesOverall!PivotTable1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AveragesOverall!$B$1</c:f>
              <c:strCache>
                <c:ptCount val="1"/>
                <c:pt idx="0">
                  <c:v>Average of ObjVal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AveragesOverall!$A$2:$A$5</c:f>
              <c:strCache>
                <c:ptCount val="3"/>
                <c:pt idx="0">
                  <c:v>HetPRP</c:v>
                </c:pt>
                <c:pt idx="1">
                  <c:v>Benders</c:v>
                </c:pt>
                <c:pt idx="2">
                  <c:v>EF</c:v>
                </c:pt>
              </c:strCache>
            </c:strRef>
          </c:cat>
          <c:val>
            <c:numRef>
              <c:f>AveragesOverall!$B$2:$B$5</c:f>
              <c:numCache>
                <c:formatCode>General</c:formatCode>
                <c:ptCount val="3"/>
                <c:pt idx="0">
                  <c:v>54104.542832488492</c:v>
                </c:pt>
                <c:pt idx="1">
                  <c:v>54362.16425722983</c:v>
                </c:pt>
                <c:pt idx="2">
                  <c:v>54629.964216325832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B-45A9-9EF4-377AEB9173E0}"/>
            </c:ext>
          </c:extLst>
        </c:ser>
        <c:ser>
          <c:idx val="1"/>
          <c:order val="1"/>
          <c:tx>
            <c:strRef>
              <c:f>AveragesOverall!$C$1</c:f>
              <c:strCache>
                <c:ptCount val="1"/>
                <c:pt idx="0">
                  <c:v>Average of ObjBound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AveragesOverall!$A$2:$A$5</c:f>
              <c:strCache>
                <c:ptCount val="3"/>
                <c:pt idx="0">
                  <c:v>HetPRP</c:v>
                </c:pt>
                <c:pt idx="1">
                  <c:v>Benders</c:v>
                </c:pt>
                <c:pt idx="2">
                  <c:v>EF</c:v>
                </c:pt>
              </c:strCache>
            </c:strRef>
          </c:cat>
          <c:val>
            <c:numRef>
              <c:f>AveragesOverall!$C$2:$C$5</c:f>
              <c:numCache>
                <c:formatCode>General</c:formatCode>
                <c:ptCount val="3"/>
                <c:pt idx="0">
                  <c:v>54012.506560758142</c:v>
                </c:pt>
                <c:pt idx="1">
                  <c:v>53609.582437531702</c:v>
                </c:pt>
                <c:pt idx="2">
                  <c:v>53247.310672637388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4B-45A9-9EF4-377AEB9173E0}"/>
            </c:ext>
          </c:extLst>
        </c:ser>
        <c:ser>
          <c:idx val="2"/>
          <c:order val="2"/>
          <c:tx>
            <c:strRef>
              <c:f>AveragesOverall!$D$1</c:f>
              <c:strCache>
                <c:ptCount val="1"/>
                <c:pt idx="0">
                  <c:v>Average of Gap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AveragesOverall!$A$2:$A$5</c:f>
              <c:strCache>
                <c:ptCount val="3"/>
                <c:pt idx="0">
                  <c:v>HetPRP</c:v>
                </c:pt>
                <c:pt idx="1">
                  <c:v>Benders</c:v>
                </c:pt>
                <c:pt idx="2">
                  <c:v>EF</c:v>
                </c:pt>
              </c:strCache>
            </c:strRef>
          </c:cat>
          <c:val>
            <c:numRef>
              <c:f>AveragesOverall!$D$2:$D$5</c:f>
              <c:numCache>
                <c:formatCode>0.00%</c:formatCode>
                <c:ptCount val="3"/>
                <c:pt idx="0">
                  <c:v>1.0737458520195104E-3</c:v>
                </c:pt>
                <c:pt idx="1">
                  <c:v>8.7525045064489344E-3</c:v>
                </c:pt>
                <c:pt idx="2">
                  <c:v>1.8120313566579511E-2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4B-45A9-9EF4-377AEB9173E0}"/>
            </c:ext>
          </c:extLst>
        </c:ser>
        <c:ser>
          <c:idx val="3"/>
          <c:order val="3"/>
          <c:tx>
            <c:strRef>
              <c:f>AveragesOverall!$E$1</c:f>
              <c:strCache>
                <c:ptCount val="1"/>
                <c:pt idx="0">
                  <c:v>Average of runtime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AveragesOverall!$A$2:$A$5</c:f>
              <c:strCache>
                <c:ptCount val="3"/>
                <c:pt idx="0">
                  <c:v>HetPRP</c:v>
                </c:pt>
                <c:pt idx="1">
                  <c:v>Benders</c:v>
                </c:pt>
                <c:pt idx="2">
                  <c:v>EF</c:v>
                </c:pt>
              </c:strCache>
            </c:strRef>
          </c:cat>
          <c:val>
            <c:numRef>
              <c:f>AveragesOverall!$E$2:$E$5</c:f>
              <c:numCache>
                <c:formatCode>General</c:formatCode>
                <c:ptCount val="3"/>
                <c:pt idx="0">
                  <c:v>986.17496224812101</c:v>
                </c:pt>
                <c:pt idx="1">
                  <c:v>1960.2069382383711</c:v>
                </c:pt>
                <c:pt idx="2">
                  <c:v>2496.528335026333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4B-45A9-9EF4-377AEB917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9679"/>
        <c:axId val="4000639"/>
      </c:barChart>
      <c:catAx>
        <c:axId val="3999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639"/>
        <c:crosses val="autoZero"/>
        <c:auto val="1"/>
        <c:lblAlgn val="ctr"/>
        <c:lblOffset val="100"/>
        <c:noMultiLvlLbl val="0"/>
      </c:catAx>
      <c:valAx>
        <c:axId val="4000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[models_16_threads_MIPstart_July_I1.xlsm]Solved!PivotTable2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Solved!$B$1:$B$3</c:f>
              <c:strCache>
                <c:ptCount val="1"/>
                <c:pt idx="0">
                  <c:v>HetPRP - OPTIMAL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Solved!$A$4:$A$16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Solved!$B$4:$B$16</c:f>
              <c:numCache>
                <c:formatCode>General</c:formatCode>
                <c:ptCount val="9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9</c:v>
                </c:pt>
                <c:pt idx="4">
                  <c:v>6</c:v>
                </c:pt>
                <c:pt idx="5">
                  <c:v>4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50-4067-8E24-DED2D17EF220}"/>
            </c:ext>
          </c:extLst>
        </c:ser>
        <c:ser>
          <c:idx val="1"/>
          <c:order val="1"/>
          <c:tx>
            <c:strRef>
              <c:f>Solved!$C$1:$C$3</c:f>
              <c:strCache>
                <c:ptCount val="1"/>
                <c:pt idx="0">
                  <c:v>HetPRP - TIME_LIMIT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Solved!$A$4:$A$16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Solved!$C$4:$C$16</c:f>
              <c:numCache>
                <c:formatCode>General</c:formatCode>
                <c:ptCount val="9"/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50-4067-8E24-DED2D17EF220}"/>
            </c:ext>
          </c:extLst>
        </c:ser>
        <c:ser>
          <c:idx val="2"/>
          <c:order val="2"/>
          <c:tx>
            <c:strRef>
              <c:f>Solved!$E$1:$E$3</c:f>
              <c:strCache>
                <c:ptCount val="1"/>
                <c:pt idx="0">
                  <c:v>Benders - OPTIMAL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Solved!$A$4:$A$16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Solved!$E$4:$E$16</c:f>
              <c:numCache>
                <c:formatCode>General</c:formatCode>
                <c:ptCount val="9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6</c:v>
                </c:pt>
                <c:pt idx="4">
                  <c:v>3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8F-451C-A508-6C0F8BF25E76}"/>
            </c:ext>
          </c:extLst>
        </c:ser>
        <c:ser>
          <c:idx val="3"/>
          <c:order val="3"/>
          <c:tx>
            <c:strRef>
              <c:f>Solved!$F$1:$F$3</c:f>
              <c:strCache>
                <c:ptCount val="1"/>
                <c:pt idx="0">
                  <c:v>Benders - TIME_LIMIT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Solved!$A$4:$A$16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Solved!$F$4:$F$16</c:f>
              <c:numCache>
                <c:formatCode>General</c:formatCode>
                <c:ptCount val="9"/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8F-451C-A508-6C0F8BF25E76}"/>
            </c:ext>
          </c:extLst>
        </c:ser>
        <c:ser>
          <c:idx val="4"/>
          <c:order val="4"/>
          <c:tx>
            <c:strRef>
              <c:f>Solved!$H$1:$H$3</c:f>
              <c:strCache>
                <c:ptCount val="1"/>
                <c:pt idx="0">
                  <c:v>EF - OPTIMAL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Solved!$A$4:$A$16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Solved!$H$4:$H$16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3">
                  <c:v>6</c:v>
                </c:pt>
                <c:pt idx="4">
                  <c:v>3</c:v>
                </c:pt>
                <c:pt idx="5">
                  <c:v>1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8F-451C-A508-6C0F8BF25E76}"/>
            </c:ext>
          </c:extLst>
        </c:ser>
        <c:ser>
          <c:idx val="5"/>
          <c:order val="5"/>
          <c:tx>
            <c:strRef>
              <c:f>Solved!$I$1:$I$3</c:f>
              <c:strCache>
                <c:ptCount val="1"/>
                <c:pt idx="0">
                  <c:v>EF - TIME_LIMIT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Solved!$A$4:$A$16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Solved!$I$4:$I$16</c:f>
              <c:numCache>
                <c:formatCode>General</c:formatCode>
                <c:ptCount val="9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8F-451C-A508-6C0F8BF25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044527"/>
        <c:axId val="178047407"/>
      </c:barChart>
      <c:catAx>
        <c:axId val="178044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047407"/>
        <c:crosses val="autoZero"/>
        <c:auto val="1"/>
        <c:lblAlgn val="ctr"/>
        <c:lblOffset val="100"/>
        <c:noMultiLvlLbl val="0"/>
      </c:catAx>
      <c:valAx>
        <c:axId val="17804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044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[models_16_threads_MIPstart_July_I1.xlsm]ByMedByPeriod!PivotTable3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ByMedByPeriod!$B$1:$B$3</c:f>
              <c:strCache>
                <c:ptCount val="1"/>
                <c:pt idx="0">
                  <c:v>HetPRP - Average of ObjVal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ByMedByPeriod!$A$4:$A$16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ByMedByPeriod!$B$4:$B$16</c:f>
              <c:numCache>
                <c:formatCode>General</c:formatCode>
                <c:ptCount val="9"/>
                <c:pt idx="0">
                  <c:v>21530.124999212501</c:v>
                </c:pt>
                <c:pt idx="1">
                  <c:v>45527.999999999898</c:v>
                </c:pt>
                <c:pt idx="2">
                  <c:v>80770.699997169679</c:v>
                </c:pt>
                <c:pt idx="3">
                  <c:v>32262.677762931722</c:v>
                </c:pt>
                <c:pt idx="4">
                  <c:v>58844.928571428529</c:v>
                </c:pt>
                <c:pt idx="5">
                  <c:v>84929.35993729574</c:v>
                </c:pt>
                <c:pt idx="6">
                  <c:v>41556.059885224946</c:v>
                </c:pt>
                <c:pt idx="7">
                  <c:v>78154.666666666672</c:v>
                </c:pt>
                <c:pt idx="8">
                  <c:v>111905.8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40-4363-A21C-095F783839BE}"/>
            </c:ext>
          </c:extLst>
        </c:ser>
        <c:ser>
          <c:idx val="1"/>
          <c:order val="1"/>
          <c:tx>
            <c:strRef>
              <c:f>ByMedByPeriod!$C$1:$C$3</c:f>
              <c:strCache>
                <c:ptCount val="1"/>
                <c:pt idx="0">
                  <c:v>HetPRP - Average of ObjBound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ByMedByPeriod!$A$4:$A$16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ByMedByPeriod!$C$4:$C$16</c:f>
              <c:numCache>
                <c:formatCode>General</c:formatCode>
                <c:ptCount val="9"/>
                <c:pt idx="0">
                  <c:v>21530.124999212501</c:v>
                </c:pt>
                <c:pt idx="1">
                  <c:v>45527.999999999898</c:v>
                </c:pt>
                <c:pt idx="2">
                  <c:v>80768.517773978921</c:v>
                </c:pt>
                <c:pt idx="3">
                  <c:v>32262.145614783563</c:v>
                </c:pt>
                <c:pt idx="4">
                  <c:v>58829.388986433783</c:v>
                </c:pt>
                <c:pt idx="5">
                  <c:v>84803.559567166536</c:v>
                </c:pt>
                <c:pt idx="6">
                  <c:v>41474.520177449078</c:v>
                </c:pt>
                <c:pt idx="7">
                  <c:v>77739.992527287803</c:v>
                </c:pt>
                <c:pt idx="8">
                  <c:v>110443.29471604701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0-4363-A21C-095F783839BE}"/>
            </c:ext>
          </c:extLst>
        </c:ser>
        <c:ser>
          <c:idx val="2"/>
          <c:order val="2"/>
          <c:tx>
            <c:strRef>
              <c:f>ByMedByPeriod!$D$1:$D$3</c:f>
              <c:strCache>
                <c:ptCount val="1"/>
                <c:pt idx="0">
                  <c:v>HetPRP - Average of Gap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ByMedByPeriod!$A$4:$A$16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ByMedByPeriod!$D$4:$D$16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2.0591576347045525E-5</c:v>
                </c:pt>
                <c:pt idx="3">
                  <c:v>1.0341246747912189E-5</c:v>
                </c:pt>
                <c:pt idx="4">
                  <c:v>1.5973209718985715E-4</c:v>
                </c:pt>
                <c:pt idx="5">
                  <c:v>1.126961719508338E-3</c:v>
                </c:pt>
                <c:pt idx="6">
                  <c:v>1.6688573929607097E-3</c:v>
                </c:pt>
                <c:pt idx="7">
                  <c:v>5.5851976993595669E-3</c:v>
                </c:pt>
                <c:pt idx="8">
                  <c:v>1.30690749179471E-2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40-4363-A21C-095F783839BE}"/>
            </c:ext>
          </c:extLst>
        </c:ser>
        <c:ser>
          <c:idx val="3"/>
          <c:order val="3"/>
          <c:tx>
            <c:strRef>
              <c:f>ByMedByPeriod!$E$1:$E$3</c:f>
              <c:strCache>
                <c:ptCount val="1"/>
                <c:pt idx="0">
                  <c:v>HetPRP - Average of runtime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ByMedByPeriod!$A$4:$A$16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ByMedByPeriod!$E$4:$E$16</c:f>
              <c:numCache>
                <c:formatCode>General</c:formatCode>
                <c:ptCount val="9"/>
                <c:pt idx="0">
                  <c:v>2.7483102679252629</c:v>
                </c:pt>
                <c:pt idx="1">
                  <c:v>9.4124959707260274</c:v>
                </c:pt>
                <c:pt idx="2">
                  <c:v>152.93786519765877</c:v>
                </c:pt>
                <c:pt idx="3">
                  <c:v>162.7636247211033</c:v>
                </c:pt>
                <c:pt idx="4">
                  <c:v>623.57176307269549</c:v>
                </c:pt>
                <c:pt idx="5">
                  <c:v>1463.9277935028074</c:v>
                </c:pt>
                <c:pt idx="6">
                  <c:v>2642.1971586227423</c:v>
                </c:pt>
                <c:pt idx="7">
                  <c:v>3599.811870336533</c:v>
                </c:pt>
                <c:pt idx="8">
                  <c:v>3599.0183930397002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40-4363-A21C-095F783839BE}"/>
            </c:ext>
          </c:extLst>
        </c:ser>
        <c:ser>
          <c:idx val="4"/>
          <c:order val="4"/>
          <c:tx>
            <c:strRef>
              <c:f>ByMedByPeriod!$F$1:$F$3</c:f>
              <c:strCache>
                <c:ptCount val="1"/>
                <c:pt idx="0">
                  <c:v>Benders - Average of ObjVal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ByMedByPeriod!$A$4:$A$16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ByMedByPeriod!$F$4:$F$16</c:f>
              <c:numCache>
                <c:formatCode>General</c:formatCode>
                <c:ptCount val="9"/>
                <c:pt idx="0">
                  <c:v>21530.125</c:v>
                </c:pt>
                <c:pt idx="1">
                  <c:v>45527.999992288998</c:v>
                </c:pt>
                <c:pt idx="2">
                  <c:v>82019.174857978389</c:v>
                </c:pt>
                <c:pt idx="3">
                  <c:v>32318.311110204078</c:v>
                </c:pt>
                <c:pt idx="4">
                  <c:v>58948.057125517676</c:v>
                </c:pt>
                <c:pt idx="5">
                  <c:v>85433.399906624647</c:v>
                </c:pt>
                <c:pt idx="6">
                  <c:v>41581.5</c:v>
                </c:pt>
                <c:pt idx="7">
                  <c:v>78226.566666666666</c:v>
                </c:pt>
                <c:pt idx="8">
                  <c:v>113646.299999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40-4363-A21C-095F783839BE}"/>
            </c:ext>
          </c:extLst>
        </c:ser>
        <c:ser>
          <c:idx val="5"/>
          <c:order val="5"/>
          <c:tx>
            <c:strRef>
              <c:f>ByMedByPeriod!$G$1:$G$3</c:f>
              <c:strCache>
                <c:ptCount val="1"/>
                <c:pt idx="0">
                  <c:v>Benders - Average of ObjBound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ByMedByPeriod!$A$4:$A$16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ByMedByPeriod!$G$4:$G$16</c:f>
              <c:numCache>
                <c:formatCode>General</c:formatCode>
                <c:ptCount val="9"/>
                <c:pt idx="0">
                  <c:v>21530.125</c:v>
                </c:pt>
                <c:pt idx="1">
                  <c:v>45526.753356104178</c:v>
                </c:pt>
                <c:pt idx="2">
                  <c:v>79395.111166344097</c:v>
                </c:pt>
                <c:pt idx="3">
                  <c:v>32035.455687888381</c:v>
                </c:pt>
                <c:pt idx="4">
                  <c:v>58411.413384078602</c:v>
                </c:pt>
                <c:pt idx="5">
                  <c:v>83648.2982297782</c:v>
                </c:pt>
                <c:pt idx="6">
                  <c:v>41427.208085340957</c:v>
                </c:pt>
                <c:pt idx="7">
                  <c:v>77694.52205659046</c:v>
                </c:pt>
                <c:pt idx="8">
                  <c:v>110134.411661626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40-4363-A21C-095F783839BE}"/>
            </c:ext>
          </c:extLst>
        </c:ser>
        <c:ser>
          <c:idx val="6"/>
          <c:order val="6"/>
          <c:tx>
            <c:strRef>
              <c:f>ByMedByPeriod!$H$1:$H$3</c:f>
              <c:strCache>
                <c:ptCount val="1"/>
                <c:pt idx="0">
                  <c:v>Benders - Average of Gap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ByMedByPeriod!$A$4:$A$16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ByMedByPeriod!$H$4:$H$16</c:f>
              <c:numCache>
                <c:formatCode>0.00%</c:formatCode>
                <c:ptCount val="9"/>
                <c:pt idx="0">
                  <c:v>0</c:v>
                </c:pt>
                <c:pt idx="1">
                  <c:v>2.1103208817829125E-5</c:v>
                </c:pt>
                <c:pt idx="2">
                  <c:v>2.650791643717515E-2</c:v>
                </c:pt>
                <c:pt idx="3">
                  <c:v>5.743354834790838E-3</c:v>
                </c:pt>
                <c:pt idx="4">
                  <c:v>6.9353731824274723E-3</c:v>
                </c:pt>
                <c:pt idx="5">
                  <c:v>1.8547790298305767E-2</c:v>
                </c:pt>
                <c:pt idx="6">
                  <c:v>3.151348920369021E-3</c:v>
                </c:pt>
                <c:pt idx="7">
                  <c:v>7.284564499237263E-3</c:v>
                </c:pt>
                <c:pt idx="8">
                  <c:v>3.0901915305687699E-2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40-4363-A21C-095F783839BE}"/>
            </c:ext>
          </c:extLst>
        </c:ser>
        <c:ser>
          <c:idx val="7"/>
          <c:order val="7"/>
          <c:tx>
            <c:strRef>
              <c:f>ByMedByPeriod!$I$1:$I$3</c:f>
              <c:strCache>
                <c:ptCount val="1"/>
                <c:pt idx="0">
                  <c:v>Benders - Average of runtime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ByMedByPeriod!$A$4:$A$16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ByMedByPeriod!$I$4:$I$16</c:f>
              <c:numCache>
                <c:formatCode>General</c:formatCode>
                <c:ptCount val="9"/>
                <c:pt idx="0">
                  <c:v>3.9503639936447139</c:v>
                </c:pt>
                <c:pt idx="1">
                  <c:v>672.42598336935146</c:v>
                </c:pt>
                <c:pt idx="2">
                  <c:v>2713.9722275733961</c:v>
                </c:pt>
                <c:pt idx="3">
                  <c:v>1223.3375706142847</c:v>
                </c:pt>
                <c:pt idx="4">
                  <c:v>2229.0657462733134</c:v>
                </c:pt>
                <c:pt idx="5">
                  <c:v>3602.0145536422742</c:v>
                </c:pt>
                <c:pt idx="6">
                  <c:v>1946.0615340232841</c:v>
                </c:pt>
                <c:pt idx="7">
                  <c:v>3604.0047008991237</c:v>
                </c:pt>
                <c:pt idx="8">
                  <c:v>3601.4042057991001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40-4363-A21C-095F783839BE}"/>
            </c:ext>
          </c:extLst>
        </c:ser>
        <c:ser>
          <c:idx val="8"/>
          <c:order val="8"/>
          <c:tx>
            <c:strRef>
              <c:f>ByMedByPeriod!$J$1:$J$3</c:f>
              <c:strCache>
                <c:ptCount val="1"/>
                <c:pt idx="0">
                  <c:v>EF - Average of ObjVal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ByMedByPeriod!$A$4:$A$16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ByMedByPeriod!$J$4:$J$16</c:f>
              <c:numCache>
                <c:formatCode>General</c:formatCode>
                <c:ptCount val="9"/>
                <c:pt idx="0">
                  <c:v>21530.124811733178</c:v>
                </c:pt>
                <c:pt idx="1">
                  <c:v>45547.274913961301</c:v>
                </c:pt>
                <c:pt idx="2">
                  <c:v>81418.349909712153</c:v>
                </c:pt>
                <c:pt idx="3">
                  <c:v>32324.45555248957</c:v>
                </c:pt>
                <c:pt idx="4">
                  <c:v>59061.614178582844</c:v>
                </c:pt>
                <c:pt idx="5">
                  <c:v>86450.599924701644</c:v>
                </c:pt>
                <c:pt idx="6">
                  <c:v>41637.519981722944</c:v>
                </c:pt>
                <c:pt idx="7">
                  <c:v>80050.966596483093</c:v>
                </c:pt>
                <c:pt idx="8">
                  <c:v>115530.6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40-4363-A21C-095F783839BE}"/>
            </c:ext>
          </c:extLst>
        </c:ser>
        <c:ser>
          <c:idx val="9"/>
          <c:order val="9"/>
          <c:tx>
            <c:strRef>
              <c:f>ByMedByPeriod!$K$1:$K$3</c:f>
              <c:strCache>
                <c:ptCount val="1"/>
                <c:pt idx="0">
                  <c:v>EF - Average of ObjBound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ByMedByPeriod!$A$4:$A$16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ByMedByPeriod!$K$4:$K$16</c:f>
              <c:numCache>
                <c:formatCode>General</c:formatCode>
                <c:ptCount val="9"/>
                <c:pt idx="0">
                  <c:v>20914.090228711953</c:v>
                </c:pt>
                <c:pt idx="1">
                  <c:v>44387.119220223176</c:v>
                </c:pt>
                <c:pt idx="2">
                  <c:v>77010.096942054719</c:v>
                </c:pt>
                <c:pt idx="3">
                  <c:v>32029.598324786231</c:v>
                </c:pt>
                <c:pt idx="4">
                  <c:v>58461.750237437074</c:v>
                </c:pt>
                <c:pt idx="5">
                  <c:v>83819.321713244019</c:v>
                </c:pt>
                <c:pt idx="6">
                  <c:v>41447.440261106836</c:v>
                </c:pt>
                <c:pt idx="7">
                  <c:v>77738.375513459672</c:v>
                </c:pt>
                <c:pt idx="8">
                  <c:v>110094.249689542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40-4363-A21C-095F783839BE}"/>
            </c:ext>
          </c:extLst>
        </c:ser>
        <c:ser>
          <c:idx val="10"/>
          <c:order val="10"/>
          <c:tx>
            <c:strRef>
              <c:f>ByMedByPeriod!$L$1:$L$3</c:f>
              <c:strCache>
                <c:ptCount val="1"/>
                <c:pt idx="0">
                  <c:v>EF - Average of Gap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ByMedByPeriod!$A$4:$A$16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ByMedByPeriod!$L$4:$L$16</c:f>
              <c:numCache>
                <c:formatCode>0.00%</c:formatCode>
                <c:ptCount val="9"/>
                <c:pt idx="0">
                  <c:v>2.4809708777415701E-2</c:v>
                </c:pt>
                <c:pt idx="1">
                  <c:v>2.26754340226187E-2</c:v>
                </c:pt>
                <c:pt idx="2">
                  <c:v>5.0315631513279925E-2</c:v>
                </c:pt>
                <c:pt idx="3">
                  <c:v>5.9439879934408352E-3</c:v>
                </c:pt>
                <c:pt idx="4">
                  <c:v>7.3506623132698181E-3</c:v>
                </c:pt>
                <c:pt idx="5">
                  <c:v>2.4585214007306615E-2</c:v>
                </c:pt>
                <c:pt idx="6">
                  <c:v>3.9035467817816367E-3</c:v>
                </c:pt>
                <c:pt idx="7">
                  <c:v>2.5133413020063333E-2</c:v>
                </c:pt>
                <c:pt idx="8">
                  <c:v>4.7055501403594699E-2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B40-4363-A21C-095F783839BE}"/>
            </c:ext>
          </c:extLst>
        </c:ser>
        <c:ser>
          <c:idx val="11"/>
          <c:order val="11"/>
          <c:tx>
            <c:strRef>
              <c:f>ByMedByPeriod!$M$1:$M$3</c:f>
              <c:strCache>
                <c:ptCount val="1"/>
                <c:pt idx="0">
                  <c:v>EF - Average of runtime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ByMedByPeriod!$A$4:$A$16</c:f>
              <c:multiLvlStrCache>
                <c:ptCount val="9"/>
                <c:lvl>
                  <c:pt idx="0">
                    <c:v>3</c:v>
                  </c:pt>
                  <c:pt idx="1">
                    <c:v>6</c:v>
                  </c:pt>
                  <c:pt idx="2">
                    <c:v>9</c:v>
                  </c:pt>
                  <c:pt idx="3">
                    <c:v>3</c:v>
                  </c:pt>
                  <c:pt idx="4">
                    <c:v>6</c:v>
                  </c:pt>
                  <c:pt idx="5">
                    <c:v>9</c:v>
                  </c:pt>
                  <c:pt idx="6">
                    <c:v>3</c:v>
                  </c:pt>
                  <c:pt idx="7">
                    <c:v>6</c:v>
                  </c:pt>
                  <c:pt idx="8">
                    <c:v>9</c:v>
                  </c:pt>
                </c:lvl>
                <c:lvl>
                  <c:pt idx="0">
                    <c:v>2</c:v>
                  </c:pt>
                  <c:pt idx="3">
                    <c:v>3</c:v>
                  </c:pt>
                  <c:pt idx="6">
                    <c:v>4</c:v>
                  </c:pt>
                </c:lvl>
              </c:multiLvlStrCache>
            </c:multiLvlStrRef>
          </c:cat>
          <c:val>
            <c:numRef>
              <c:f>ByMedByPeriod!$M$4:$M$16</c:f>
              <c:numCache>
                <c:formatCode>General</c:formatCode>
                <c:ptCount val="9"/>
                <c:pt idx="0">
                  <c:v>2705.4881531000146</c:v>
                </c:pt>
                <c:pt idx="1">
                  <c:v>2758.2930249571805</c:v>
                </c:pt>
                <c:pt idx="2">
                  <c:v>3602.9926359057426</c:v>
                </c:pt>
                <c:pt idx="3">
                  <c:v>1278.2896167437236</c:v>
                </c:pt>
                <c:pt idx="4">
                  <c:v>2117.4916551453739</c:v>
                </c:pt>
                <c:pt idx="5">
                  <c:v>3448.1975387096418</c:v>
                </c:pt>
                <c:pt idx="6">
                  <c:v>2122.5465023517618</c:v>
                </c:pt>
                <c:pt idx="7">
                  <c:v>3600.9217914740234</c:v>
                </c:pt>
                <c:pt idx="8">
                  <c:v>3603.5610988140102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40-4363-A21C-095F78383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030127"/>
        <c:axId val="178033007"/>
      </c:barChart>
      <c:catAx>
        <c:axId val="178030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033007"/>
        <c:crosses val="autoZero"/>
        <c:auto val="1"/>
        <c:lblAlgn val="ctr"/>
        <c:lblOffset val="100"/>
        <c:noMultiLvlLbl val="0"/>
      </c:catAx>
      <c:valAx>
        <c:axId val="17803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030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4</xdr:row>
      <xdr:rowOff>76200</xdr:rowOff>
    </xdr:from>
    <xdr:to>
      <xdr:col>16</xdr:col>
      <xdr:colOff>228600</xdr:colOff>
      <xdr:row>21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8635D5-21F3-54E3-CE52-F83F8F3DAA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762000</xdr:colOff>
      <xdr:row>29</xdr:row>
      <xdr:rowOff>66675</xdr:rowOff>
    </xdr:from>
    <xdr:to>
      <xdr:col>14</xdr:col>
      <xdr:colOff>457200</xdr:colOff>
      <xdr:row>46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9594BD-823F-57A7-64BA-C58EC117B2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752475</xdr:colOff>
      <xdr:row>42</xdr:row>
      <xdr:rowOff>57150</xdr:rowOff>
    </xdr:from>
    <xdr:to>
      <xdr:col>11</xdr:col>
      <xdr:colOff>38100</xdr:colOff>
      <xdr:row>59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6F4F40-806A-1840-84E3-CA8F00DDB9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057.689038425924" createdVersion="8" refreshedVersion="8" minRefreshableVersion="3" recordCount="126" xr:uid="{D6EFFB15-059C-40C3-80A9-01A13842DFF0}">
  <cacheSource type="worksheet">
    <worksheetSource ref="A1:AE127" sheet="model2_16_threads_MIPstart_July"/>
  </cacheSource>
  <cacheFields count="31">
    <cacheField name="instance" numFmtId="0">
      <sharedItems/>
    </cacheField>
    <cacheField name="Customers" numFmtId="0">
      <sharedItems containsSemiMixedTypes="0" containsString="0" containsNumber="1" containsInteger="1" minValue="10" maxValue="50"/>
    </cacheField>
    <cacheField name="Periods" numFmtId="0">
      <sharedItems containsSemiMixedTypes="0" containsString="0" containsNumber="1" containsInteger="1" minValue="3" maxValue="9" count="3">
        <n v="9"/>
        <n v="3"/>
        <n v="6"/>
      </sharedItems>
    </cacheField>
    <cacheField name="MED" numFmtId="0">
      <sharedItems containsSemiMixedTypes="0" containsString="0" containsNumber="1" containsInteger="1" minValue="2" maxValue="4" count="3">
        <n v="3"/>
        <n v="2"/>
        <n v="4"/>
      </sharedItems>
    </cacheField>
    <cacheField name="Model" numFmtId="0">
      <sharedItems count="6">
        <s v="HetPRP"/>
        <s v="Benders"/>
        <s v="EF"/>
        <s v="model2_MIPSTART_CorrectSymmBreak" u="1"/>
        <s v="benders_bc_lessCapCuts_MIPSTART" u="1"/>
        <s v="model1_lessCapCuts_MIPSTART" u="1"/>
      </sharedItems>
    </cacheField>
    <cacheField name="status" numFmtId="0">
      <sharedItems count="2">
        <s v="OPTIMAL"/>
        <s v="TIME_LIMIT"/>
      </sharedItems>
    </cacheField>
    <cacheField name="ObjVal" numFmtId="0">
      <sharedItems containsSemiMixedTypes="0" containsString="0" containsNumber="1" minValue="14002" maxValue="118623.5"/>
    </cacheField>
    <cacheField name="ObjBound" numFmtId="0">
      <sharedItems containsSemiMixedTypes="0" containsString="0" containsNumber="1" minValue="14002" maxValue="110998.898149354"/>
    </cacheField>
    <cacheField name="Gap" numFmtId="0">
      <sharedItems containsSemiMixedTypes="0" containsString="0" containsNumber="1" minValue="0" maxValue="7.6605310774384899E-2"/>
    </cacheField>
    <cacheField name="runtime" numFmtId="0">
      <sharedItems containsSemiMixedTypes="0" containsString="0" containsNumber="1" minValue="0.58029508590698198" maxValue="3613.1220371723198"/>
    </cacheField>
    <cacheField name="period_vehicle" numFmtId="0">
      <sharedItems/>
    </cacheField>
    <cacheField name="Q" numFmtId="0">
      <sharedItems containsSemiMixedTypes="0" containsString="0" containsNumber="1" containsInteger="1" minValue="132" maxValue="360"/>
    </cacheField>
    <cacheField name="error" numFmtId="0">
      <sharedItems containsBlank="1"/>
    </cacheField>
    <cacheField name="gamma" numFmtId="0">
      <sharedItems containsSemiMixedTypes="0" containsString="0" containsNumber="1" containsInteger="1" minValue="3" maxValue="3"/>
    </cacheField>
    <cacheField name="fixed_prod_cost" numFmtId="0">
      <sharedItems containsSemiMixedTypes="0" containsString="0" containsNumber="1" minValue="3000" maxValue="12000"/>
    </cacheField>
    <cacheField name="variable_prod_cost" numFmtId="0">
      <sharedItems containsSemiMixedTypes="0" containsString="0" containsNumber="1" minValue="6390" maxValue="67710"/>
    </cacheField>
    <cacheField name="inv_hold_cost" numFmtId="0">
      <sharedItems containsSemiMixedTypes="0" containsString="0" containsNumber="1" minValue="2681" maxValue="30132"/>
    </cacheField>
    <cacheField name="routing_cost" numFmtId="0">
      <sharedItems containsSemiMixedTypes="0" containsString="0" containsNumber="1" minValue="1535" maxValue="15552"/>
    </cacheField>
    <cacheField name="recourse_cost" numFmtId="0">
      <sharedItems containsSemiMixedTypes="0" containsString="0" containsNumber="1" minValue="-1" maxValue="8226.2999999999993"/>
    </cacheField>
    <cacheField name="unused_routing_cost" numFmtId="0">
      <sharedItems containsSemiMixedTypes="0" containsString="0" containsNumber="1" minValue="-1" maxValue="1659.7"/>
    </cacheField>
    <cacheField name="expected_cost_diff" numFmtId="0">
      <sharedItems containsSemiMixedTypes="0" containsString="0" containsNumber="1" minValue="-1" maxValue="6566.6"/>
    </cacheField>
    <cacheField name="benders_cuts" numFmtId="0">
      <sharedItems containsString="0" containsBlank="1" containsNumber="1" containsInteger="1" minValue="0" maxValue="2410"/>
    </cacheField>
    <cacheField name="lfcc" numFmtId="0">
      <sharedItems containsString="0" containsBlank="1" containsNumber="1" containsInteger="1" minValue="0" maxValue="4379"/>
    </cacheField>
    <cacheField name="ufcc" numFmtId="0">
      <sharedItems containsString="0" containsBlank="1" containsNumber="1" containsInteger="1" minValue="0" maxValue="7296"/>
    </cacheField>
    <cacheField name="lsec" numFmtId="0">
      <sharedItems containsString="0" containsBlank="1" containsNumber="1" containsInteger="1" minValue="0" maxValue="2986"/>
    </cacheField>
    <cacheField name="usec" numFmtId="0">
      <sharedItems containsString="0" containsBlank="1" containsNumber="1" containsInteger="1" minValue="0" maxValue="0"/>
    </cacheField>
    <cacheField name="l_st_time" numFmtId="0">
      <sharedItems containsString="0" containsBlank="1" containsNumber="1" minValue="5.9313839592141897E-5" maxValue="3.3585442849035497E-4"/>
    </cacheField>
    <cacheField name="u_st_time" numFmtId="0">
      <sharedItems containsString="0" containsBlank="1" containsNumber="1" minValue="1.07436723245848E-4" maxValue="8.1995870552810997E-4"/>
    </cacheField>
    <cacheField name="l_fcc_time" numFmtId="0">
      <sharedItems containsString="0" containsBlank="1" containsNumber="1" minValue="3.8179803150268999E-3" maxValue="9.5798845780323705E-3"/>
    </cacheField>
    <cacheField name="u_fcc_time" numFmtId="0">
      <sharedItems containsString="0" containsBlank="1" containsNumber="1" minValue="4.9532571290349199E-3" maxValue="2.05705197448404E-2"/>
    </cacheField>
    <cacheField name="l_benders" numFmtId="0">
      <sharedItems containsString="0" containsBlank="1" containsNumber="1" minValue="2.8281648953755699E-2" maxValue="1.345695770703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s v="MVPRP_C15_P9_V3_I1"/>
    <n v="15"/>
    <x v="0"/>
    <x v="0"/>
    <x v="0"/>
    <x v="0"/>
    <n v="75387.5"/>
    <n v="75387.5"/>
    <n v="0"/>
    <n v="2016.27821922302"/>
    <s v="[(2, 1, 132.0), (2, 2, 71.0), (4, 1, 131.0), (5, 1, 104.0), (6, 1, 132.0), (6, 2, 112.0), (6, 3, 38.0), (7, 1, 132.0), (7, 2, 44.0), (8, 1, 132.0), (8, 2, 125.0), (8, 3, 58.0), (9, 1, 132.0), (9, 2, 22.0)]"/>
    <n v="132"/>
    <m/>
    <n v="3"/>
    <n v="9000"/>
    <n v="40950"/>
    <n v="13988"/>
    <n v="11449.5"/>
    <n v="-1"/>
    <n v="-1"/>
    <n v="-1"/>
    <m/>
    <m/>
    <m/>
    <m/>
    <m/>
    <m/>
    <m/>
    <m/>
    <m/>
    <m/>
  </r>
  <r>
    <s v="MVPRP_C20_P3_V2_I1"/>
    <n v="20"/>
    <x v="1"/>
    <x v="1"/>
    <x v="0"/>
    <x v="0"/>
    <n v="23484.9"/>
    <n v="23484.9"/>
    <n v="0"/>
    <n v="2.0904636383056601"/>
    <s v="[(1, 1, 251.0), (3, 1, 150.0)]"/>
    <n v="283"/>
    <m/>
    <n v="3"/>
    <n v="3000"/>
    <n v="12030"/>
    <n v="4509"/>
    <n v="3945.9"/>
    <n v="-1"/>
    <n v="-1"/>
    <n v="-1"/>
    <m/>
    <m/>
    <m/>
    <m/>
    <m/>
    <m/>
    <m/>
    <m/>
    <m/>
    <m/>
  </r>
  <r>
    <s v="MVPRP_C40_P3_V4_I1"/>
    <n v="40"/>
    <x v="1"/>
    <x v="2"/>
    <x v="0"/>
    <x v="0"/>
    <n v="44460.999987607902"/>
    <n v="44460.999987607902"/>
    <n v="0"/>
    <n v="908.68261003494297"/>
    <s v="[(1, 2, 208.0), (2, 2, 178.0), (3, 2, 535.9999995845076)]"/>
    <n v="270"/>
    <m/>
    <n v="3"/>
    <n v="6000"/>
    <n v="27659.999984699502"/>
    <n v="5013.0000029084504"/>
    <n v="5788"/>
    <n v="-1"/>
    <n v="-1"/>
    <n v="-1"/>
    <m/>
    <m/>
    <m/>
    <m/>
    <m/>
    <m/>
    <m/>
    <m/>
    <m/>
    <m/>
  </r>
  <r>
    <s v="MVPRP_C10_P9_V2_I1"/>
    <n v="10"/>
    <x v="0"/>
    <x v="1"/>
    <x v="0"/>
    <x v="0"/>
    <n v="52882.899999999798"/>
    <n v="52882.899999999798"/>
    <n v="0"/>
    <n v="5.2121219635009801"/>
    <s v="[(2, 1, 129.0), (4, 1, 142.0), (6, 1, 186.0), (6, 2, 118.0), (8, 1, 186.0), (8, 2, 118.0)]"/>
    <n v="198"/>
    <m/>
    <n v="3"/>
    <n v="9000"/>
    <n v="26370"/>
    <n v="10336"/>
    <n v="7176.9"/>
    <n v="-1"/>
    <n v="-1"/>
    <n v="-1"/>
    <m/>
    <m/>
    <m/>
    <m/>
    <m/>
    <m/>
    <m/>
    <m/>
    <m/>
    <m/>
  </r>
  <r>
    <s v="MVPRP_C15_P3_V2_I1"/>
    <n v="15"/>
    <x v="1"/>
    <x v="1"/>
    <x v="0"/>
    <x v="0"/>
    <n v="20511.5"/>
    <n v="20511.5"/>
    <n v="0"/>
    <n v="4.4270796775817898"/>
    <s v="[(1, 1, 97.0), (2, 1, 168.0), (3, 1, 67.0)]"/>
    <n v="198"/>
    <m/>
    <n v="3"/>
    <n v="3000"/>
    <n v="9960"/>
    <n v="3896"/>
    <n v="3655.5"/>
    <n v="-1"/>
    <n v="-1"/>
    <n v="-1"/>
    <m/>
    <m/>
    <m/>
    <m/>
    <m/>
    <m/>
    <m/>
    <m/>
    <m/>
    <m/>
  </r>
  <r>
    <s v="MVPRP_C40_P3_V3_I1"/>
    <n v="40"/>
    <x v="1"/>
    <x v="0"/>
    <x v="0"/>
    <x v="0"/>
    <n v="44572"/>
    <n v="44572"/>
    <n v="0"/>
    <n v="112.056926965714"/>
    <s v="[(1, 1, 294.0), (2, 1, 268.0), (3, 1, 360.0)]"/>
    <n v="360"/>
    <m/>
    <n v="3"/>
    <n v="3000"/>
    <n v="27660"/>
    <n v="9274"/>
    <n v="4638"/>
    <n v="-1"/>
    <n v="-1"/>
    <n v="-1"/>
    <m/>
    <m/>
    <m/>
    <m/>
    <m/>
    <m/>
    <m/>
    <m/>
    <m/>
    <m/>
  </r>
  <r>
    <s v="MVPRP_C20_P6_V3_I1"/>
    <n v="20"/>
    <x v="2"/>
    <x v="0"/>
    <x v="0"/>
    <x v="0"/>
    <n v="47744.299999999901"/>
    <n v="47744.299999999901"/>
    <n v="0"/>
    <n v="14.889039278030401"/>
    <s v="[(2, 1, 188.0), (3, 1, 174.0), (5, 1, 188.0), (5, 2, 58.0), (6, 1, 186.0)]"/>
    <n v="189"/>
    <m/>
    <n v="3"/>
    <n v="6000"/>
    <n v="23820"/>
    <n v="12552"/>
    <n v="5372.3"/>
    <n v="-1"/>
    <n v="-1"/>
    <n v="-1"/>
    <m/>
    <m/>
    <m/>
    <m/>
    <m/>
    <m/>
    <m/>
    <m/>
    <m/>
    <m/>
  </r>
  <r>
    <s v="MVPRP_C30_P3_V4_I1"/>
    <n v="30"/>
    <x v="1"/>
    <x v="2"/>
    <x v="0"/>
    <x v="0"/>
    <n v="29156.999780910799"/>
    <n v="29156.999780910799"/>
    <n v="0"/>
    <n v="3496.32595610619"/>
    <s v="[(1, 2, 171.99999660257348), (2, 2, 123.99999914344534), (3, 2, 260.0000000055)]"/>
    <n v="171"/>
    <m/>
    <n v="3"/>
    <n v="3000"/>
    <n v="16679.999872380398"/>
    <n v="5463.9999085303998"/>
    <n v="4013"/>
    <n v="-1"/>
    <n v="-1"/>
    <n v="-1"/>
    <m/>
    <m/>
    <m/>
    <m/>
    <m/>
    <m/>
    <m/>
    <m/>
    <m/>
    <m/>
  </r>
  <r>
    <s v="MVPRP_C10_P3_V3_I1"/>
    <n v="10"/>
    <x v="1"/>
    <x v="0"/>
    <x v="0"/>
    <x v="0"/>
    <n v="14002"/>
    <n v="14002"/>
    <n v="0"/>
    <n v="1.2103564739227299"/>
    <s v="[(1, 1, 89.0), (2, 1, 76.0), (3, 1, 48.0)]"/>
    <n v="132"/>
    <m/>
    <n v="3"/>
    <n v="3000"/>
    <n v="6390"/>
    <n v="2681"/>
    <n v="1931"/>
    <n v="-1"/>
    <n v="-1"/>
    <n v="-1"/>
    <m/>
    <m/>
    <m/>
    <m/>
    <m/>
    <m/>
    <m/>
    <m/>
    <m/>
    <m/>
  </r>
  <r>
    <s v="MVPRP_C10_P3_V2_I1"/>
    <n v="10"/>
    <x v="1"/>
    <x v="1"/>
    <x v="0"/>
    <x v="0"/>
    <n v="14480.9"/>
    <n v="14480.9"/>
    <n v="0"/>
    <n v="0.58029508590698198"/>
    <s v="[(1, 1, 165.0), (3, 1, 48.0)]"/>
    <n v="198"/>
    <m/>
    <n v="3"/>
    <n v="3000"/>
    <n v="6390"/>
    <n v="2999"/>
    <n v="2091.9"/>
    <n v="-1"/>
    <n v="-1"/>
    <n v="-1"/>
    <m/>
    <m/>
    <m/>
    <m/>
    <m/>
    <m/>
    <m/>
    <m/>
    <m/>
    <m/>
  </r>
  <r>
    <s v="MVPRP_C30_P9_V4_I1"/>
    <n v="30"/>
    <x v="0"/>
    <x v="2"/>
    <x v="0"/>
    <x v="1"/>
    <n v="111905.8"/>
    <n v="110443.29471604701"/>
    <n v="1.30690749179471E-2"/>
    <n v="3599.0183930397002"/>
    <s v="[(2, 2, 120.0), (3, 2, 325.0), (5, 2, 342.0), (6, 2, 338.0), (6, 3, 113.0), (7, 2, 286.0), (8, 2, 338.0), (8, 3, 109.0), (9, 2, 286.0)]"/>
    <n v="171"/>
    <m/>
    <n v="3"/>
    <n v="12000"/>
    <n v="67710"/>
    <n v="18515"/>
    <n v="13680.8"/>
    <n v="-1"/>
    <n v="-1"/>
    <n v="-1"/>
    <m/>
    <m/>
    <m/>
    <m/>
    <m/>
    <m/>
    <m/>
    <m/>
    <m/>
    <m/>
  </r>
  <r>
    <s v="MVPRP_C20_P3_V3_I1"/>
    <n v="20"/>
    <x v="1"/>
    <x v="0"/>
    <x v="0"/>
    <x v="0"/>
    <n v="22438.3"/>
    <n v="22438.3"/>
    <n v="0"/>
    <n v="3.8837537765502899"/>
    <s v="[(1, 1, 182.0), (1, 2, 60.0), (3, 1, 159.0)]"/>
    <n v="189"/>
    <m/>
    <n v="3"/>
    <n v="3000"/>
    <n v="12030"/>
    <n v="4455"/>
    <n v="2953.3"/>
    <n v="-1"/>
    <n v="-1"/>
    <n v="-1"/>
    <m/>
    <m/>
    <m/>
    <m/>
    <m/>
    <m/>
    <m/>
    <m/>
    <m/>
    <m/>
  </r>
  <r>
    <s v="MVPRP_C40_P6_V3_I1"/>
    <n v="40"/>
    <x v="2"/>
    <x v="0"/>
    <x v="0"/>
    <x v="1"/>
    <n v="97285.3"/>
    <n v="97176.522905036807"/>
    <n v="1.118124680329E-3"/>
    <n v="3600.0624551773099"/>
    <s v="[(2, 1, 263.0), (3, 1, 329.0), (4, 1, 185.0), (5, 1, 360.0), (5, 2, 342.0), (6, 1, 360.0)]"/>
    <n v="360"/>
    <m/>
    <n v="3"/>
    <n v="6000"/>
    <n v="55170"/>
    <n v="26889"/>
    <n v="9226.2999999999993"/>
    <n v="-1"/>
    <n v="-1"/>
    <n v="-1"/>
    <m/>
    <m/>
    <m/>
    <m/>
    <m/>
    <m/>
    <m/>
    <m/>
    <m/>
    <m/>
  </r>
  <r>
    <s v="MVPRP_C15_P9_V2_I1"/>
    <n v="15"/>
    <x v="0"/>
    <x v="1"/>
    <x v="0"/>
    <x v="0"/>
    <n v="77471.7"/>
    <n v="77471.7"/>
    <n v="0"/>
    <n v="187.75795888900799"/>
    <s v="[(2, 1, 194.0), (4, 1, 197.0), (4, 2, 38.0), (6, 1, 198.0), (6, 2, 188.0), (6, 3, 38.0), (7, 1, 44.0), (8, 1, 198.0), (8, 2, 188.0), (8, 3, 38.0), (9, 1, 44.0)]"/>
    <n v="198"/>
    <m/>
    <n v="3"/>
    <n v="9000"/>
    <n v="40950"/>
    <n v="15301"/>
    <n v="12220.7"/>
    <n v="-1"/>
    <n v="-1"/>
    <n v="-1"/>
    <m/>
    <m/>
    <m/>
    <m/>
    <m/>
    <m/>
    <m/>
    <m/>
    <m/>
    <m/>
  </r>
  <r>
    <s v="MVPRP_C35_P6_V4_I1"/>
    <n v="35"/>
    <x v="2"/>
    <x v="2"/>
    <x v="0"/>
    <x v="1"/>
    <n v="75695"/>
    <n v="75072.074352549695"/>
    <n v="8.22941604399695E-3"/>
    <n v="3599.4356110096001"/>
    <s v="[(2, 2, 190.0), (3, 2, 414.0), (5, 2, 413.0), (6, 2, 413.0)]"/>
    <n v="207"/>
    <m/>
    <n v="3"/>
    <n v="6000"/>
    <n v="42900"/>
    <n v="18671"/>
    <n v="8124"/>
    <n v="-1"/>
    <n v="-1"/>
    <n v="-1"/>
    <m/>
    <m/>
    <m/>
    <m/>
    <m/>
    <m/>
    <m/>
    <m/>
    <m/>
    <m/>
  </r>
  <r>
    <s v="MVPRP_C45_P3_V3_I1"/>
    <n v="45"/>
    <x v="1"/>
    <x v="0"/>
    <x v="0"/>
    <x v="0"/>
    <n v="51458.8"/>
    <n v="51454.010666666603"/>
    <n v="9.3071220731209695E-5"/>
    <n v="324.05683445930498"/>
    <s v="[(1, 1, 176.0), (2, 1, 343.0), (3, 1, 356.0), (3, 2, 227.0)]"/>
    <n v="360"/>
    <m/>
    <n v="3"/>
    <n v="6000"/>
    <n v="33060"/>
    <n v="5596"/>
    <n v="6802.8"/>
    <n v="-1"/>
    <n v="-1"/>
    <n v="-1"/>
    <m/>
    <m/>
    <m/>
    <m/>
    <m/>
    <m/>
    <m/>
    <m/>
    <m/>
    <m/>
  </r>
  <r>
    <s v="MVPRP_C10_P6_V2_I1"/>
    <n v="10"/>
    <x v="2"/>
    <x v="1"/>
    <x v="0"/>
    <x v="0"/>
    <n v="30459.8999999997"/>
    <n v="30459.8999999997"/>
    <n v="0"/>
    <n v="2.01751637458801"/>
    <s v="[(2, 1, 176.0), (5, 1, 188.0), (6, 1, 59.0)]"/>
    <n v="198"/>
    <m/>
    <n v="3"/>
    <n v="6000"/>
    <n v="12690"/>
    <n v="8163"/>
    <n v="3606.9"/>
    <n v="-1"/>
    <n v="-1"/>
    <n v="-1"/>
    <m/>
    <m/>
    <m/>
    <m/>
    <m/>
    <m/>
    <m/>
    <m/>
    <m/>
    <m/>
  </r>
  <r>
    <s v="MVPRP_C45_P3_V4_I1"/>
    <n v="45"/>
    <x v="1"/>
    <x v="2"/>
    <x v="0"/>
    <x v="1"/>
    <n v="51041.299882235202"/>
    <n v="50846.733842312897"/>
    <n v="3.8119334807531599E-3"/>
    <n v="3600"/>
    <s v="[(1, 2, 254.0), (2, 2, 223.0), (3, 2, 540.0), (3, 3, 85.0)]"/>
    <n v="270"/>
    <m/>
    <n v="3"/>
    <n v="6000"/>
    <n v="33060"/>
    <n v="5611"/>
    <n v="6370.2998822351601"/>
    <n v="-1"/>
    <n v="-1"/>
    <n v="-1"/>
    <m/>
    <m/>
    <m/>
    <m/>
    <m/>
    <m/>
    <m/>
    <m/>
    <m/>
    <m/>
  </r>
  <r>
    <s v="MVPRP_C25_P6_V3_I1"/>
    <n v="25"/>
    <x v="2"/>
    <x v="0"/>
    <x v="0"/>
    <x v="0"/>
    <n v="57446.699999999903"/>
    <n v="57446.699999999903"/>
    <n v="0"/>
    <n v="105.08987545967101"/>
    <s v="[(2, 1, 140.0), (2, 2, 78.0), (3, 1, 180.0), (5, 1, 178.0), (5, 2, 181.0), (6, 1, 189.0)]"/>
    <n v="189"/>
    <m/>
    <n v="3"/>
    <n v="6000"/>
    <n v="28380"/>
    <n v="17248"/>
    <n v="5818.7"/>
    <n v="-1"/>
    <n v="-1"/>
    <n v="-1"/>
    <m/>
    <m/>
    <m/>
    <m/>
    <m/>
    <m/>
    <m/>
    <m/>
    <m/>
    <m/>
  </r>
  <r>
    <s v="MVPRP_C15_P6_V2_I1"/>
    <n v="15"/>
    <x v="2"/>
    <x v="1"/>
    <x v="0"/>
    <x v="0"/>
    <n v="43302.1"/>
    <n v="43302.1"/>
    <n v="0"/>
    <n v="7.5187520980834996"/>
    <s v="[(2, 1, 70.0), (3, 1, 196.0), (5, 1, 197.0), (5, 2, 38.0), (6, 1, 159.0)]"/>
    <n v="198"/>
    <m/>
    <n v="3"/>
    <n v="6000"/>
    <n v="19800"/>
    <n v="10877"/>
    <n v="6625.1"/>
    <n v="-1"/>
    <n v="-1"/>
    <n v="-1"/>
    <m/>
    <m/>
    <m/>
    <m/>
    <m/>
    <m/>
    <m/>
    <m/>
    <m/>
    <m/>
  </r>
  <r>
    <s v="MVPRP_C35_P6_V3_I1"/>
    <n v="35"/>
    <x v="2"/>
    <x v="0"/>
    <x v="0"/>
    <x v="0"/>
    <n v="75501.5"/>
    <n v="75501.5"/>
    <n v="0"/>
    <n v="394.45544719695999"/>
    <s v="[(2, 1, 276.0), (3, 1, 137.0), (4, 1, 196.0), (5, 1, 276.0), (5, 2, 269.0), (6, 1, 276.0)]"/>
    <n v="276"/>
    <m/>
    <n v="3"/>
    <n v="6000"/>
    <n v="42900"/>
    <n v="18771"/>
    <n v="7830.5"/>
    <n v="-1"/>
    <n v="-1"/>
    <n v="-1"/>
    <m/>
    <m/>
    <m/>
    <m/>
    <m/>
    <m/>
    <m/>
    <m/>
    <m/>
    <m/>
  </r>
  <r>
    <s v="MVPRP_C25_P3_V3_I1"/>
    <n v="25"/>
    <x v="1"/>
    <x v="0"/>
    <x v="0"/>
    <x v="0"/>
    <n v="26268.999999999902"/>
    <n v="26268.999999999902"/>
    <n v="0"/>
    <n v="11.198552608489999"/>
    <s v="[(1, 1, 175.0), (2, 1, 114.0), (3, 1, 189.0)]"/>
    <n v="189"/>
    <m/>
    <n v="3"/>
    <n v="3000"/>
    <n v="14340"/>
    <n v="5405"/>
    <n v="3524"/>
    <n v="-1"/>
    <n v="-1"/>
    <n v="-1"/>
    <m/>
    <m/>
    <m/>
    <m/>
    <m/>
    <m/>
    <m/>
    <m/>
    <m/>
    <m/>
  </r>
  <r>
    <s v="MVPRP_C10_P6_V3_I1"/>
    <n v="10"/>
    <x v="2"/>
    <x v="0"/>
    <x v="0"/>
    <x v="0"/>
    <n v="29940"/>
    <n v="29940"/>
    <n v="0"/>
    <n v="2.9715235233306898"/>
    <s v="[(2, 1, 100.0), (3, 1, 76.0), (5, 1, 131.0), (6, 1, 116.0)]"/>
    <n v="132"/>
    <m/>
    <n v="3"/>
    <n v="6000"/>
    <n v="12690"/>
    <n v="7572"/>
    <n v="3678"/>
    <n v="-1"/>
    <n v="-1"/>
    <n v="-1"/>
    <m/>
    <m/>
    <m/>
    <m/>
    <m/>
    <m/>
    <m/>
    <m/>
    <m/>
    <m/>
  </r>
  <r>
    <s v="MVPRP_C35_P3_V3_I1"/>
    <n v="35"/>
    <x v="1"/>
    <x v="0"/>
    <x v="0"/>
    <x v="0"/>
    <n v="35502.999982298898"/>
    <n v="35502.999982298898"/>
    <n v="0"/>
    <n v="101.962399244308"/>
    <s v="[(1, 1, 257.0), (2, 1, 186.9999995461255), (3, 1, 276.0000004538745)]"/>
    <n v="276"/>
    <s v="error in vehicle quantity for vehicle 1 and period 3 with load 276.0000004538745&gt;276; "/>
    <n v="3"/>
    <n v="3000"/>
    <n v="21599.9999863837"/>
    <n v="6963.9999959151301"/>
    <n v="3939"/>
    <n v="-1"/>
    <n v="-1"/>
    <n v="-1"/>
    <m/>
    <m/>
    <m/>
    <m/>
    <m/>
    <m/>
    <m/>
    <m/>
    <m/>
    <m/>
  </r>
  <r>
    <s v="MVPRP_C50_P3_V3_I1"/>
    <n v="50"/>
    <x v="1"/>
    <x v="0"/>
    <x v="0"/>
    <x v="0"/>
    <n v="47561.999884086697"/>
    <n v="47561.999884086697"/>
    <n v="0"/>
    <n v="852.19040155410801"/>
    <s v="[(1, 1, 312.0), (2, 1, 314.0), (3, 1, 360.0)]"/>
    <n v="360"/>
    <m/>
    <n v="3"/>
    <n v="3000"/>
    <n v="29580"/>
    <n v="10305"/>
    <n v="4676.9998840867001"/>
    <n v="-1"/>
    <n v="-1"/>
    <n v="-1"/>
    <m/>
    <m/>
    <m/>
    <m/>
    <m/>
    <m/>
    <m/>
    <m/>
    <m/>
    <m/>
  </r>
  <r>
    <s v="MVPRP_C30_P6_V3_I1"/>
    <n v="30"/>
    <x v="2"/>
    <x v="0"/>
    <x v="0"/>
    <x v="0"/>
    <n v="61714.5"/>
    <n v="61714.5"/>
    <n v="0"/>
    <n v="234.31152653694201"/>
    <s v="[(2, 1, 217.0), (3, 1, 213.0), (5, 1, 228.0), (5, 2, 219.0), (6, 1, 228.0)]"/>
    <n v="228"/>
    <m/>
    <n v="3"/>
    <n v="6000"/>
    <n v="33150"/>
    <n v="16426"/>
    <n v="6138.5"/>
    <n v="-1"/>
    <n v="-1"/>
    <n v="-1"/>
    <m/>
    <m/>
    <m/>
    <m/>
    <m/>
    <m/>
    <m/>
    <m/>
    <m/>
    <m/>
  </r>
  <r>
    <s v="MVPRP_C30_P6_V4_I1"/>
    <n v="30"/>
    <x v="2"/>
    <x v="2"/>
    <x v="0"/>
    <x v="1"/>
    <n v="62059"/>
    <n v="61694.591091853603"/>
    <n v="5.87197518726404E-3"/>
    <n v="3600"/>
    <s v="[(2, 2, 112.0), (3, 2, 319.0), (5, 2, 341.0), (6, 2, 333.0)]"/>
    <n v="171"/>
    <m/>
    <n v="3"/>
    <n v="6000"/>
    <n v="33150"/>
    <n v="15589"/>
    <n v="7320"/>
    <n v="-1"/>
    <n v="-1"/>
    <n v="-1"/>
    <m/>
    <m/>
    <m/>
    <m/>
    <m/>
    <m/>
    <m/>
    <m/>
    <m/>
    <m/>
  </r>
  <r>
    <s v="MVPRP_C25_P9_V3_I1"/>
    <n v="25"/>
    <x v="0"/>
    <x v="0"/>
    <x v="0"/>
    <x v="0"/>
    <n v="102341.699686479"/>
    <n v="102341.699686479"/>
    <n v="0"/>
    <n v="1533.02445268631"/>
    <s v="[(2, 1, 180.0), (2, 2, 78.0), (3, 1, 43.99998657960625), (4, 1, 118.0000168599842), (5, 1, 183.9999831400158), (6, 1, 189.0), (6, 2, 189.0), (6, 3, 130.0), (7, 1, 189.0), (8, 1, 189.0), (8, 2, 187.0), (8, 3, 130.0), (9, 1, 189.0)]"/>
    <n v="189"/>
    <m/>
    <n v="3"/>
    <n v="9000.0009851570594"/>
    <n v="59879.999999999898"/>
    <n v="20621.998634508502"/>
    <n v="12839.700066813801"/>
    <n v="-1"/>
    <n v="-1"/>
    <n v="-1"/>
    <m/>
    <m/>
    <m/>
    <m/>
    <m/>
    <m/>
    <m/>
    <m/>
    <m/>
    <m/>
  </r>
  <r>
    <s v="MVPRP_C20_P6_V2_I1"/>
    <n v="20"/>
    <x v="2"/>
    <x v="1"/>
    <x v="0"/>
    <x v="0"/>
    <n v="49276.7"/>
    <n v="49276.7"/>
    <n v="0"/>
    <n v="10.761481523513799"/>
    <s v="[(2, 1, 246.0), (3, 1, 116.0), (5, 1, 278.0), (6, 1, 154.0)]"/>
    <n v="283"/>
    <m/>
    <n v="3"/>
    <n v="6000"/>
    <n v="23820"/>
    <n v="12905"/>
    <n v="6551.7"/>
    <n v="-1"/>
    <n v="-1"/>
    <n v="-1"/>
    <m/>
    <m/>
    <m/>
    <m/>
    <m/>
    <m/>
    <m/>
    <m/>
    <m/>
    <m/>
  </r>
  <r>
    <s v="MVPRP_C15_P6_V3_I1"/>
    <n v="15"/>
    <x v="2"/>
    <x v="0"/>
    <x v="0"/>
    <x v="0"/>
    <n v="42282.199999999903"/>
    <n v="42282.199999999903"/>
    <n v="0"/>
    <n v="13.222474336624099"/>
    <s v="[(2, 1, 100.0), (3, 1, 128.0), (3, 2, 38.0), (5, 1, 130.0), (5, 2, 132.0), (6, 1, 132.0)]"/>
    <n v="132"/>
    <m/>
    <n v="3"/>
    <n v="6000"/>
    <n v="19800"/>
    <n v="11075"/>
    <n v="5407.2"/>
    <n v="-1"/>
    <n v="-1"/>
    <n v="-1"/>
    <m/>
    <m/>
    <m/>
    <m/>
    <m/>
    <m/>
    <m/>
    <m/>
    <m/>
    <m/>
  </r>
  <r>
    <s v="MVPRP_C15_P3_V3_I1"/>
    <n v="15"/>
    <x v="1"/>
    <x v="0"/>
    <x v="0"/>
    <x v="0"/>
    <n v="19687"/>
    <n v="19687"/>
    <n v="0"/>
    <n v="5.0368688106536901"/>
    <s v="[(1, 1, 97.0), (2, 1, 130.0), (2, 2, 38.0), (3, 1, 67.0)]"/>
    <n v="132"/>
    <m/>
    <n v="3"/>
    <n v="3000"/>
    <n v="9960"/>
    <n v="3896"/>
    <n v="2831"/>
    <n v="-1"/>
    <n v="-1"/>
    <n v="-1"/>
    <m/>
    <m/>
    <m/>
    <m/>
    <m/>
    <m/>
    <m/>
    <m/>
    <m/>
    <m/>
  </r>
  <r>
    <s v="MVPRP_C25_P9_V2_I1"/>
    <n v="25"/>
    <x v="0"/>
    <x v="1"/>
    <x v="0"/>
    <x v="0"/>
    <n v="105976.5"/>
    <n v="105967.771107237"/>
    <n v="8.2366305388182099E-5"/>
    <n v="293.26045894622803"/>
    <s v="[(2, 1, 270.0), (4, 1, 280.0), (5, 1, 46.0), (6, 1, 283.0), (6, 2, 282.0), (7, 1, 135.0), (8, 1, 283.0), (8, 2, 282.0), (9, 1, 135.0)]"/>
    <n v="283"/>
    <m/>
    <n v="3"/>
    <n v="9000"/>
    <n v="59880"/>
    <n v="21561"/>
    <n v="15535.5"/>
    <n v="-1"/>
    <n v="-1"/>
    <n v="-1"/>
    <m/>
    <m/>
    <m/>
    <m/>
    <m/>
    <m/>
    <m/>
    <m/>
    <m/>
    <m/>
  </r>
  <r>
    <s v="MVPRP_C35_P3_V4_I1"/>
    <n v="35"/>
    <x v="1"/>
    <x v="2"/>
    <x v="0"/>
    <x v="0"/>
    <n v="35853.999808658598"/>
    <n v="35850.549641031699"/>
    <n v="9.6228249156599596E-5"/>
    <n v="1605.97722697258"/>
    <s v="[(1, 2, 246.0), (2, 2, 108.0), (3, 2, 366.0)]"/>
    <n v="207"/>
    <m/>
    <n v="3"/>
    <n v="3000"/>
    <n v="21600"/>
    <n v="6531"/>
    <n v="4722.9998086585601"/>
    <n v="-1"/>
    <n v="-1"/>
    <n v="-1"/>
    <m/>
    <m/>
    <m/>
    <m/>
    <m/>
    <m/>
    <m/>
    <m/>
    <m/>
    <m/>
  </r>
  <r>
    <s v="MVPRP_C25_P3_V2_I1"/>
    <n v="25"/>
    <x v="1"/>
    <x v="1"/>
    <x v="0"/>
    <x v="0"/>
    <n v="27643.199996849999"/>
    <n v="27643.199996849999"/>
    <n v="0"/>
    <n v="3.8954026699066202"/>
    <s v="[(1, 1, 281.0), (2, 1, 18.0), (3, 1, 179.0)]"/>
    <n v="283"/>
    <m/>
    <n v="3"/>
    <n v="3000"/>
    <n v="14340"/>
    <n v="5901"/>
    <n v="4402.1999968500004"/>
    <n v="-1"/>
    <n v="-1"/>
    <n v="-1"/>
    <m/>
    <m/>
    <m/>
    <m/>
    <m/>
    <m/>
    <m/>
    <m/>
    <m/>
    <m/>
  </r>
  <r>
    <s v="MVPRP_C20_P9_V3_I1"/>
    <n v="20"/>
    <x v="0"/>
    <x v="0"/>
    <x v="0"/>
    <x v="0"/>
    <n v="83219.0999999997"/>
    <n v="83219.0999999997"/>
    <n v="0"/>
    <n v="137.14987373352099"/>
    <s v="[(2, 1, 184.0), (2, 2, 78.0), (4, 1, 147.0), (5, 1, 117.0), (6, 1, 189.0), (6, 2, 168.0), (7, 1, 183.0), (8, 1, 189.0), (8, 2, 168.0), (9, 1, 181.0)]"/>
    <n v="189"/>
    <m/>
    <n v="3"/>
    <n v="9000"/>
    <n v="48120"/>
    <n v="15253"/>
    <n v="10846.1"/>
    <n v="-1"/>
    <n v="-1"/>
    <n v="-1"/>
    <m/>
    <m/>
    <m/>
    <m/>
    <m/>
    <m/>
    <m/>
    <m/>
    <m/>
    <m/>
  </r>
  <r>
    <s v="MVPRP_C40_P6_V4_I1"/>
    <n v="40"/>
    <x v="2"/>
    <x v="2"/>
    <x v="0"/>
    <x v="1"/>
    <n v="96710"/>
    <n v="96453.312137460103"/>
    <n v="2.6542018668177102E-3"/>
    <n v="3600"/>
    <s v="[(2, 2, 263.0), (3, 2, 259.0), (4, 2, 248.0), (5, 2, 531.0), (6, 2, 538.0)]"/>
    <n v="270"/>
    <m/>
    <n v="3"/>
    <n v="6000"/>
    <n v="55170"/>
    <n v="25747"/>
    <n v="9793"/>
    <n v="-1"/>
    <n v="-1"/>
    <n v="-1"/>
    <m/>
    <m/>
    <m/>
    <m/>
    <m/>
    <m/>
    <m/>
    <m/>
    <m/>
    <m/>
  </r>
  <r>
    <s v="MVPRP_C30_P9_V3_I1"/>
    <n v="30"/>
    <x v="0"/>
    <x v="0"/>
    <x v="0"/>
    <x v="1"/>
    <n v="111627.9"/>
    <n v="110998.898149354"/>
    <n v="5.6348085975416896E-3"/>
    <n v="3600.1837399005899"/>
    <s v="[(2, 1, 219.0), (3, 1, 212.0), (5, 1, 228.0), (5, 2, 225.0), (6, 1, 228.0), (7, 1, 225.0), (7, 2, 226.0), (8, 1, 222.0), (8, 2, 218.0), (8, 3, 26.0), (9, 1, 228.0)]"/>
    <n v="228"/>
    <m/>
    <n v="3"/>
    <n v="12000"/>
    <n v="67710"/>
    <n v="18923"/>
    <n v="12994.9"/>
    <n v="-1"/>
    <n v="-1"/>
    <n v="-1"/>
    <m/>
    <m/>
    <m/>
    <m/>
    <m/>
    <m/>
    <m/>
    <m/>
    <m/>
    <m/>
  </r>
  <r>
    <s v="MVPRP_C25_P6_V2_I1"/>
    <n v="25"/>
    <x v="2"/>
    <x v="1"/>
    <x v="0"/>
    <x v="0"/>
    <n v="59073.299999999901"/>
    <n v="59073.299999999901"/>
    <n v="0"/>
    <n v="17.3522338867188"/>
    <s v="[(2, 1, 258.0), (3, 1, 140.0), (5, 1, 272.0), (6, 1, 276.0)]"/>
    <n v="283"/>
    <m/>
    <n v="3"/>
    <n v="6000"/>
    <n v="28380"/>
    <n v="17067"/>
    <n v="7626.3"/>
    <n v="-1"/>
    <n v="-1"/>
    <n v="-1"/>
    <m/>
    <m/>
    <m/>
    <m/>
    <m/>
    <m/>
    <m/>
    <m/>
    <m/>
    <m/>
  </r>
  <r>
    <s v="MVPRP_C10_P9_V3_I1"/>
    <n v="10"/>
    <x v="0"/>
    <x v="0"/>
    <x v="0"/>
    <x v="0"/>
    <n v="52070.6"/>
    <n v="52070.6"/>
    <n v="0"/>
    <n v="33.002681970596299"/>
    <s v="[(2, 1, 129.0), (4, 1, 132.0), (5, 1, 10.0), (6, 1, 125.0), (6, 2, 120.0), (7, 1, 59.0), (8, 1, 125.0), (8, 2, 120.0), (9, 1, 59.0)]"/>
    <n v="132"/>
    <m/>
    <n v="3"/>
    <n v="9000"/>
    <n v="26370"/>
    <n v="9790"/>
    <n v="6910.6"/>
    <n v="-1"/>
    <n v="-1"/>
    <n v="-1"/>
    <m/>
    <m/>
    <m/>
    <m/>
    <m/>
    <m/>
    <m/>
    <m/>
    <m/>
    <m/>
  </r>
  <r>
    <s v="MVPRP_C20_P9_V2_I1"/>
    <n v="20"/>
    <x v="0"/>
    <x v="1"/>
    <x v="0"/>
    <x v="0"/>
    <n v="86751.699988678898"/>
    <n v="86751.699988678898"/>
    <n v="0"/>
    <n v="125.520920991898"/>
    <s v="[(2, 1, 254.0), (4, 1, 270.0), (6, 1, 272.0), (6, 2, 267.9999819999939), (8, 1, 272.0), (8, 2, 268.0)]"/>
    <n v="283"/>
    <m/>
    <n v="3"/>
    <n v="9000"/>
    <n v="48120"/>
    <n v="17441"/>
    <n v="12190.6999886789"/>
    <n v="-1"/>
    <n v="-1"/>
    <n v="-1"/>
    <m/>
    <m/>
    <m/>
    <m/>
    <m/>
    <m/>
    <m/>
    <m/>
    <m/>
    <m/>
  </r>
  <r>
    <s v="MVPRP_C30_P3_V3_I1"/>
    <n v="30"/>
    <x v="1"/>
    <x v="0"/>
    <x v="0"/>
    <x v="0"/>
    <n v="28872"/>
    <n v="28872"/>
    <n v="0"/>
    <n v="53.276528596878101"/>
    <s v="[(1, 1, 189.0), (2, 1, 156.0), (3, 1, 211.0)]"/>
    <n v="228"/>
    <m/>
    <n v="3"/>
    <n v="3000"/>
    <n v="16680"/>
    <n v="5721"/>
    <n v="3471"/>
    <n v="-1"/>
    <n v="-1"/>
    <n v="-1"/>
    <m/>
    <m/>
    <m/>
    <m/>
    <m/>
    <m/>
    <m/>
    <m/>
    <m/>
    <m/>
  </r>
  <r>
    <s v="MVPRP_C50_P3_V4_I1"/>
    <n v="50"/>
    <x v="1"/>
    <x v="2"/>
    <x v="0"/>
    <x v="1"/>
    <n v="47266.999966712203"/>
    <n v="47057.317635382104"/>
    <n v="4.4361252348937901E-3"/>
    <n v="3600"/>
    <s v="[(1, 2, 175.99999949290577), (2, 2, 269.9999997432205), (3, 2, 540.0)]"/>
    <n v="270"/>
    <m/>
    <n v="3"/>
    <n v="6000"/>
    <n v="29579.9999770838"/>
    <n v="5666.9999896284098"/>
    <n v="6020"/>
    <n v="-1"/>
    <n v="-1"/>
    <n v="-1"/>
    <m/>
    <m/>
    <m/>
    <m/>
    <m/>
    <m/>
    <m/>
    <m/>
    <m/>
    <m/>
  </r>
  <r>
    <s v="MVPRP_C15_P9_V3_I1"/>
    <n v="15"/>
    <x v="0"/>
    <x v="0"/>
    <x v="1"/>
    <x v="1"/>
    <n v="75841.100000000006"/>
    <n v="73903.111060851894"/>
    <n v="2.5553280993394201E-2"/>
    <n v="3600.9177973270398"/>
    <s v="[]"/>
    <n v="132"/>
    <m/>
    <n v="3"/>
    <n v="9000"/>
    <n v="40950"/>
    <n v="13906"/>
    <n v="11148"/>
    <n v="0"/>
    <n v="0"/>
    <n v="0"/>
    <n v="475"/>
    <n v="2767"/>
    <n v="0"/>
    <n v="170"/>
    <n v="0"/>
    <n v="9.0204218523484199E-5"/>
    <n v="2.0073397834857799E-4"/>
    <n v="5.5502150446323298E-3"/>
    <n v="8.9361131127614294E-3"/>
    <n v="0.170966119044211"/>
  </r>
  <r>
    <s v="MVPRP_C20_P3_V2_I1"/>
    <n v="20"/>
    <x v="1"/>
    <x v="1"/>
    <x v="1"/>
    <x v="0"/>
    <n v="23484.9"/>
    <n v="23484.9"/>
    <n v="0"/>
    <n v="3.32226538658142"/>
    <s v="[]"/>
    <n v="283"/>
    <m/>
    <n v="3"/>
    <n v="3000"/>
    <n v="12030"/>
    <n v="4509"/>
    <n v="2671"/>
    <n v="0"/>
    <n v="0"/>
    <n v="0"/>
    <n v="2"/>
    <n v="32"/>
    <n v="0"/>
    <n v="41"/>
    <n v="0"/>
    <n v="9.9245505996897298E-5"/>
    <n v="2.5641239755521902E-4"/>
    <n v="5.0733758692155803E-3"/>
    <n v="9.4523036602846104E-3"/>
    <n v="0.100639124711355"/>
  </r>
  <r>
    <s v="MVPRP_C40_P3_V4_I1"/>
    <n v="40"/>
    <x v="1"/>
    <x v="2"/>
    <x v="1"/>
    <x v="0"/>
    <n v="44461"/>
    <n v="44461"/>
    <n v="0"/>
    <n v="167.601476430893"/>
    <s v="[]"/>
    <n v="270"/>
    <m/>
    <n v="3"/>
    <n v="6000"/>
    <n v="27660"/>
    <n v="5013"/>
    <n v="5788"/>
    <n v="0"/>
    <n v="0"/>
    <n v="0"/>
    <n v="2"/>
    <n v="358"/>
    <n v="0"/>
    <n v="123"/>
    <n v="0"/>
    <n v="2.1326434504878399E-4"/>
    <n v="7.5713981167850901E-4"/>
    <n v="8.32445000948971E-3"/>
    <n v="1.9894288870004499E-2"/>
    <n v="0.85882012660686802"/>
  </r>
  <r>
    <s v="MVPRP_C10_P9_V2_I1"/>
    <n v="10"/>
    <x v="0"/>
    <x v="1"/>
    <x v="1"/>
    <x v="0"/>
    <n v="52882.899930014202"/>
    <n v="52882.899930014202"/>
    <n v="0"/>
    <n v="52.0067043304443"/>
    <s v="[]"/>
    <n v="198"/>
    <m/>
    <n v="3"/>
    <n v="9000"/>
    <n v="26370"/>
    <n v="10336"/>
    <n v="5223"/>
    <n v="0"/>
    <n v="0"/>
    <n v="0"/>
    <n v="73"/>
    <n v="92"/>
    <n v="0"/>
    <n v="26"/>
    <n v="0"/>
    <n v="5.9313839592141897E-5"/>
    <n v="1.2012040664139101E-4"/>
    <n v="3.9932761480015603E-3"/>
    <n v="5.4523817531725496E-3"/>
    <n v="6.4635789557679096E-2"/>
  </r>
  <r>
    <s v="MVPRP_C15_P3_V2_I1"/>
    <n v="15"/>
    <x v="1"/>
    <x v="1"/>
    <x v="1"/>
    <x v="0"/>
    <n v="20511.5"/>
    <n v="20511.5"/>
    <n v="0"/>
    <n v="7.6202158927917498"/>
    <s v="[]"/>
    <n v="198"/>
    <m/>
    <n v="3"/>
    <n v="3000"/>
    <n v="9960"/>
    <n v="3896"/>
    <n v="2762"/>
    <n v="0"/>
    <n v="0"/>
    <n v="0"/>
    <n v="5"/>
    <n v="148"/>
    <n v="0"/>
    <n v="19"/>
    <n v="0"/>
    <n v="1.13620902552749E-4"/>
    <n v="1.8148825912879299E-4"/>
    <n v="6.5089591911860903E-3"/>
    <n v="8.41930718792714E-3"/>
    <n v="7.1225194370045403E-2"/>
  </r>
  <r>
    <s v="MVPRP_C40_P3_V3_I1"/>
    <n v="40"/>
    <x v="1"/>
    <x v="0"/>
    <x v="1"/>
    <x v="1"/>
    <n v="44628"/>
    <n v="44410.881171670699"/>
    <n v="4.8650808534850404E-3"/>
    <n v="3602.2959241867102"/>
    <s v="[]"/>
    <n v="360"/>
    <m/>
    <n v="3"/>
    <n v="3000"/>
    <n v="27660"/>
    <n v="9304"/>
    <n v="4664"/>
    <n v="0"/>
    <n v="0"/>
    <n v="0"/>
    <n v="623"/>
    <n v="1221"/>
    <n v="0"/>
    <n v="383"/>
    <n v="0"/>
    <n v="1.92808604288866E-4"/>
    <n v="5.4236239693251497E-4"/>
    <n v="8.7112814455288998E-3"/>
    <n v="1.5526796817779499E-2"/>
    <n v="0.31126078130295598"/>
  </r>
  <r>
    <s v="MVPRP_C20_P6_V3_I1"/>
    <n v="20"/>
    <x v="2"/>
    <x v="0"/>
    <x v="1"/>
    <x v="0"/>
    <n v="47744.299999000003"/>
    <n v="47744.299999000003"/>
    <n v="0"/>
    <n v="65.617680549621596"/>
    <s v="[]"/>
    <n v="189"/>
    <m/>
    <n v="3"/>
    <n v="6000"/>
    <n v="23820"/>
    <n v="12552"/>
    <n v="5309"/>
    <n v="0"/>
    <n v="0"/>
    <n v="0"/>
    <n v="39"/>
    <n v="233"/>
    <n v="0"/>
    <n v="80"/>
    <n v="0"/>
    <n v="8.1613761227147105E-5"/>
    <n v="2.3621067502140199E-4"/>
    <n v="4.8886519759448596E-3"/>
    <n v="8.5321104515847495E-3"/>
    <n v="0.23963098724683099"/>
  </r>
  <r>
    <s v="MVPRP_C30_P3_V4_I1"/>
    <n v="30"/>
    <x v="1"/>
    <x v="2"/>
    <x v="1"/>
    <x v="0"/>
    <n v="29157"/>
    <n v="29157"/>
    <n v="0"/>
    <n v="306.33727836608898"/>
    <s v="[]"/>
    <n v="171"/>
    <m/>
    <n v="3"/>
    <n v="3000"/>
    <n v="16680"/>
    <n v="5464"/>
    <n v="4013"/>
    <n v="0"/>
    <n v="0"/>
    <n v="0"/>
    <n v="1"/>
    <n v="535"/>
    <n v="0"/>
    <n v="92"/>
    <n v="0"/>
    <n v="1.62362063079454E-4"/>
    <n v="4.4036623257309601E-4"/>
    <n v="7.5950803635995599E-3"/>
    <n v="1.54161838519486E-2"/>
    <n v="0.36849211851755798"/>
  </r>
  <r>
    <s v="MVPRP_C10_P3_V3_I1"/>
    <n v="10"/>
    <x v="1"/>
    <x v="0"/>
    <x v="1"/>
    <x v="0"/>
    <n v="14002"/>
    <n v="14002"/>
    <n v="0"/>
    <n v="1.8500740528106701"/>
    <s v="[]"/>
    <n v="132"/>
    <m/>
    <n v="3"/>
    <n v="3000"/>
    <n v="6390"/>
    <n v="2681"/>
    <n v="1931"/>
    <n v="0"/>
    <n v="0"/>
    <n v="0"/>
    <n v="1"/>
    <n v="18"/>
    <n v="0"/>
    <n v="11"/>
    <n v="0"/>
    <n v="8.7102254231770802E-5"/>
    <n v="2.0523071289062499E-4"/>
    <n v="6.3227244785853797E-3"/>
    <n v="1.10423651086279E-2"/>
    <n v="3.6277770996093799E-2"/>
  </r>
  <r>
    <s v="MVPRP_C10_P3_V2_I1"/>
    <n v="10"/>
    <x v="1"/>
    <x v="1"/>
    <x v="1"/>
    <x v="0"/>
    <n v="14480.9"/>
    <n v="14480.9"/>
    <n v="0"/>
    <n v="0.58914399147033703"/>
    <s v="[]"/>
    <n v="198"/>
    <m/>
    <n v="3"/>
    <n v="3000"/>
    <n v="6390"/>
    <n v="2999"/>
    <n v="1535"/>
    <n v="0"/>
    <n v="0"/>
    <n v="0"/>
    <n v="1"/>
    <n v="5"/>
    <n v="0"/>
    <n v="10"/>
    <n v="0"/>
    <n v="6.4239501953124999E-5"/>
    <n v="1.3350305103120399E-4"/>
    <n v="4.8478841781616202E-3"/>
    <n v="6.05968066624233E-3"/>
    <n v="2.8281648953755699E-2"/>
  </r>
  <r>
    <s v="MVPRP_C30_P9_V4_I1"/>
    <n v="30"/>
    <x v="0"/>
    <x v="2"/>
    <x v="1"/>
    <x v="1"/>
    <n v="113646.299999"/>
    <n v="110134.411661626"/>
    <n v="3.0901915305687699E-2"/>
    <n v="3601.4042057991001"/>
    <s v="[]"/>
    <n v="171"/>
    <m/>
    <n v="3"/>
    <n v="12000"/>
    <n v="67710"/>
    <n v="18753"/>
    <n v="14549"/>
    <n v="0"/>
    <n v="0"/>
    <n v="0"/>
    <n v="48"/>
    <n v="4379"/>
    <n v="0"/>
    <n v="667"/>
    <n v="0"/>
    <n v="1.2849416270991099E-4"/>
    <n v="3.6682380432809399E-4"/>
    <n v="5.2902248048562603E-3"/>
    <n v="1.23710498310529E-2"/>
    <n v="1.2186635356200399"/>
  </r>
  <r>
    <s v="MVPRP_C20_P3_V3_I1"/>
    <n v="20"/>
    <x v="1"/>
    <x v="0"/>
    <x v="1"/>
    <x v="0"/>
    <n v="22438.299993394601"/>
    <n v="22438.299993394601"/>
    <n v="0"/>
    <n v="14.6724627017975"/>
    <s v="[]"/>
    <n v="189"/>
    <m/>
    <n v="3"/>
    <n v="3000"/>
    <n v="12030"/>
    <n v="4454.9999948571503"/>
    <n v="2890"/>
    <n v="0"/>
    <n v="0"/>
    <n v="0"/>
    <n v="39"/>
    <n v="180"/>
    <n v="0"/>
    <n v="43"/>
    <n v="0"/>
    <n v="9.08715384347098E-5"/>
    <n v="2.7704622818459999E-4"/>
    <n v="5.7191720744907502E-3"/>
    <n v="1.07965920309678E-2"/>
    <n v="8.0703049289936907E-2"/>
  </r>
  <r>
    <s v="MVPRP_C40_P6_V3_I1"/>
    <n v="40"/>
    <x v="2"/>
    <x v="0"/>
    <x v="1"/>
    <x v="1"/>
    <n v="97625.1"/>
    <n v="96099.636613636496"/>
    <n v="1.5625729308993998E-2"/>
    <n v="3605.1117820739701"/>
    <s v="[]"/>
    <n v="360"/>
    <m/>
    <n v="3"/>
    <n v="6000"/>
    <n v="55170"/>
    <n v="26849"/>
    <n v="8482"/>
    <n v="0"/>
    <n v="0"/>
    <n v="0"/>
    <n v="157"/>
    <n v="2461"/>
    <n v="0"/>
    <n v="954"/>
    <n v="0"/>
    <n v="1.7784378830420301E-4"/>
    <n v="5.1180631686479597E-4"/>
    <n v="6.4330476914009E-3"/>
    <n v="1.2745914758053801E-2"/>
    <n v="0.88886404960386201"/>
  </r>
  <r>
    <s v="MVPRP_C15_P9_V2_I1"/>
    <n v="15"/>
    <x v="0"/>
    <x v="1"/>
    <x v="1"/>
    <x v="1"/>
    <n v="77649.799998999995"/>
    <n v="75815.057426879503"/>
    <n v="2.3628426243778301E-2"/>
    <n v="3601.6836721897098"/>
    <s v="[]"/>
    <n v="198"/>
    <m/>
    <n v="3"/>
    <n v="9000"/>
    <n v="40950"/>
    <n v="15092"/>
    <n v="8160"/>
    <n v="0"/>
    <n v="0"/>
    <n v="0"/>
    <n v="1326"/>
    <n v="2257"/>
    <n v="0"/>
    <n v="253"/>
    <n v="0"/>
    <n v="9.5477480724027406E-5"/>
    <n v="2.2951901798516899E-4"/>
    <n v="5.3104548264170598E-3"/>
    <n v="9.3288572405690502E-3"/>
    <n v="0.13645041197148"/>
  </r>
  <r>
    <s v="MVPRP_C35_P6_V4_I1"/>
    <n v="35"/>
    <x v="2"/>
    <x v="2"/>
    <x v="1"/>
    <x v="1"/>
    <n v="75836.600000000006"/>
    <n v="75074.1200361394"/>
    <n v="1.00542477360614E-2"/>
    <n v="3606.4730248451201"/>
    <s v="[]"/>
    <n v="207"/>
    <m/>
    <n v="3"/>
    <n v="6000"/>
    <n v="42900"/>
    <n v="19161"/>
    <n v="7470"/>
    <n v="0"/>
    <n v="0"/>
    <n v="0"/>
    <n v="20"/>
    <n v="2939"/>
    <n v="0"/>
    <n v="569"/>
    <n v="0"/>
    <n v="1.5785556239490101E-4"/>
    <n v="4.4056775816120298E-4"/>
    <n v="5.2971507661775698E-3"/>
    <n v="1.3036621796315999E-2"/>
    <n v="1.34569577070383"/>
  </r>
  <r>
    <s v="MVPRP_C45_P3_V3_I1"/>
    <n v="45"/>
    <x v="1"/>
    <x v="0"/>
    <x v="1"/>
    <x v="1"/>
    <n v="51624.499998442101"/>
    <n v="50418.044127858397"/>
    <n v="2.3369831584229801E-2"/>
    <n v="3603.3840231895401"/>
    <s v="[]"/>
    <n v="360"/>
    <m/>
    <n v="3"/>
    <n v="6000"/>
    <n v="33060"/>
    <n v="5309"/>
    <n v="6415"/>
    <n v="0"/>
    <n v="0"/>
    <n v="0"/>
    <n v="984"/>
    <n v="3058"/>
    <n v="0"/>
    <n v="1853"/>
    <n v="0"/>
    <n v="2.7856894431004903E-4"/>
    <n v="7.9669268893744203E-4"/>
    <n v="9.5798845780323705E-3"/>
    <n v="1.9310995108551499E-2"/>
    <n v="0.47726621904868999"/>
  </r>
  <r>
    <s v="MVPRP_C10_P6_V2_I1"/>
    <n v="10"/>
    <x v="2"/>
    <x v="1"/>
    <x v="1"/>
    <x v="0"/>
    <n v="30459.9"/>
    <n v="30459.9"/>
    <n v="0"/>
    <n v="5.8374204635620099"/>
    <s v="[]"/>
    <n v="198"/>
    <m/>
    <n v="3"/>
    <n v="6000"/>
    <n v="12690"/>
    <n v="8163"/>
    <n v="2706"/>
    <n v="0"/>
    <n v="0"/>
    <n v="0"/>
    <n v="16"/>
    <n v="25"/>
    <n v="0"/>
    <n v="15"/>
    <n v="0"/>
    <n v="9.1022603652056506E-5"/>
    <n v="1.8234031144962799E-4"/>
    <n v="5.2817419171333297E-3"/>
    <n v="7.1546566195604304E-3"/>
    <n v="8.4269098613573207E-2"/>
  </r>
  <r>
    <s v="MVPRP_C45_P3_V4_I1"/>
    <n v="45"/>
    <x v="1"/>
    <x v="2"/>
    <x v="1"/>
    <x v="1"/>
    <n v="51091.6"/>
    <n v="50733.583359046002"/>
    <n v="7.0073483890500396E-3"/>
    <n v="3601.08694624901"/>
    <s v="[]"/>
    <n v="270"/>
    <m/>
    <n v="3"/>
    <n v="6000"/>
    <n v="33060"/>
    <n v="6179"/>
    <n v="5837"/>
    <n v="0"/>
    <n v="0"/>
    <n v="0"/>
    <n v="81"/>
    <n v="1353"/>
    <n v="0"/>
    <n v="342"/>
    <n v="0"/>
    <n v="2.3325262368274199E-4"/>
    <n v="7.7505396981524595E-4"/>
    <n v="9.1385243690177195E-3"/>
    <n v="1.99433110040435E-2"/>
    <n v="0.87963463278377796"/>
  </r>
  <r>
    <s v="MVPRP_C25_P6_V3_I1"/>
    <n v="25"/>
    <x v="2"/>
    <x v="0"/>
    <x v="1"/>
    <x v="1"/>
    <n v="57446.699893261"/>
    <n v="57044.348556503697"/>
    <n v="7.0039068824639603E-3"/>
    <n v="3600.2688219547299"/>
    <s v="[]"/>
    <n v="189"/>
    <m/>
    <n v="3"/>
    <n v="6000"/>
    <n v="28380"/>
    <n v="17248"/>
    <n v="5449"/>
    <n v="0"/>
    <n v="0"/>
    <n v="0"/>
    <n v="459"/>
    <n v="1447"/>
    <n v="0"/>
    <n v="141"/>
    <n v="0"/>
    <n v="1.05797655571903E-4"/>
    <n v="3.03033471692624E-4"/>
    <n v="5.5376913248591404E-3"/>
    <n v="1.0792733602720201E-2"/>
    <n v="0.23932375552215199"/>
  </r>
  <r>
    <s v="MVPRP_C15_P6_V2_I1"/>
    <n v="15"/>
    <x v="2"/>
    <x v="1"/>
    <x v="1"/>
    <x v="0"/>
    <n v="43302.1"/>
    <n v="43302.1"/>
    <n v="0"/>
    <n v="192.51447153091399"/>
    <s v="[]"/>
    <n v="198"/>
    <m/>
    <n v="3"/>
    <n v="6000"/>
    <n v="19800"/>
    <n v="10877"/>
    <n v="5023"/>
    <n v="0"/>
    <n v="0"/>
    <n v="0"/>
    <n v="234"/>
    <n v="380"/>
    <n v="0"/>
    <n v="42"/>
    <n v="0"/>
    <n v="7.4518929927720894E-5"/>
    <n v="1.68185688914493E-4"/>
    <n v="4.4838264401660102E-3"/>
    <n v="6.9223529212276702E-3"/>
    <n v="6.3608200696049902E-2"/>
  </r>
  <r>
    <s v="MVPRP_C35_P6_V3_I1"/>
    <n v="35"/>
    <x v="2"/>
    <x v="0"/>
    <x v="1"/>
    <x v="1"/>
    <n v="75828.800000000003"/>
    <n v="74600.414825108193"/>
    <n v="1.6199454229683899E-2"/>
    <n v="3602.3398585319501"/>
    <s v="[]"/>
    <n v="276"/>
    <m/>
    <n v="3"/>
    <n v="6000"/>
    <n v="42900"/>
    <n v="18939"/>
    <n v="7449"/>
    <n v="0"/>
    <n v="0"/>
    <n v="0"/>
    <n v="127"/>
    <n v="2888"/>
    <n v="0"/>
    <n v="446"/>
    <n v="0"/>
    <n v="1.4160015398397599E-4"/>
    <n v="3.6741771419778602E-4"/>
    <n v="5.9383424777018903E-3"/>
    <n v="1.1362260699656899E-2"/>
    <n v="0.68937562592327595"/>
  </r>
  <r>
    <s v="MVPRP_C25_P3_V3_I1"/>
    <n v="25"/>
    <x v="1"/>
    <x v="0"/>
    <x v="1"/>
    <x v="0"/>
    <n v="26269"/>
    <n v="26269"/>
    <n v="0"/>
    <n v="26.923946380615199"/>
    <s v="[]"/>
    <n v="189"/>
    <m/>
    <n v="3"/>
    <n v="3000"/>
    <n v="14340"/>
    <n v="5405"/>
    <n v="3524"/>
    <n v="0"/>
    <n v="0"/>
    <n v="0"/>
    <n v="14"/>
    <n v="308"/>
    <n v="0"/>
    <n v="60"/>
    <n v="0"/>
    <n v="1.5771292089446801E-4"/>
    <n v="3.3869401688145002E-4"/>
    <n v="9.1254218764927099E-3"/>
    <n v="1.30631142508862E-2"/>
    <n v="0.279855544750507"/>
  </r>
  <r>
    <s v="MVPRP_C10_P6_V3_I1"/>
    <n v="10"/>
    <x v="2"/>
    <x v="0"/>
    <x v="1"/>
    <x v="0"/>
    <n v="29940"/>
    <n v="29940"/>
    <n v="0"/>
    <n v="11.936795234680201"/>
    <s v="[]"/>
    <n v="132"/>
    <m/>
    <n v="3"/>
    <n v="6000"/>
    <n v="12690"/>
    <n v="7572"/>
    <n v="3678"/>
    <n v="0"/>
    <n v="0"/>
    <n v="0"/>
    <n v="28"/>
    <n v="61"/>
    <n v="0"/>
    <n v="14"/>
    <n v="0"/>
    <n v="6.3445599593780103E-5"/>
    <n v="1.07436723245848E-4"/>
    <n v="5.0759745073748102E-3"/>
    <n v="5.1476961563910696E-3"/>
    <n v="6.3340944402358101E-2"/>
  </r>
  <r>
    <s v="MVPRP_C35_P3_V3_I1"/>
    <n v="35"/>
    <x v="1"/>
    <x v="0"/>
    <x v="1"/>
    <x v="0"/>
    <n v="35503"/>
    <n v="35503"/>
    <n v="0"/>
    <n v="96.460577249527006"/>
    <s v="[]"/>
    <n v="276"/>
    <m/>
    <n v="3"/>
    <n v="3000"/>
    <n v="21600"/>
    <n v="6964"/>
    <n v="3939"/>
    <n v="0"/>
    <n v="0"/>
    <n v="0"/>
    <n v="5"/>
    <n v="219"/>
    <n v="0"/>
    <n v="91"/>
    <n v="0"/>
    <n v="1.6562741501887E-4"/>
    <n v="6.4559608486527303E-4"/>
    <n v="8.2305636361380604E-3"/>
    <n v="1.9721697497841501E-2"/>
    <n v="0.63291871136632505"/>
  </r>
  <r>
    <s v="MVPRP_C50_P3_V3_I1"/>
    <n v="50"/>
    <x v="1"/>
    <x v="0"/>
    <x v="1"/>
    <x v="1"/>
    <n v="47841"/>
    <n v="46718.875898071703"/>
    <n v="2.3455281075402699E-2"/>
    <n v="3602.55539703369"/>
    <s v="[]"/>
    <n v="360"/>
    <m/>
    <n v="3"/>
    <n v="3000"/>
    <n v="29580"/>
    <n v="10258"/>
    <n v="5003"/>
    <n v="0"/>
    <n v="0"/>
    <n v="0"/>
    <n v="624"/>
    <n v="2536"/>
    <n v="0"/>
    <n v="2986"/>
    <n v="0"/>
    <n v="3.3585442849035497E-4"/>
    <n v="7.8223876199174996E-4"/>
    <n v="8.9088147858691694E-3"/>
    <n v="1.86925185240315E-2"/>
    <n v="0.69075938430401196"/>
  </r>
  <r>
    <s v="MVPRP_C30_P6_V3_I1"/>
    <n v="30"/>
    <x v="2"/>
    <x v="0"/>
    <x v="1"/>
    <x v="1"/>
    <n v="61769.299999000003"/>
    <n v="61168.993706939102"/>
    <n v="9.7185218558504503E-3"/>
    <n v="3603.0546319484702"/>
    <s v="[]"/>
    <n v="228"/>
    <m/>
    <n v="3"/>
    <n v="6000"/>
    <n v="33150"/>
    <n v="16445"/>
    <n v="5771"/>
    <n v="0"/>
    <n v="0"/>
    <n v="0"/>
    <n v="378"/>
    <n v="2487"/>
    <n v="0"/>
    <n v="413"/>
    <n v="0"/>
    <n v="1.12045468911169E-4"/>
    <n v="2.7546723145332298E-4"/>
    <n v="4.9486773467361201E-3"/>
    <n v="9.79616234571953E-3"/>
    <n v="0.32910686701082298"/>
  </r>
  <r>
    <s v="MVPRP_C30_P6_V4_I1"/>
    <n v="30"/>
    <x v="2"/>
    <x v="2"/>
    <x v="1"/>
    <x v="1"/>
    <n v="62074.1"/>
    <n v="61522.746037715602"/>
    <n v="8.8821901934045093E-3"/>
    <n v="3600.2817642688801"/>
    <s v="[]"/>
    <n v="171"/>
    <m/>
    <n v="3"/>
    <n v="6000"/>
    <n v="33150"/>
    <n v="15804"/>
    <n v="7069"/>
    <n v="0"/>
    <n v="0"/>
    <n v="0"/>
    <n v="52"/>
    <n v="2573"/>
    <n v="0"/>
    <n v="231"/>
    <n v="0"/>
    <n v="1.1479176323989301E-4"/>
    <n v="3.2282918383122499E-4"/>
    <n v="5.1704198682519598E-3"/>
    <n v="1.16698457824816E-2"/>
    <n v="0.548760390576021"/>
  </r>
  <r>
    <s v="MVPRP_C25_P9_V3_I1"/>
    <n v="25"/>
    <x v="0"/>
    <x v="0"/>
    <x v="1"/>
    <x v="1"/>
    <n v="102495.09999800001"/>
    <n v="100392.55477413"/>
    <n v="2.0513616981800001E-2"/>
    <n v="3603.0812795162201"/>
    <s v="[]"/>
    <n v="189"/>
    <m/>
    <n v="3"/>
    <n v="9000"/>
    <n v="59880"/>
    <n v="20691"/>
    <n v="11184"/>
    <n v="0"/>
    <n v="0"/>
    <n v="0"/>
    <n v="577"/>
    <n v="3558"/>
    <n v="0"/>
    <n v="364"/>
    <n v="0"/>
    <n v="1.1600877101961501E-4"/>
    <n v="2.8641027392189999E-4"/>
    <n v="6.0611374412341198E-3"/>
    <n v="1.1011901725881901E-2"/>
    <n v="0.46186363909168199"/>
  </r>
  <r>
    <s v="MVPRP_C20_P6_V2_I1"/>
    <n v="20"/>
    <x v="2"/>
    <x v="1"/>
    <x v="1"/>
    <x v="0"/>
    <n v="49276.7"/>
    <n v="49276.7"/>
    <n v="0"/>
    <n v="42.307434320449801"/>
    <s v="[]"/>
    <n v="283"/>
    <m/>
    <n v="3"/>
    <n v="6000"/>
    <n v="23820"/>
    <n v="12905"/>
    <n v="4842"/>
    <n v="0"/>
    <n v="0"/>
    <n v="0"/>
    <n v="26"/>
    <n v="151"/>
    <n v="0"/>
    <n v="39"/>
    <n v="0"/>
    <n v="8.5950642824173003E-5"/>
    <n v="1.3686698160053799E-4"/>
    <n v="4.4832073945769704E-3"/>
    <n v="4.9532571290349199E-3"/>
    <n v="0.189801461556379"/>
  </r>
  <r>
    <s v="MVPRP_C15_P6_V3_I1"/>
    <n v="15"/>
    <x v="2"/>
    <x v="0"/>
    <x v="1"/>
    <x v="0"/>
    <n v="42282.199987362699"/>
    <n v="42282.199987362699"/>
    <n v="0"/>
    <n v="1115.1306536197701"/>
    <s v="[]"/>
    <n v="132"/>
    <m/>
    <n v="3"/>
    <n v="6000"/>
    <n v="19800"/>
    <n v="11075"/>
    <n v="5325"/>
    <n v="0"/>
    <n v="0"/>
    <n v="0"/>
    <n v="163"/>
    <n v="811"/>
    <n v="0"/>
    <n v="33"/>
    <n v="0"/>
    <n v="6.90402259489993E-5"/>
    <n v="1.6778149090085199E-4"/>
    <n v="4.6401383480877004E-3"/>
    <n v="7.1210223058156101E-3"/>
    <n v="7.5773588911502002E-2"/>
  </r>
  <r>
    <s v="MVPRP_C15_P3_V3_I1"/>
    <n v="15"/>
    <x v="1"/>
    <x v="0"/>
    <x v="1"/>
    <x v="0"/>
    <n v="19687"/>
    <n v="19687"/>
    <n v="0"/>
    <n v="9.0900321006774902"/>
    <s v="[]"/>
    <n v="132"/>
    <m/>
    <n v="3"/>
    <n v="3000"/>
    <n v="9960"/>
    <n v="3896"/>
    <n v="2824"/>
    <n v="0"/>
    <n v="0"/>
    <n v="0"/>
    <n v="5"/>
    <n v="168"/>
    <n v="0"/>
    <n v="19"/>
    <n v="0"/>
    <n v="8.4678332010905007E-5"/>
    <n v="1.88279667018372E-4"/>
    <n v="6.3615025214429199E-3"/>
    <n v="9.1997595394358901E-3"/>
    <n v="8.2115069031715393E-2"/>
  </r>
  <r>
    <s v="MVPRP_C25_P9_V2_I1"/>
    <n v="25"/>
    <x v="0"/>
    <x v="1"/>
    <x v="1"/>
    <x v="1"/>
    <n v="110701.4"/>
    <n v="103716.55759069799"/>
    <n v="6.30962427693086E-2"/>
    <n v="3601.87919211388"/>
    <s v="[]"/>
    <n v="283"/>
    <m/>
    <n v="3"/>
    <n v="9000"/>
    <n v="59880"/>
    <n v="30132"/>
    <n v="8871"/>
    <n v="0"/>
    <n v="0"/>
    <n v="0"/>
    <n v="1057"/>
    <n v="4283"/>
    <n v="0"/>
    <n v="1383"/>
    <n v="0"/>
    <n v="9.4424071279119504E-5"/>
    <n v="2.0771095291577301E-4"/>
    <n v="4.5643621239780403E-3"/>
    <n v="7.2073840890319596E-3"/>
    <n v="0.52978983006463798"/>
  </r>
  <r>
    <s v="MVPRP_C35_P3_V4_I1"/>
    <n v="35"/>
    <x v="1"/>
    <x v="2"/>
    <x v="1"/>
    <x v="0"/>
    <n v="35854"/>
    <n v="35851.542288269498"/>
    <n v="6.8547769579653306E-5"/>
    <n v="2049.8757126331302"/>
    <s v="[]"/>
    <n v="207"/>
    <m/>
    <n v="3"/>
    <n v="3000"/>
    <n v="21600"/>
    <n v="6531"/>
    <n v="4723"/>
    <n v="0"/>
    <n v="0"/>
    <n v="0"/>
    <n v="0"/>
    <n v="1203"/>
    <n v="0"/>
    <n v="88"/>
    <n v="0"/>
    <n v="1.79091889654572E-4"/>
    <n v="4.7566302410967902E-4"/>
    <n v="8.3317826775943498E-3"/>
    <n v="1.6246013242922099E-2"/>
    <n v="0.575708301862081"/>
  </r>
  <r>
    <s v="MVPRP_C25_P3_V2_I1"/>
    <n v="25"/>
    <x v="1"/>
    <x v="1"/>
    <x v="1"/>
    <x v="0"/>
    <n v="27643.200000000001"/>
    <n v="27643.200000000001"/>
    <n v="0"/>
    <n v="4.2698307037353498"/>
    <s v="[]"/>
    <n v="283"/>
    <m/>
    <n v="3"/>
    <n v="3000"/>
    <n v="14340"/>
    <n v="5901"/>
    <n v="2865"/>
    <n v="0"/>
    <n v="0"/>
    <n v="0"/>
    <n v="2"/>
    <n v="48"/>
    <n v="0"/>
    <n v="36"/>
    <n v="0"/>
    <n v="1.2859792420358401E-4"/>
    <n v="2.69068048355427E-4"/>
    <n v="6.2916556070017303E-3"/>
    <n v="1.01038659772565E-2"/>
    <n v="0.18952945300511001"/>
  </r>
  <r>
    <s v="MVPRP_C20_P9_V3_I1"/>
    <n v="20"/>
    <x v="0"/>
    <x v="0"/>
    <x v="1"/>
    <x v="1"/>
    <n v="83219.099738329198"/>
    <n v="82659.829730170604"/>
    <n v="6.7204525153135002E-3"/>
    <n v="3602.5016038417798"/>
    <s v="[]"/>
    <n v="189"/>
    <m/>
    <n v="3"/>
    <n v="9000"/>
    <n v="48120"/>
    <n v="15253.002149148"/>
    <n v="10319.997887436301"/>
    <n v="0"/>
    <n v="0"/>
    <n v="0"/>
    <n v="306"/>
    <n v="1353"/>
    <n v="0"/>
    <n v="178"/>
    <n v="0"/>
    <n v="9.7994716923171E-5"/>
    <n v="2.3390686041430399E-4"/>
    <n v="5.6458314259847002E-3"/>
    <n v="9.0586020311162595E-3"/>
    <n v="0.21844279247781501"/>
  </r>
  <r>
    <s v="MVPRP_C40_P6_V4_I1"/>
    <n v="40"/>
    <x v="2"/>
    <x v="2"/>
    <x v="1"/>
    <x v="1"/>
    <n v="96769"/>
    <n v="96486.7000959164"/>
    <n v="2.9172555682458801E-3"/>
    <n v="3605.2593135833699"/>
    <s v="[]"/>
    <n v="270"/>
    <m/>
    <n v="3"/>
    <n v="6000"/>
    <n v="55170"/>
    <n v="25943"/>
    <n v="9656"/>
    <n v="0"/>
    <n v="0"/>
    <n v="0"/>
    <n v="35"/>
    <n v="2865"/>
    <n v="0"/>
    <n v="699"/>
    <n v="0"/>
    <n v="1.52584613393672E-4"/>
    <n v="4.4257151614276601E-4"/>
    <n v="5.6236171965873801E-3"/>
    <n v="1.22337066239179E-2"/>
    <n v="1.15586694193558"/>
  </r>
  <r>
    <s v="MVPRP_C30_P9_V3_I1"/>
    <n v="30"/>
    <x v="0"/>
    <x v="0"/>
    <x v="1"/>
    <x v="1"/>
    <n v="113541.099999"/>
    <n v="109393.659699412"/>
    <n v="3.6528096870864599E-2"/>
    <n v="3603.53273749352"/>
    <s v="[]"/>
    <n v="228"/>
    <m/>
    <n v="3"/>
    <n v="12000"/>
    <n v="67710"/>
    <n v="19493"/>
    <n v="13075"/>
    <n v="0"/>
    <n v="0"/>
    <n v="0"/>
    <n v="147"/>
    <n v="4211"/>
    <n v="0"/>
    <n v="1086"/>
    <n v="0"/>
    <n v="1.3095529971829799E-4"/>
    <n v="3.3854729704545699E-4"/>
    <n v="5.4410369013520301E-3"/>
    <n v="1.10390014724097E-2"/>
    <n v="0.899196382931301"/>
  </r>
  <r>
    <s v="MVPRP_C25_P6_V2_I1"/>
    <n v="25"/>
    <x v="2"/>
    <x v="1"/>
    <x v="1"/>
    <x v="0"/>
    <n v="59073.299969156003"/>
    <n v="59068.313424416701"/>
    <n v="8.44128352713165E-5"/>
    <n v="2449.0446071624801"/>
    <s v="[]"/>
    <n v="283"/>
    <m/>
    <n v="3"/>
    <n v="6000"/>
    <n v="28379.999976794599"/>
    <n v="17066.999992361401"/>
    <n v="5583"/>
    <n v="0"/>
    <n v="0"/>
    <n v="0"/>
    <n v="479"/>
    <n v="931"/>
    <n v="0"/>
    <n v="123"/>
    <n v="0"/>
    <n v="8.3171992405060101E-5"/>
    <n v="1.79458620413294E-4"/>
    <n v="4.1657141661032701E-3"/>
    <n v="6.8045707871267304E-3"/>
    <n v="0.15234612652575599"/>
  </r>
  <r>
    <s v="MVPRP_C10_P9_V3_I1"/>
    <n v="10"/>
    <x v="0"/>
    <x v="0"/>
    <x v="1"/>
    <x v="1"/>
    <n v="52070.599797793999"/>
    <n v="51892.335884326501"/>
    <n v="3.42350413015653E-3"/>
    <n v="3600.03935003281"/>
    <s v="[]"/>
    <n v="132"/>
    <m/>
    <n v="3"/>
    <n v="9000"/>
    <n v="26369.999884662298"/>
    <n v="9789.9999141317094"/>
    <n v="6581"/>
    <n v="0"/>
    <n v="0"/>
    <n v="0"/>
    <n v="551"/>
    <n v="339"/>
    <n v="0"/>
    <n v="30"/>
    <n v="0"/>
    <n v="7.9756270227112903E-5"/>
    <n v="1.6726018941179199E-4"/>
    <n v="5.7139444320118502E-3"/>
    <n v="7.0635970468563101E-3"/>
    <n v="5.7904706281774201E-2"/>
  </r>
  <r>
    <s v="MVPRP_C20_P9_V2_I1"/>
    <n v="20"/>
    <x v="0"/>
    <x v="1"/>
    <x v="1"/>
    <x v="1"/>
    <n v="86842.599502899393"/>
    <n v="85165.929717784704"/>
    <n v="1.9306996735613698E-2"/>
    <n v="3600.31934165955"/>
    <s v="[]"/>
    <n v="283"/>
    <m/>
    <n v="3"/>
    <n v="9000"/>
    <n v="48120"/>
    <n v="17895.000008870498"/>
    <n v="7368.0000329983004"/>
    <n v="0"/>
    <n v="0"/>
    <n v="0"/>
    <n v="1497"/>
    <n v="2979"/>
    <n v="0"/>
    <n v="473"/>
    <n v="0"/>
    <n v="8.1005515486202201E-5"/>
    <n v="1.8309196905841199E-4"/>
    <n v="3.8179803150268999E-3"/>
    <n v="6.7337469076417097E-3"/>
    <n v="0.141338941066568"/>
  </r>
  <r>
    <s v="MVPRP_C30_P3_V3_I1"/>
    <n v="30"/>
    <x v="1"/>
    <x v="0"/>
    <x v="1"/>
    <x v="0"/>
    <n v="28872"/>
    <n v="28872"/>
    <n v="0"/>
    <n v="52.805698633193998"/>
    <s v="[]"/>
    <n v="228"/>
    <m/>
    <n v="3"/>
    <n v="3000"/>
    <n v="16680"/>
    <n v="5721"/>
    <n v="3471"/>
    <n v="0"/>
    <n v="0"/>
    <n v="0"/>
    <n v="2"/>
    <n v="222"/>
    <n v="0"/>
    <n v="65"/>
    <n v="0"/>
    <n v="2.1997769673665399E-4"/>
    <n v="4.81080868251204E-4"/>
    <n v="8.1232732480710692E-3"/>
    <n v="1.6497721321332801E-2"/>
    <n v="0.42382907867431602"/>
  </r>
  <r>
    <s v="MVPRP_C50_P3_V4_I1"/>
    <n v="50"/>
    <x v="1"/>
    <x v="2"/>
    <x v="1"/>
    <x v="1"/>
    <n v="47343.9"/>
    <n v="46932.914779389299"/>
    <n v="8.6808484432154102E-3"/>
    <n v="3605.4062564372998"/>
    <s v="[]"/>
    <n v="270"/>
    <m/>
    <n v="3"/>
    <n v="6000"/>
    <n v="29580"/>
    <n v="5211"/>
    <n v="6488"/>
    <n v="0"/>
    <n v="0"/>
    <n v="0"/>
    <n v="111"/>
    <n v="1645"/>
    <n v="0"/>
    <n v="376"/>
    <n v="0"/>
    <n v="2.4028383437078E-4"/>
    <n v="8.1995870552810997E-4"/>
    <n v="8.6313894532185093E-3"/>
    <n v="2.05705197448404E-2"/>
    <n v="0.83253533912427502"/>
  </r>
  <r>
    <s v="MVPRP_C15_P9_V3_I1"/>
    <n v="15"/>
    <x v="0"/>
    <x v="0"/>
    <x v="2"/>
    <x v="1"/>
    <n v="75839.300000000105"/>
    <n v="74220.190473161798"/>
    <n v="2.1349215075011099E-2"/>
    <n v="3600.0586309433002"/>
    <s v="[]"/>
    <n v="132"/>
    <m/>
    <n v="3"/>
    <n v="9000"/>
    <n v="40950"/>
    <n v="14562"/>
    <n v="10597"/>
    <n v="1168.5"/>
    <n v="438.2"/>
    <n v="730.29999999999802"/>
    <n v="1994"/>
    <n v="0"/>
    <n v="108"/>
    <n v="0"/>
    <m/>
    <m/>
    <m/>
    <m/>
    <m/>
    <m/>
  </r>
  <r>
    <s v="MVPRP_C20_P3_V2_I1"/>
    <n v="20"/>
    <x v="1"/>
    <x v="1"/>
    <x v="2"/>
    <x v="1"/>
    <n v="23484.899442000002"/>
    <n v="22689.540004838502"/>
    <n v="3.3866844485570001E-2"/>
    <n v="3600.55140566826"/>
    <s v="[]"/>
    <n v="283"/>
    <m/>
    <n v="3"/>
    <n v="3000"/>
    <n v="12030"/>
    <n v="4509"/>
    <n v="2671"/>
    <n v="1541.99944199999"/>
    <n v="267.10000000000002"/>
    <n v="1274.8994419999899"/>
    <n v="304"/>
    <n v="0"/>
    <n v="4954"/>
    <n v="0"/>
    <m/>
    <m/>
    <m/>
    <m/>
    <m/>
    <m/>
  </r>
  <r>
    <s v="MVPRP_C40_P3_V4_I1"/>
    <n v="40"/>
    <x v="1"/>
    <x v="2"/>
    <x v="2"/>
    <x v="0"/>
    <n v="44461"/>
    <n v="44461"/>
    <n v="0"/>
    <n v="801.19248342514004"/>
    <s v="[]"/>
    <n v="270"/>
    <m/>
    <n v="3"/>
    <n v="6000"/>
    <n v="27660"/>
    <n v="5013"/>
    <n v="5788"/>
    <n v="0"/>
    <n v="0"/>
    <n v="0"/>
    <n v="298"/>
    <n v="0"/>
    <n v="359"/>
    <n v="0"/>
    <m/>
    <m/>
    <m/>
    <m/>
    <m/>
    <m/>
  </r>
  <r>
    <s v="MVPRP_C10_P9_V2_I1"/>
    <n v="10"/>
    <x v="0"/>
    <x v="1"/>
    <x v="2"/>
    <x v="1"/>
    <n v="52882.899649097701"/>
    <n v="51942.701621373599"/>
    <n v="1.7778866778536399E-2"/>
    <n v="3600.0614750385298"/>
    <s v="[]"/>
    <n v="198"/>
    <m/>
    <n v="3"/>
    <n v="9000"/>
    <n v="26370"/>
    <n v="10336"/>
    <n v="5223"/>
    <n v="2608.199562153"/>
    <n v="654.29991305533304"/>
    <n v="1953.8996490976699"/>
    <n v="251"/>
    <n v="0"/>
    <n v="146"/>
    <n v="0"/>
    <m/>
    <m/>
    <m/>
    <m/>
    <m/>
    <m/>
  </r>
  <r>
    <s v="MVPRP_C15_P3_V2_I1"/>
    <n v="15"/>
    <x v="1"/>
    <x v="1"/>
    <x v="2"/>
    <x v="1"/>
    <n v="20511.4998049327"/>
    <n v="20113.700000000099"/>
    <n v="1.9393989162947101E-2"/>
    <n v="3600.6111724376701"/>
    <s v="[]"/>
    <n v="198"/>
    <m/>
    <n v="3"/>
    <n v="3000"/>
    <n v="9960"/>
    <n v="3896"/>
    <n v="2762"/>
    <n v="1169.6997491028801"/>
    <n v="276.19994417017"/>
    <n v="893.49980493271403"/>
    <n v="530"/>
    <n v="0"/>
    <n v="1037"/>
    <n v="0"/>
    <m/>
    <m/>
    <m/>
    <m/>
    <m/>
    <m/>
  </r>
  <r>
    <s v="MVPRP_C40_P3_V3_I1"/>
    <n v="40"/>
    <x v="1"/>
    <x v="0"/>
    <x v="2"/>
    <x v="1"/>
    <n v="44578"/>
    <n v="44420.725570989503"/>
    <n v="3.5280727939912102E-3"/>
    <n v="3607.2660670280502"/>
    <s v="[]"/>
    <n v="360"/>
    <m/>
    <n v="3"/>
    <n v="3000"/>
    <n v="27660"/>
    <n v="9403"/>
    <n v="4515"/>
    <n v="0"/>
    <n v="0"/>
    <n v="0"/>
    <n v="343"/>
    <n v="0"/>
    <n v="451"/>
    <n v="0"/>
    <m/>
    <m/>
    <m/>
    <m/>
    <m/>
    <m/>
  </r>
  <r>
    <s v="MVPRP_C20_P6_V3_I1"/>
    <n v="20"/>
    <x v="2"/>
    <x v="0"/>
    <x v="2"/>
    <x v="0"/>
    <n v="47744.299966971201"/>
    <n v="47744.299966971201"/>
    <n v="0"/>
    <n v="211.493075370789"/>
    <s v="[]"/>
    <n v="189"/>
    <m/>
    <n v="3"/>
    <n v="6000"/>
    <n v="23819.999983376299"/>
    <n v="12551.9999835949"/>
    <n v="5309"/>
    <n v="107.4"/>
    <n v="44.1"/>
    <n v="63.299999999999798"/>
    <n v="172"/>
    <n v="0"/>
    <n v="115"/>
    <n v="0"/>
    <m/>
    <m/>
    <m/>
    <m/>
    <m/>
    <m/>
  </r>
  <r>
    <s v="MVPRP_C30_P3_V4_I1"/>
    <n v="30"/>
    <x v="1"/>
    <x v="2"/>
    <x v="2"/>
    <x v="0"/>
    <n v="29156.9999086147"/>
    <n v="29156.9999086147"/>
    <n v="0"/>
    <n v="579.86675643920898"/>
    <s v="[]"/>
    <n v="171"/>
    <m/>
    <n v="3"/>
    <n v="3000"/>
    <n v="16679.999940384201"/>
    <n v="5463.9999682304597"/>
    <n v="4013"/>
    <n v="0"/>
    <n v="0"/>
    <n v="0"/>
    <n v="376"/>
    <n v="0"/>
    <n v="90"/>
    <n v="0"/>
    <m/>
    <m/>
    <m/>
    <m/>
    <m/>
    <m/>
  </r>
  <r>
    <s v="MVPRP_C10_P3_V3_I1"/>
    <n v="10"/>
    <x v="1"/>
    <x v="0"/>
    <x v="2"/>
    <x v="0"/>
    <n v="14002"/>
    <n v="14002"/>
    <n v="0"/>
    <n v="3.9076161384582502"/>
    <s v="[]"/>
    <n v="132"/>
    <m/>
    <n v="3"/>
    <n v="3000"/>
    <n v="6390"/>
    <n v="2681"/>
    <n v="1931"/>
    <n v="0"/>
    <n v="0"/>
    <n v="0"/>
    <n v="22"/>
    <n v="0"/>
    <n v="10"/>
    <n v="0"/>
    <m/>
    <m/>
    <m/>
    <m/>
    <m/>
    <m/>
  </r>
  <r>
    <s v="MVPRP_C10_P3_V2_I1"/>
    <n v="10"/>
    <x v="1"/>
    <x v="1"/>
    <x v="2"/>
    <x v="0"/>
    <n v="14480.9"/>
    <n v="14480.9"/>
    <n v="0"/>
    <n v="19.458320140838602"/>
    <s v="[]"/>
    <n v="198"/>
    <m/>
    <n v="3"/>
    <n v="3000"/>
    <n v="6390"/>
    <n v="2999"/>
    <n v="1535"/>
    <n v="710.4"/>
    <n v="153.5"/>
    <n v="556.9"/>
    <n v="49"/>
    <n v="0"/>
    <n v="71"/>
    <n v="0"/>
    <m/>
    <m/>
    <m/>
    <m/>
    <m/>
    <m/>
  </r>
  <r>
    <s v="MVPRP_C30_P9_V4_I1"/>
    <n v="30"/>
    <x v="0"/>
    <x v="2"/>
    <x v="2"/>
    <x v="1"/>
    <n v="115530.6"/>
    <n v="110094.249689542"/>
    <n v="4.7055501403594699E-2"/>
    <n v="3603.5610988140102"/>
    <s v="[]"/>
    <n v="171"/>
    <m/>
    <n v="3"/>
    <n v="12000"/>
    <n v="67710"/>
    <n v="19913"/>
    <n v="15552"/>
    <n v="501.00000000000199"/>
    <n v="145.4"/>
    <n v="355.60000000000201"/>
    <n v="2016"/>
    <n v="0"/>
    <n v="423"/>
    <n v="0"/>
    <m/>
    <m/>
    <m/>
    <m/>
    <m/>
    <m/>
  </r>
  <r>
    <s v="MVPRP_C20_P3_V3_I1"/>
    <n v="20"/>
    <x v="1"/>
    <x v="0"/>
    <x v="2"/>
    <x v="0"/>
    <n v="22438.299972406101"/>
    <n v="22438.299972406101"/>
    <n v="0"/>
    <n v="28.222637653350802"/>
    <s v="[]"/>
    <n v="189"/>
    <m/>
    <n v="3"/>
    <n v="3000"/>
    <n v="12030"/>
    <n v="4455"/>
    <n v="2890"/>
    <n v="107.399961507011"/>
    <n v="44.0999891009184"/>
    <n v="63.299972406093097"/>
    <n v="216"/>
    <n v="0"/>
    <n v="34"/>
    <n v="0"/>
    <m/>
    <m/>
    <m/>
    <m/>
    <m/>
    <m/>
  </r>
  <r>
    <s v="MVPRP_C40_P6_V3_I1"/>
    <n v="40"/>
    <x v="2"/>
    <x v="0"/>
    <x v="2"/>
    <x v="1"/>
    <n v="98467.6"/>
    <n v="96156.119972014407"/>
    <n v="2.3474523883852402E-2"/>
    <n v="3611.9726634025601"/>
    <s v="[]"/>
    <n v="360"/>
    <m/>
    <n v="3"/>
    <n v="6000"/>
    <n v="55170"/>
    <n v="27721"/>
    <n v="9251"/>
    <n v="438"/>
    <n v="112.4"/>
    <n v="325.60000000000002"/>
    <n v="926"/>
    <n v="0"/>
    <n v="1047"/>
    <n v="0"/>
    <m/>
    <m/>
    <m/>
    <m/>
    <m/>
    <m/>
  </r>
  <r>
    <s v="MVPRP_C15_P9_V2_I1"/>
    <n v="15"/>
    <x v="0"/>
    <x v="1"/>
    <x v="2"/>
    <x v="1"/>
    <n v="78698.899989750906"/>
    <n v="73446.218331827404"/>
    <n v="6.6744028933156105E-2"/>
    <n v="3602.6990602016499"/>
    <s v="[]"/>
    <n v="198"/>
    <m/>
    <n v="3"/>
    <n v="12000"/>
    <n v="40950"/>
    <n v="13427"/>
    <n v="8803.9999935881406"/>
    <n v="4518.2999960508996"/>
    <n v="1000.39999988814"/>
    <n v="3517.8999961627701"/>
    <n v="1345"/>
    <n v="0"/>
    <n v="1317"/>
    <n v="0"/>
    <m/>
    <m/>
    <m/>
    <m/>
    <m/>
    <m/>
  </r>
  <r>
    <s v="MVPRP_C35_P6_V4_I1"/>
    <n v="35"/>
    <x v="2"/>
    <x v="2"/>
    <x v="2"/>
    <x v="1"/>
    <n v="76171.499958041706"/>
    <n v="75170.230192212504"/>
    <n v="1.3144939595265401E-2"/>
    <n v="3601.5114545822098"/>
    <s v="[]"/>
    <n v="207"/>
    <m/>
    <n v="3"/>
    <n v="6000"/>
    <n v="42900"/>
    <n v="17891"/>
    <n v="9230"/>
    <n v="189.89995468174999"/>
    <n v="39.399996639999998"/>
    <n v="150.49995804175001"/>
    <n v="1655"/>
    <n v="0"/>
    <n v="403"/>
    <n v="0"/>
    <m/>
    <m/>
    <m/>
    <m/>
    <m/>
    <m/>
  </r>
  <r>
    <s v="MVPRP_C45_P3_V3_I1"/>
    <n v="45"/>
    <x v="1"/>
    <x v="0"/>
    <x v="2"/>
    <x v="1"/>
    <n v="51751.8"/>
    <n v="50343.396810542799"/>
    <n v="2.7214573975343801E-2"/>
    <n v="3605.4018700122801"/>
    <s v="[]"/>
    <n v="360"/>
    <m/>
    <n v="3"/>
    <n v="6000"/>
    <n v="33060"/>
    <n v="6217"/>
    <n v="5914"/>
    <n v="642.6"/>
    <n v="81.8"/>
    <n v="560.79999999999995"/>
    <n v="716"/>
    <n v="0"/>
    <n v="2252"/>
    <n v="0"/>
    <m/>
    <m/>
    <m/>
    <m/>
    <m/>
    <m/>
  </r>
  <r>
    <s v="MVPRP_C10_P6_V2_I1"/>
    <n v="10"/>
    <x v="2"/>
    <x v="1"/>
    <x v="2"/>
    <x v="0"/>
    <n v="30459.899674495198"/>
    <n v="30459.899674495198"/>
    <n v="0"/>
    <n v="225.05325078964199"/>
    <s v="[]"/>
    <n v="198"/>
    <m/>
    <n v="3"/>
    <n v="6000"/>
    <n v="12690"/>
    <n v="8163"/>
    <n v="2706"/>
    <n v="1171.4995509221999"/>
    <n v="270.59987642704402"/>
    <n v="900.89967449515996"/>
    <n v="94"/>
    <n v="0"/>
    <n v="76"/>
    <n v="0"/>
    <m/>
    <m/>
    <m/>
    <m/>
    <m/>
    <m/>
  </r>
  <r>
    <s v="MVPRP_C45_P3_V4_I1"/>
    <n v="45"/>
    <x v="1"/>
    <x v="2"/>
    <x v="2"/>
    <x v="1"/>
    <n v="51091.6"/>
    <n v="50782.814504575101"/>
    <n v="6.0437624859066598E-3"/>
    <n v="3610.2350118160298"/>
    <s v="[]"/>
    <n v="270"/>
    <m/>
    <n v="3"/>
    <n v="6000"/>
    <n v="33060"/>
    <n v="6179"/>
    <n v="5837"/>
    <n v="28.500000000000099"/>
    <n v="12.9"/>
    <n v="15.600000000000099"/>
    <n v="872"/>
    <n v="0"/>
    <n v="721"/>
    <n v="0"/>
    <m/>
    <m/>
    <m/>
    <m/>
    <m/>
    <m/>
  </r>
  <r>
    <s v="MVPRP_C25_P6_V3_I1"/>
    <n v="25"/>
    <x v="2"/>
    <x v="0"/>
    <x v="2"/>
    <x v="1"/>
    <n v="57446.699415966701"/>
    <n v="57118.558520489001"/>
    <n v="5.7120931021936603E-3"/>
    <n v="3603.6086571216601"/>
    <s v="[]"/>
    <n v="189"/>
    <m/>
    <n v="3"/>
    <n v="6000"/>
    <n v="28380"/>
    <n v="17248"/>
    <n v="5449"/>
    <n v="517.49932689212403"/>
    <n v="147.799910925391"/>
    <n v="369.699415966733"/>
    <n v="1182"/>
    <n v="0"/>
    <n v="186"/>
    <n v="0"/>
    <m/>
    <m/>
    <m/>
    <m/>
    <m/>
    <m/>
  </r>
  <r>
    <s v="MVPRP_C15_P6_V2_I1"/>
    <n v="15"/>
    <x v="2"/>
    <x v="1"/>
    <x v="2"/>
    <x v="1"/>
    <n v="43341.7"/>
    <n v="42137.305735571303"/>
    <n v="2.7788348505682001E-2"/>
    <n v="3600.89121341705"/>
    <s v="[]"/>
    <n v="198"/>
    <m/>
    <n v="3"/>
    <n v="6000"/>
    <n v="19800"/>
    <n v="10877"/>
    <n v="5067"/>
    <n v="2132.4"/>
    <n v="534.70000000000005"/>
    <n v="1597.7"/>
    <n v="764"/>
    <n v="0"/>
    <n v="1133"/>
    <n v="0"/>
    <m/>
    <m/>
    <m/>
    <m/>
    <m/>
    <m/>
  </r>
  <r>
    <s v="MVPRP_C35_P6_V3_I1"/>
    <n v="35"/>
    <x v="2"/>
    <x v="0"/>
    <x v="2"/>
    <x v="1"/>
    <n v="75781.2"/>
    <n v="74786.352613219104"/>
    <n v="1.3127891703759701E-2"/>
    <n v="3605.5364844799001"/>
    <s v="[]"/>
    <n v="276"/>
    <m/>
    <n v="3"/>
    <n v="6000"/>
    <n v="42900"/>
    <n v="18687"/>
    <n v="7844"/>
    <n v="429.900000000001"/>
    <n v="79.7"/>
    <n v="350.20000000000101"/>
    <n v="1595"/>
    <n v="0"/>
    <n v="456"/>
    <n v="0"/>
    <m/>
    <m/>
    <m/>
    <m/>
    <m/>
    <m/>
  </r>
  <r>
    <s v="MVPRP_C25_P3_V3_I1"/>
    <n v="25"/>
    <x v="1"/>
    <x v="0"/>
    <x v="2"/>
    <x v="0"/>
    <n v="26269"/>
    <n v="26269"/>
    <n v="0"/>
    <n v="121.00718545913701"/>
    <s v="[]"/>
    <n v="189"/>
    <m/>
    <n v="3"/>
    <n v="3000"/>
    <n v="14340"/>
    <n v="5405"/>
    <n v="3524"/>
    <n v="0"/>
    <n v="0"/>
    <n v="0"/>
    <n v="63"/>
    <n v="0"/>
    <n v="42"/>
    <n v="0"/>
    <m/>
    <m/>
    <m/>
    <m/>
    <m/>
    <m/>
  </r>
  <r>
    <s v="MVPRP_C10_P6_V3_I1"/>
    <n v="10"/>
    <x v="2"/>
    <x v="0"/>
    <x v="2"/>
    <x v="0"/>
    <n v="29940"/>
    <n v="29940"/>
    <n v="0"/>
    <n v="10.1968817710876"/>
    <s v="[]"/>
    <n v="132"/>
    <m/>
    <n v="3"/>
    <n v="6000"/>
    <n v="12690"/>
    <n v="7572"/>
    <n v="3678"/>
    <n v="0"/>
    <n v="0"/>
    <n v="0"/>
    <n v="53"/>
    <n v="0"/>
    <n v="14"/>
    <n v="0"/>
    <m/>
    <m/>
    <m/>
    <m/>
    <m/>
    <m/>
  </r>
  <r>
    <s v="MVPRP_C35_P3_V3_I1"/>
    <n v="35"/>
    <x v="1"/>
    <x v="0"/>
    <x v="2"/>
    <x v="0"/>
    <n v="35503"/>
    <n v="35503"/>
    <n v="0"/>
    <n v="431.32239484786999"/>
    <s v="[]"/>
    <n v="276"/>
    <m/>
    <n v="3"/>
    <n v="3000"/>
    <n v="21600"/>
    <n v="6964"/>
    <n v="3939"/>
    <n v="0"/>
    <n v="0"/>
    <n v="0"/>
    <n v="260"/>
    <n v="0"/>
    <n v="189"/>
    <n v="0"/>
    <m/>
    <m/>
    <m/>
    <m/>
    <m/>
    <m/>
  </r>
  <r>
    <s v="MVPRP_C50_P3_V3_I1"/>
    <n v="50"/>
    <x v="1"/>
    <x v="0"/>
    <x v="2"/>
    <x v="1"/>
    <n v="47819"/>
    <n v="46730.9625691377"/>
    <n v="2.2753245171632502E-2"/>
    <n v="3602.0288889408098"/>
    <s v="[]"/>
    <n v="360"/>
    <m/>
    <n v="3"/>
    <n v="3000"/>
    <n v="29580"/>
    <n v="10124"/>
    <n v="5115"/>
    <n v="0"/>
    <n v="0"/>
    <n v="0"/>
    <n v="1072"/>
    <n v="0"/>
    <n v="1199"/>
    <n v="0"/>
    <m/>
    <m/>
    <m/>
    <m/>
    <m/>
    <m/>
  </r>
  <r>
    <s v="MVPRP_C30_P6_V3_I1"/>
    <n v="30"/>
    <x v="2"/>
    <x v="0"/>
    <x v="2"/>
    <x v="1"/>
    <n v="61769.3"/>
    <n v="61204.720722223799"/>
    <n v="9.1401275030829603E-3"/>
    <n v="3602.3533334732101"/>
    <s v="[]"/>
    <n v="228"/>
    <m/>
    <n v="3"/>
    <n v="6000"/>
    <n v="33150"/>
    <n v="16445"/>
    <n v="5771"/>
    <n v="492.9"/>
    <n v="89.6"/>
    <n v="403.3"/>
    <n v="1561"/>
    <n v="0"/>
    <n v="636"/>
    <n v="0"/>
    <m/>
    <m/>
    <m/>
    <m/>
    <m/>
    <m/>
  </r>
  <r>
    <s v="MVPRP_C30_P6_V4_I1"/>
    <n v="30"/>
    <x v="2"/>
    <x v="2"/>
    <x v="2"/>
    <x v="1"/>
    <n v="62234.099831407599"/>
    <n v="61607.548572870197"/>
    <n v="1.0067651982350099E-2"/>
    <n v="3600.1999900341002"/>
    <s v="[]"/>
    <n v="171"/>
    <m/>
    <n v="3"/>
    <n v="6000"/>
    <n v="33150"/>
    <n v="15758"/>
    <n v="7294"/>
    <n v="54.899898188873301"/>
    <n v="22.800066781237501"/>
    <n v="32.099831407635797"/>
    <n v="1741"/>
    <n v="0"/>
    <n v="333"/>
    <n v="0"/>
    <m/>
    <m/>
    <m/>
    <m/>
    <m/>
    <m/>
  </r>
  <r>
    <s v="MVPRP_C25_P9_V3_I1"/>
    <n v="25"/>
    <x v="0"/>
    <x v="0"/>
    <x v="2"/>
    <x v="1"/>
    <n v="102500.4999888"/>
    <n v="100508.666869379"/>
    <n v="1.9432423448071001E-2"/>
    <n v="3602.94170713425"/>
    <s v="[]"/>
    <n v="189"/>
    <m/>
    <n v="3"/>
    <n v="9000"/>
    <n v="59880"/>
    <n v="20656"/>
    <n v="11220.000000145599"/>
    <n v="2329.7999812500002"/>
    <n v="585.29999259557201"/>
    <n v="1744.4999886544299"/>
    <n v="2103"/>
    <n v="0"/>
    <n v="260"/>
    <n v="0"/>
    <m/>
    <m/>
    <m/>
    <m/>
    <m/>
    <m/>
  </r>
  <r>
    <s v="MVPRP_C20_P6_V2_I1"/>
    <n v="20"/>
    <x v="2"/>
    <x v="1"/>
    <x v="2"/>
    <x v="1"/>
    <n v="49276.699981350001"/>
    <n v="47860.486993590603"/>
    <n v="2.8740012790941301E-2"/>
    <n v="3602.7101559639"/>
    <s v="[]"/>
    <n v="283"/>
    <m/>
    <n v="3"/>
    <n v="6000"/>
    <n v="23820"/>
    <n v="12905"/>
    <n v="4842.0000573635898"/>
    <n v="2193.8999162999999"/>
    <n v="484.19999231359498"/>
    <n v="1709.6999239864101"/>
    <n v="822"/>
    <n v="0"/>
    <n v="3296"/>
    <n v="0"/>
    <m/>
    <m/>
    <m/>
    <m/>
    <m/>
    <m/>
  </r>
  <r>
    <s v="MVPRP_C15_P6_V3_I1"/>
    <n v="15"/>
    <x v="2"/>
    <x v="0"/>
    <x v="2"/>
    <x v="0"/>
    <n v="42282.199867142001"/>
    <n v="42282.199867142001"/>
    <n v="0"/>
    <n v="177.28049039840701"/>
    <s v="[]"/>
    <n v="132"/>
    <m/>
    <n v="3"/>
    <n v="6000"/>
    <n v="19800"/>
    <n v="11075"/>
    <n v="5325"/>
    <n v="150.29982834782399"/>
    <n v="68.099961205796603"/>
    <n v="82.199867142027401"/>
    <n v="260"/>
    <n v="0"/>
    <n v="39"/>
    <n v="0"/>
    <m/>
    <m/>
    <m/>
    <m/>
    <m/>
    <m/>
  </r>
  <r>
    <s v="MVPRP_C15_P3_V3_I1"/>
    <n v="15"/>
    <x v="1"/>
    <x v="0"/>
    <x v="2"/>
    <x v="0"/>
    <n v="19687"/>
    <n v="19687"/>
    <n v="0"/>
    <n v="15.240428686142"/>
    <s v="[]"/>
    <n v="132"/>
    <m/>
    <n v="3"/>
    <n v="3000"/>
    <n v="9960"/>
    <n v="3896"/>
    <n v="2824"/>
    <n v="21.000000000000099"/>
    <n v="14"/>
    <n v="7.0000000000001101"/>
    <n v="197"/>
    <n v="0"/>
    <n v="23"/>
    <n v="0"/>
    <m/>
    <m/>
    <m/>
    <m/>
    <m/>
    <m/>
  </r>
  <r>
    <s v="MVPRP_C25_P9_V2_I1"/>
    <n v="25"/>
    <x v="0"/>
    <x v="1"/>
    <x v="2"/>
    <x v="1"/>
    <n v="106987.6"/>
    <n v="100145.273763308"/>
    <n v="6.3954385710984302E-2"/>
    <n v="3602.4596095085099"/>
    <s v="[]"/>
    <n v="283"/>
    <m/>
    <n v="3"/>
    <n v="9000"/>
    <n v="59880"/>
    <n v="20926"/>
    <n v="10615"/>
    <n v="8226.2999999999993"/>
    <n v="1659.7"/>
    <n v="6566.6"/>
    <n v="1296"/>
    <n v="0"/>
    <n v="3033"/>
    <n v="0"/>
    <m/>
    <m/>
    <m/>
    <m/>
    <m/>
    <m/>
  </r>
  <r>
    <s v="MVPRP_C35_P3_V4_I1"/>
    <n v="35"/>
    <x v="1"/>
    <x v="2"/>
    <x v="2"/>
    <x v="0"/>
    <n v="35854"/>
    <n v="35853.782782048896"/>
    <n v="6.0584021604246503E-6"/>
    <n v="2019.16862368584"/>
    <s v="[]"/>
    <n v="207"/>
    <m/>
    <n v="3"/>
    <n v="3000"/>
    <n v="21600"/>
    <n v="6531"/>
    <n v="4723"/>
    <n v="0"/>
    <n v="0"/>
    <n v="0"/>
    <n v="682"/>
    <n v="0"/>
    <n v="181"/>
    <n v="0"/>
    <m/>
    <m/>
    <m/>
    <m/>
    <m/>
    <m/>
  </r>
  <r>
    <s v="MVPRP_C25_P3_V2_I1"/>
    <n v="25"/>
    <x v="1"/>
    <x v="1"/>
    <x v="2"/>
    <x v="1"/>
    <n v="27643.200000000001"/>
    <n v="26372.2209100092"/>
    <n v="4.5978001461145702E-2"/>
    <n v="3601.3317141532898"/>
    <s v="[]"/>
    <n v="283"/>
    <m/>
    <n v="3"/>
    <n v="3000"/>
    <n v="14340"/>
    <n v="5901"/>
    <n v="2865"/>
    <n v="1823.7"/>
    <n v="286.5"/>
    <n v="1537.2"/>
    <n v="516"/>
    <n v="0"/>
    <n v="7296"/>
    <n v="0"/>
    <m/>
    <m/>
    <m/>
    <m/>
    <m/>
    <m/>
  </r>
  <r>
    <s v="MVPRP_C20_P9_V3_I1"/>
    <n v="20"/>
    <x v="0"/>
    <x v="0"/>
    <x v="2"/>
    <x v="1"/>
    <n v="83219.099774922302"/>
    <n v="82765.358873147605"/>
    <n v="5.4523649378796901E-3"/>
    <n v="3600.1061892509501"/>
    <s v="[]"/>
    <n v="189"/>
    <m/>
    <n v="3"/>
    <n v="9000"/>
    <n v="48120"/>
    <n v="15253"/>
    <n v="10320"/>
    <n v="786.599669736441"/>
    <n v="260.49989481414599"/>
    <n v="526.09977492229598"/>
    <n v="830"/>
    <n v="0"/>
    <n v="156"/>
    <n v="0"/>
    <m/>
    <m/>
    <m/>
    <m/>
    <m/>
    <m/>
  </r>
  <r>
    <s v="MVPRP_C40_P6_V4_I1"/>
    <n v="40"/>
    <x v="2"/>
    <x v="2"/>
    <x v="2"/>
    <x v="1"/>
    <n v="101747.3"/>
    <n v="96437.347775296294"/>
    <n v="5.2187647482574498E-2"/>
    <n v="3601.0539298057602"/>
    <s v="[]"/>
    <n v="270"/>
    <m/>
    <n v="3"/>
    <n v="6000"/>
    <n v="55170"/>
    <n v="29098"/>
    <n v="11135"/>
    <n v="468.3"/>
    <n v="124"/>
    <n v="344.3"/>
    <n v="1882"/>
    <n v="0"/>
    <n v="1335"/>
    <n v="0"/>
    <m/>
    <m/>
    <m/>
    <m/>
    <m/>
    <m/>
  </r>
  <r>
    <s v="MVPRP_C30_P9_V3_I1"/>
    <n v="30"/>
    <x v="0"/>
    <x v="0"/>
    <x v="2"/>
    <x v="1"/>
    <n v="118623.5"/>
    <n v="109536.309917355"/>
    <n v="7.6605310774384899E-2"/>
    <n v="3613.1220371723198"/>
    <s v="[]"/>
    <n v="228"/>
    <m/>
    <n v="3"/>
    <n v="12000"/>
    <n v="67710"/>
    <n v="25563"/>
    <n v="11867"/>
    <n v="1999.5"/>
    <n v="516"/>
    <n v="1483.5"/>
    <n v="2410"/>
    <n v="0"/>
    <n v="1215"/>
    <n v="0"/>
    <m/>
    <m/>
    <m/>
    <m/>
    <m/>
    <m/>
  </r>
  <r>
    <s v="MVPRP_C25_P6_V2_I1"/>
    <n v="25"/>
    <x v="2"/>
    <x v="1"/>
    <x v="2"/>
    <x v="1"/>
    <n v="59110.8"/>
    <n v="57090.784477235597"/>
    <n v="3.4173374793851498E-2"/>
    <n v="3604.51747965813"/>
    <s v="[]"/>
    <n v="283"/>
    <m/>
    <n v="3"/>
    <n v="6000"/>
    <n v="28380"/>
    <n v="17037"/>
    <n v="5582"/>
    <n v="2670"/>
    <n v="558.20000000000005"/>
    <n v="2111.8000000000002"/>
    <n v="1113"/>
    <n v="0"/>
    <n v="4794"/>
    <n v="0"/>
    <m/>
    <m/>
    <m/>
    <m/>
    <m/>
    <m/>
  </r>
  <r>
    <s v="MVPRP_C10_P9_V3_I1"/>
    <n v="10"/>
    <x v="0"/>
    <x v="0"/>
    <x v="2"/>
    <x v="0"/>
    <n v="52070.599859785798"/>
    <n v="52066.0824331767"/>
    <n v="8.6755801186373205E-5"/>
    <n v="2824.7591290473902"/>
    <s v="[]"/>
    <n v="132"/>
    <m/>
    <n v="3"/>
    <n v="9000"/>
    <n v="26370"/>
    <n v="9790"/>
    <n v="6581"/>
    <n v="476.99981364898798"/>
    <n v="147.39995386323901"/>
    <n v="329.59985978575003"/>
    <n v="281"/>
    <n v="0"/>
    <n v="22"/>
    <n v="0"/>
    <m/>
    <m/>
    <m/>
    <m/>
    <m/>
    <m/>
  </r>
  <r>
    <s v="MVPRP_C20_P9_V2_I1"/>
    <n v="20"/>
    <x v="0"/>
    <x v="1"/>
    <x v="2"/>
    <x v="1"/>
    <n v="87104"/>
    <n v="82506.194051709899"/>
    <n v="5.2785244630442901E-2"/>
    <n v="3606.7503988742801"/>
    <s v="[]"/>
    <n v="283"/>
    <m/>
    <n v="3"/>
    <n v="9000"/>
    <n v="48120"/>
    <n v="17069"/>
    <n v="8278"/>
    <n v="5803.2"/>
    <n v="1166.2"/>
    <n v="4637"/>
    <n v="1097"/>
    <n v="0"/>
    <n v="3775"/>
    <n v="0"/>
    <m/>
    <m/>
    <m/>
    <m/>
    <m/>
    <m/>
  </r>
  <r>
    <s v="MVPRP_C30_P3_V3_I1"/>
    <n v="30"/>
    <x v="1"/>
    <x v="0"/>
    <x v="2"/>
    <x v="0"/>
    <n v="28872"/>
    <n v="28872"/>
    <n v="0"/>
    <n v="90.209461927413898"/>
    <s v="[]"/>
    <n v="228"/>
    <m/>
    <n v="3"/>
    <n v="3000"/>
    <n v="16680"/>
    <n v="5721"/>
    <n v="3471"/>
    <n v="0"/>
    <n v="0"/>
    <n v="0"/>
    <n v="208"/>
    <n v="0"/>
    <n v="86"/>
    <n v="0"/>
    <m/>
    <m/>
    <m/>
    <m/>
    <m/>
    <m/>
  </r>
  <r>
    <s v="MVPRP_C50_P3_V4_I1"/>
    <n v="50"/>
    <x v="1"/>
    <x v="2"/>
    <x v="2"/>
    <x v="1"/>
    <n v="47624"/>
    <n v="46982.604110295499"/>
    <n v="1.3467913020841099E-2"/>
    <n v="3602.2696363925902"/>
    <s v="[]"/>
    <n v="270"/>
    <m/>
    <n v="3"/>
    <n v="6000"/>
    <n v="29580"/>
    <n v="5945"/>
    <n v="6099"/>
    <n v="0"/>
    <n v="0"/>
    <n v="0"/>
    <n v="1323"/>
    <n v="0"/>
    <n v="1062"/>
    <n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0C9793-815B-4BE1-9C1B-7C8D34549380}" name="PivotTable1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E5" firstHeaderRow="0" firstDataRow="1" firstDataCol="1"/>
  <pivotFields count="31">
    <pivotField showAll="0"/>
    <pivotField showAll="0"/>
    <pivotField showAll="0"/>
    <pivotField showAll="0"/>
    <pivotField axis="axisRow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 v="3"/>
    </i>
    <i>
      <x v="4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ObjVal" fld="6" subtotal="average" baseField="4" baseItem="0"/>
    <dataField name="Average of ObjBound" fld="7" subtotal="average" baseField="4" baseItem="0"/>
    <dataField name="Average of Gap" fld="8" subtotal="average" baseField="4" baseItem="0" numFmtId="10"/>
    <dataField name="Average of runtime" fld="9" subtotal="average" baseField="4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C79E47-51F7-4905-AB7D-2327F387F9A5}" name="PivotTable2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K16" firstHeaderRow="1" firstDataRow="3" firstDataCol="1"/>
  <pivotFields count="31">
    <pivotField showAll="0"/>
    <pivotField showAll="0"/>
    <pivotField axis="axisRow" showAll="0">
      <items count="4">
        <item x="1"/>
        <item x="2"/>
        <item x="0"/>
        <item t="default"/>
      </items>
    </pivotField>
    <pivotField axis="axisRow" showAll="0">
      <items count="4">
        <item x="1"/>
        <item x="0"/>
        <item x="2"/>
        <item t="default"/>
      </items>
    </pivotField>
    <pivotField axis="axisCol" showAll="0">
      <items count="7">
        <item m="1" x="4"/>
        <item m="1" x="5"/>
        <item m="1" x="3"/>
        <item x="0"/>
        <item x="1"/>
        <item x="2"/>
        <item t="default"/>
      </items>
    </pivotField>
    <pivotField axis="axisCol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2"/>
  </rowFields>
  <rowItems count="1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2">
    <field x="4"/>
    <field x="5"/>
  </colFields>
  <colItems count="10">
    <i>
      <x v="3"/>
      <x/>
    </i>
    <i r="1">
      <x v="1"/>
    </i>
    <i t="default">
      <x v="3"/>
    </i>
    <i>
      <x v="4"/>
      <x/>
    </i>
    <i r="1">
      <x v="1"/>
    </i>
    <i t="default">
      <x v="4"/>
    </i>
    <i>
      <x v="5"/>
      <x/>
    </i>
    <i r="1">
      <x v="1"/>
    </i>
    <i t="default">
      <x v="5"/>
    </i>
    <i t="grand">
      <x/>
    </i>
  </colItems>
  <dataFields count="1">
    <dataField name="Count of status" fld="5" subtotal="count" baseField="0" baseItem="0"/>
  </dataFields>
  <chartFormats count="16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</references>
      </pivotArea>
    </chartFormat>
    <chartFormat chart="0" format="12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</references>
      </pivotArea>
    </chartFormat>
    <chartFormat chart="0" format="14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4"/>
          </reference>
          <reference field="5" count="1" selected="0">
            <x v="0"/>
          </reference>
        </references>
      </pivotArea>
    </chartFormat>
    <chartFormat chart="0" format="15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4"/>
          </reference>
          <reference field="5" count="1" selected="0">
            <x v="1"/>
          </reference>
        </references>
      </pivotArea>
    </chartFormat>
    <chartFormat chart="0" format="16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</references>
      </pivotArea>
    </chartFormat>
    <chartFormat chart="0" format="17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5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290156-2E73-4CAD-9D6F-5E3BEF249416}" name="PivotTable3" cacheId="13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1">
  <location ref="A1:M16" firstHeaderRow="1" firstDataRow="3" firstDataCol="1"/>
  <pivotFields count="31">
    <pivotField showAll="0"/>
    <pivotField showAll="0"/>
    <pivotField axis="axisRow" showAll="0">
      <items count="4">
        <item x="1"/>
        <item x="2"/>
        <item x="0"/>
        <item t="default"/>
      </items>
    </pivotField>
    <pivotField axis="axisRow" showAll="0">
      <items count="4">
        <item x="1"/>
        <item x="0"/>
        <item x="2"/>
        <item t="default"/>
      </items>
    </pivotField>
    <pivotField axis="axisCol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2"/>
  </rowFields>
  <rowItems count="1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2">
    <field x="4"/>
    <field x="-2"/>
  </colFields>
  <colItems count="12">
    <i>
      <x v="3"/>
      <x/>
    </i>
    <i r="1" i="1">
      <x v="1"/>
    </i>
    <i r="1" i="2">
      <x v="2"/>
    </i>
    <i r="1" i="3">
      <x v="3"/>
    </i>
    <i>
      <x v="4"/>
      <x/>
    </i>
    <i r="1" i="1">
      <x v="1"/>
    </i>
    <i r="1" i="2">
      <x v="2"/>
    </i>
    <i r="1" i="3">
      <x v="3"/>
    </i>
    <i>
      <x v="5"/>
      <x/>
    </i>
    <i r="1" i="1">
      <x v="1"/>
    </i>
    <i r="1" i="2">
      <x v="2"/>
    </i>
    <i r="1" i="3">
      <x v="3"/>
    </i>
  </colItems>
  <dataFields count="4">
    <dataField name="Average of ObjVal" fld="6" subtotal="average" baseField="3" baseItem="0"/>
    <dataField name="Average of ObjBound" fld="7" subtotal="average" baseField="3" baseItem="0"/>
    <dataField name="Average of Gap" fld="8" subtotal="average" baseField="3" baseItem="0" numFmtId="10"/>
    <dataField name="Average of runtime" fld="9" subtotal="average" baseField="3" baseItem="0"/>
  </dataFields>
  <formats count="6">
    <format dxfId="11">
      <pivotArea outline="0" collapsedLevelsAreSubtotals="1" fieldPosition="0">
        <references count="2">
          <reference field="4294967294" count="2" selected="0">
            <x v="0"/>
            <x v="1"/>
          </reference>
          <reference field="4" count="1" selected="0">
            <x v="0"/>
          </reference>
        </references>
      </pivotArea>
    </format>
    <format dxfId="10">
      <pivotArea outline="0" collapsedLevelsAreSubtotals="1" fieldPosition="0">
        <references count="2">
          <reference field="4294967294" count="1" selected="0">
            <x v="3"/>
          </reference>
          <reference field="4" count="1" selected="0">
            <x v="0"/>
          </reference>
        </references>
      </pivotArea>
    </format>
    <format dxfId="9">
      <pivotArea outline="0" collapsedLevelsAreSubtotals="1" fieldPosition="0">
        <references count="2">
          <reference field="4294967294" count="2" selected="0">
            <x v="0"/>
            <x v="1"/>
          </reference>
          <reference field="4" count="1" selected="0">
            <x v="1"/>
          </reference>
        </references>
      </pivotArea>
    </format>
    <format dxfId="8">
      <pivotArea outline="0" collapsedLevelsAreSubtotals="1" fieldPosition="0">
        <references count="2">
          <reference field="4294967294" count="1" selected="0">
            <x v="3"/>
          </reference>
          <reference field="4" count="1" selected="0">
            <x v="1"/>
          </reference>
        </references>
      </pivotArea>
    </format>
    <format dxfId="7">
      <pivotArea outline="0" collapsedLevelsAreSubtotals="1" fieldPosition="0">
        <references count="2">
          <reference field="4294967294" count="2" selected="0">
            <x v="0"/>
            <x v="1"/>
          </reference>
          <reference field="4" count="1" selected="0">
            <x v="2"/>
          </reference>
        </references>
      </pivotArea>
    </format>
    <format dxfId="6">
      <pivotArea outline="0" collapsedLevelsAreSubtotals="1" fieldPosition="0">
        <references count="2">
          <reference field="4294967294" count="1" selected="0">
            <x v="3"/>
          </reference>
          <reference field="4" count="1" selected="0">
            <x v="2"/>
          </reference>
        </references>
      </pivotArea>
    </format>
  </formats>
  <chartFormats count="27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2"/>
          </reference>
          <reference field="4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3"/>
          </reference>
          <reference field="4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2"/>
          </reference>
          <reference field="4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3"/>
          </reference>
          <reference field="4" count="1" selected="0">
            <x v="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2"/>
          </reference>
          <reference field="4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3"/>
          </reference>
          <reference field="4" count="1" selected="0">
            <x v="1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3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2"/>
          </reference>
          <reference field="4" count="1" selected="0">
            <x v="3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3"/>
          </reference>
          <reference field="4" count="1" selected="0">
            <x v="3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4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2"/>
          </reference>
          <reference field="4" count="1" selected="0">
            <x v="4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3"/>
          </reference>
          <reference field="4" count="1" selected="0">
            <x v="4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5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2"/>
          </reference>
          <reference field="4" count="1" selected="0">
            <x v="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3"/>
          </reference>
          <reference field="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604A-39AF-4524-AE5C-CD012679715A}">
  <dimension ref="A1:E5"/>
  <sheetViews>
    <sheetView workbookViewId="0">
      <selection activeCell="C4" sqref="C4"/>
    </sheetView>
  </sheetViews>
  <sheetFormatPr baseColWidth="10" defaultColWidth="8.88671875" defaultRowHeight="13.2" x14ac:dyDescent="0.25"/>
  <cols>
    <col min="1" max="1" width="21.44140625" bestFit="1" customWidth="1"/>
    <col min="2" max="2" width="16.6640625" bestFit="1" customWidth="1"/>
    <col min="3" max="3" width="19.77734375" bestFit="1" customWidth="1"/>
    <col min="4" max="4" width="14.44140625" bestFit="1" customWidth="1"/>
    <col min="5" max="5" width="17.6640625" bestFit="1" customWidth="1"/>
  </cols>
  <sheetData>
    <row r="1" spans="1:5" x14ac:dyDescent="0.25">
      <c r="A1" s="1" t="s">
        <v>130</v>
      </c>
      <c r="B1" t="s">
        <v>110</v>
      </c>
      <c r="C1" t="s">
        <v>111</v>
      </c>
      <c r="D1" t="s">
        <v>112</v>
      </c>
      <c r="E1" t="s">
        <v>113</v>
      </c>
    </row>
    <row r="2" spans="1:5" x14ac:dyDescent="0.25">
      <c r="A2" s="2" t="s">
        <v>127</v>
      </c>
      <c r="B2" s="5">
        <v>54104.542832488492</v>
      </c>
      <c r="C2" s="5">
        <v>54012.506560758142</v>
      </c>
      <c r="D2" s="3">
        <v>1.0737458520195104E-3</v>
      </c>
      <c r="E2" s="5">
        <v>986.17496224812101</v>
      </c>
    </row>
    <row r="3" spans="1:5" x14ac:dyDescent="0.25">
      <c r="A3" s="2" t="s">
        <v>128</v>
      </c>
      <c r="B3" s="5">
        <v>54362.16425722983</v>
      </c>
      <c r="C3" s="5">
        <v>53609.582437531702</v>
      </c>
      <c r="D3" s="3">
        <v>8.7525045064489344E-3</v>
      </c>
      <c r="E3" s="5">
        <v>1960.2069382383711</v>
      </c>
    </row>
    <row r="4" spans="1:5" x14ac:dyDescent="0.25">
      <c r="A4" s="2" t="s">
        <v>129</v>
      </c>
      <c r="B4" s="5">
        <v>54629.964216325832</v>
      </c>
      <c r="C4" s="5">
        <v>53247.310672637388</v>
      </c>
      <c r="D4" s="3">
        <v>1.8120313566579511E-2</v>
      </c>
      <c r="E4" s="5">
        <v>2496.528335026333</v>
      </c>
    </row>
    <row r="5" spans="1:5" x14ac:dyDescent="0.25">
      <c r="A5" s="2" t="s">
        <v>115</v>
      </c>
      <c r="B5" s="5">
        <v>54365.557102014725</v>
      </c>
      <c r="C5" s="5">
        <v>53623.13322364242</v>
      </c>
      <c r="D5" s="3">
        <v>9.3155213083493185E-3</v>
      </c>
      <c r="E5" s="5">
        <v>1814.3034118376079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732C0-235D-4CF7-936A-877E9CB3C18E}">
  <dimension ref="A1:K16"/>
  <sheetViews>
    <sheetView workbookViewId="0">
      <selection activeCell="I10" sqref="I10"/>
    </sheetView>
  </sheetViews>
  <sheetFormatPr baseColWidth="10" defaultColWidth="8.88671875" defaultRowHeight="13.2" x14ac:dyDescent="0.25"/>
  <cols>
    <col min="1" max="1" width="21.44140625" bestFit="1" customWidth="1"/>
    <col min="2" max="2" width="23" bestFit="1" customWidth="1"/>
    <col min="3" max="3" width="10.77734375" bestFit="1" customWidth="1"/>
    <col min="4" max="4" width="16.21875" bestFit="1" customWidth="1"/>
    <col min="5" max="5" width="10.21875" bestFit="1" customWidth="1"/>
    <col min="6" max="6" width="10.77734375" bestFit="1" customWidth="1"/>
    <col min="7" max="7" width="16.77734375" bestFit="1" customWidth="1"/>
    <col min="8" max="8" width="9" bestFit="1" customWidth="1"/>
    <col min="9" max="9" width="10.77734375" bestFit="1" customWidth="1"/>
    <col min="10" max="10" width="11.6640625" bestFit="1" customWidth="1"/>
    <col min="11" max="11" width="15.21875" bestFit="1" customWidth="1"/>
  </cols>
  <sheetData>
    <row r="1" spans="1:11" x14ac:dyDescent="0.25">
      <c r="A1" s="1" t="s">
        <v>114</v>
      </c>
      <c r="B1" s="1" t="s">
        <v>116</v>
      </c>
    </row>
    <row r="2" spans="1:11" x14ac:dyDescent="0.25">
      <c r="B2" t="s">
        <v>127</v>
      </c>
      <c r="D2" t="s">
        <v>131</v>
      </c>
      <c r="E2" t="s">
        <v>128</v>
      </c>
      <c r="G2" t="s">
        <v>132</v>
      </c>
      <c r="H2" t="s">
        <v>129</v>
      </c>
      <c r="J2" t="s">
        <v>133</v>
      </c>
      <c r="K2" t="s">
        <v>115</v>
      </c>
    </row>
    <row r="3" spans="1:11" x14ac:dyDescent="0.25">
      <c r="A3" s="1" t="s">
        <v>130</v>
      </c>
      <c r="B3" t="s">
        <v>18</v>
      </c>
      <c r="C3" t="s">
        <v>37</v>
      </c>
      <c r="E3" t="s">
        <v>18</v>
      </c>
      <c r="F3" t="s">
        <v>37</v>
      </c>
      <c r="H3" t="s">
        <v>18</v>
      </c>
      <c r="I3" t="s">
        <v>37</v>
      </c>
    </row>
    <row r="4" spans="1:11" x14ac:dyDescent="0.25">
      <c r="A4" s="2">
        <v>2</v>
      </c>
      <c r="B4" s="5">
        <v>12</v>
      </c>
      <c r="C4" s="5"/>
      <c r="D4" s="5">
        <v>12</v>
      </c>
      <c r="E4" s="5">
        <v>9</v>
      </c>
      <c r="F4" s="5">
        <v>3</v>
      </c>
      <c r="G4" s="5">
        <v>12</v>
      </c>
      <c r="H4" s="5">
        <v>2</v>
      </c>
      <c r="I4" s="5">
        <v>10</v>
      </c>
      <c r="J4" s="5">
        <v>12</v>
      </c>
      <c r="K4" s="5">
        <v>36</v>
      </c>
    </row>
    <row r="5" spans="1:11" x14ac:dyDescent="0.25">
      <c r="A5" s="4">
        <v>3</v>
      </c>
      <c r="B5" s="5">
        <v>4</v>
      </c>
      <c r="C5" s="5"/>
      <c r="D5" s="5">
        <v>4</v>
      </c>
      <c r="E5" s="5">
        <v>4</v>
      </c>
      <c r="F5" s="5"/>
      <c r="G5" s="5">
        <v>4</v>
      </c>
      <c r="H5" s="5">
        <v>1</v>
      </c>
      <c r="I5" s="5">
        <v>3</v>
      </c>
      <c r="J5" s="5">
        <v>4</v>
      </c>
      <c r="K5" s="5">
        <v>12</v>
      </c>
    </row>
    <row r="6" spans="1:11" x14ac:dyDescent="0.25">
      <c r="A6" s="4">
        <v>6</v>
      </c>
      <c r="B6" s="5">
        <v>4</v>
      </c>
      <c r="C6" s="5"/>
      <c r="D6" s="5">
        <v>4</v>
      </c>
      <c r="E6" s="5">
        <v>4</v>
      </c>
      <c r="F6" s="5"/>
      <c r="G6" s="5">
        <v>4</v>
      </c>
      <c r="H6" s="5">
        <v>1</v>
      </c>
      <c r="I6" s="5">
        <v>3</v>
      </c>
      <c r="J6" s="5">
        <v>4</v>
      </c>
      <c r="K6" s="5">
        <v>12</v>
      </c>
    </row>
    <row r="7" spans="1:11" x14ac:dyDescent="0.25">
      <c r="A7" s="4">
        <v>9</v>
      </c>
      <c r="B7" s="5">
        <v>4</v>
      </c>
      <c r="C7" s="5"/>
      <c r="D7" s="5">
        <v>4</v>
      </c>
      <c r="E7" s="5">
        <v>1</v>
      </c>
      <c r="F7" s="5">
        <v>3</v>
      </c>
      <c r="G7" s="5">
        <v>4</v>
      </c>
      <c r="H7" s="5"/>
      <c r="I7" s="5">
        <v>4</v>
      </c>
      <c r="J7" s="5">
        <v>4</v>
      </c>
      <c r="K7" s="5">
        <v>12</v>
      </c>
    </row>
    <row r="8" spans="1:11" x14ac:dyDescent="0.25">
      <c r="A8" s="2">
        <v>3</v>
      </c>
      <c r="B8" s="5">
        <v>19</v>
      </c>
      <c r="C8" s="5">
        <v>2</v>
      </c>
      <c r="D8" s="5">
        <v>21</v>
      </c>
      <c r="E8" s="5">
        <v>9</v>
      </c>
      <c r="F8" s="5">
        <v>12</v>
      </c>
      <c r="G8" s="5">
        <v>21</v>
      </c>
      <c r="H8" s="5">
        <v>10</v>
      </c>
      <c r="I8" s="5">
        <v>11</v>
      </c>
      <c r="J8" s="5">
        <v>21</v>
      </c>
      <c r="K8" s="5">
        <v>63</v>
      </c>
    </row>
    <row r="9" spans="1:11" x14ac:dyDescent="0.25">
      <c r="A9" s="4">
        <v>3</v>
      </c>
      <c r="B9" s="5">
        <v>9</v>
      </c>
      <c r="C9" s="5"/>
      <c r="D9" s="5">
        <v>9</v>
      </c>
      <c r="E9" s="5">
        <v>6</v>
      </c>
      <c r="F9" s="5">
        <v>3</v>
      </c>
      <c r="G9" s="5">
        <v>9</v>
      </c>
      <c r="H9" s="5">
        <v>6</v>
      </c>
      <c r="I9" s="5">
        <v>3</v>
      </c>
      <c r="J9" s="5">
        <v>9</v>
      </c>
      <c r="K9" s="5">
        <v>27</v>
      </c>
    </row>
    <row r="10" spans="1:11" x14ac:dyDescent="0.25">
      <c r="A10" s="4">
        <v>6</v>
      </c>
      <c r="B10" s="5">
        <v>6</v>
      </c>
      <c r="C10" s="5">
        <v>1</v>
      </c>
      <c r="D10" s="5">
        <v>7</v>
      </c>
      <c r="E10" s="5">
        <v>3</v>
      </c>
      <c r="F10" s="5">
        <v>4</v>
      </c>
      <c r="G10" s="5">
        <v>7</v>
      </c>
      <c r="H10" s="5">
        <v>3</v>
      </c>
      <c r="I10" s="5">
        <v>4</v>
      </c>
      <c r="J10" s="5">
        <v>7</v>
      </c>
      <c r="K10" s="5">
        <v>21</v>
      </c>
    </row>
    <row r="11" spans="1:11" x14ac:dyDescent="0.25">
      <c r="A11" s="4">
        <v>9</v>
      </c>
      <c r="B11" s="5">
        <v>4</v>
      </c>
      <c r="C11" s="5">
        <v>1</v>
      </c>
      <c r="D11" s="5">
        <v>5</v>
      </c>
      <c r="E11" s="5"/>
      <c r="F11" s="5">
        <v>5</v>
      </c>
      <c r="G11" s="5">
        <v>5</v>
      </c>
      <c r="H11" s="5">
        <v>1</v>
      </c>
      <c r="I11" s="5">
        <v>4</v>
      </c>
      <c r="J11" s="5">
        <v>5</v>
      </c>
      <c r="K11" s="5">
        <v>15</v>
      </c>
    </row>
    <row r="12" spans="1:11" x14ac:dyDescent="0.25">
      <c r="A12" s="2">
        <v>4</v>
      </c>
      <c r="B12" s="5">
        <v>3</v>
      </c>
      <c r="C12" s="5">
        <v>6</v>
      </c>
      <c r="D12" s="5">
        <v>9</v>
      </c>
      <c r="E12" s="5">
        <v>3</v>
      </c>
      <c r="F12" s="5">
        <v>6</v>
      </c>
      <c r="G12" s="5">
        <v>9</v>
      </c>
      <c r="H12" s="5">
        <v>3</v>
      </c>
      <c r="I12" s="5">
        <v>6</v>
      </c>
      <c r="J12" s="5">
        <v>9</v>
      </c>
      <c r="K12" s="5">
        <v>27</v>
      </c>
    </row>
    <row r="13" spans="1:11" x14ac:dyDescent="0.25">
      <c r="A13" s="4">
        <v>3</v>
      </c>
      <c r="B13" s="5">
        <v>3</v>
      </c>
      <c r="C13" s="5">
        <v>2</v>
      </c>
      <c r="D13" s="5">
        <v>5</v>
      </c>
      <c r="E13" s="5">
        <v>3</v>
      </c>
      <c r="F13" s="5">
        <v>2</v>
      </c>
      <c r="G13" s="5">
        <v>5</v>
      </c>
      <c r="H13" s="5">
        <v>3</v>
      </c>
      <c r="I13" s="5">
        <v>2</v>
      </c>
      <c r="J13" s="5">
        <v>5</v>
      </c>
      <c r="K13" s="5">
        <v>15</v>
      </c>
    </row>
    <row r="14" spans="1:11" x14ac:dyDescent="0.25">
      <c r="A14" s="4">
        <v>6</v>
      </c>
      <c r="B14" s="5"/>
      <c r="C14" s="5">
        <v>3</v>
      </c>
      <c r="D14" s="5">
        <v>3</v>
      </c>
      <c r="E14" s="5"/>
      <c r="F14" s="5">
        <v>3</v>
      </c>
      <c r="G14" s="5">
        <v>3</v>
      </c>
      <c r="H14" s="5"/>
      <c r="I14" s="5">
        <v>3</v>
      </c>
      <c r="J14" s="5">
        <v>3</v>
      </c>
      <c r="K14" s="5">
        <v>9</v>
      </c>
    </row>
    <row r="15" spans="1:11" x14ac:dyDescent="0.25">
      <c r="A15" s="4">
        <v>9</v>
      </c>
      <c r="B15" s="5"/>
      <c r="C15" s="5">
        <v>1</v>
      </c>
      <c r="D15" s="5">
        <v>1</v>
      </c>
      <c r="E15" s="5"/>
      <c r="F15" s="5">
        <v>1</v>
      </c>
      <c r="G15" s="5">
        <v>1</v>
      </c>
      <c r="H15" s="5"/>
      <c r="I15" s="5">
        <v>1</v>
      </c>
      <c r="J15" s="5">
        <v>1</v>
      </c>
      <c r="K15" s="5">
        <v>3</v>
      </c>
    </row>
    <row r="16" spans="1:11" x14ac:dyDescent="0.25">
      <c r="A16" s="2" t="s">
        <v>115</v>
      </c>
      <c r="B16" s="5">
        <v>34</v>
      </c>
      <c r="C16" s="5">
        <v>8</v>
      </c>
      <c r="D16" s="5">
        <v>42</v>
      </c>
      <c r="E16" s="5">
        <v>21</v>
      </c>
      <c r="F16" s="5">
        <v>21</v>
      </c>
      <c r="G16" s="5">
        <v>42</v>
      </c>
      <c r="H16" s="5">
        <v>15</v>
      </c>
      <c r="I16" s="5">
        <v>27</v>
      </c>
      <c r="J16" s="5">
        <v>42</v>
      </c>
      <c r="K16" s="5">
        <v>126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E4113-D1C2-44CF-B898-E1D6D7BC625E}">
  <dimension ref="A1:M16"/>
  <sheetViews>
    <sheetView tabSelected="1" topLeftCell="A6" workbookViewId="0">
      <selection activeCell="E20" sqref="E20"/>
    </sheetView>
  </sheetViews>
  <sheetFormatPr baseColWidth="10" defaultColWidth="8.88671875" defaultRowHeight="13.2" x14ac:dyDescent="0.25"/>
  <cols>
    <col min="1" max="1" width="21.44140625" bestFit="1" customWidth="1"/>
    <col min="2" max="2" width="23" bestFit="1" customWidth="1"/>
    <col min="3" max="3" width="19.77734375" bestFit="1" customWidth="1"/>
    <col min="4" max="4" width="14.44140625" bestFit="1" customWidth="1"/>
    <col min="5" max="5" width="17.6640625" bestFit="1" customWidth="1"/>
    <col min="6" max="6" width="16.6640625" bestFit="1" customWidth="1"/>
    <col min="7" max="7" width="19.77734375" bestFit="1" customWidth="1"/>
    <col min="8" max="8" width="14.44140625" bestFit="1" customWidth="1"/>
    <col min="9" max="9" width="17.6640625" bestFit="1" customWidth="1"/>
    <col min="10" max="10" width="16.6640625" bestFit="1" customWidth="1"/>
    <col min="11" max="11" width="19.77734375" bestFit="1" customWidth="1"/>
    <col min="12" max="12" width="14.44140625" bestFit="1" customWidth="1"/>
    <col min="13" max="13" width="17.6640625" bestFit="1" customWidth="1"/>
    <col min="14" max="14" width="23.109375" bestFit="1" customWidth="1"/>
    <col min="15" max="15" width="26.109375" bestFit="1" customWidth="1"/>
    <col min="16" max="16" width="20.5546875" bestFit="1" customWidth="1"/>
    <col min="17" max="17" width="24" bestFit="1" customWidth="1"/>
  </cols>
  <sheetData>
    <row r="1" spans="1:13" x14ac:dyDescent="0.25">
      <c r="B1" s="1" t="s">
        <v>116</v>
      </c>
    </row>
    <row r="2" spans="1:13" x14ac:dyDescent="0.25">
      <c r="B2" t="s">
        <v>127</v>
      </c>
      <c r="F2" t="s">
        <v>128</v>
      </c>
      <c r="J2" t="s">
        <v>129</v>
      </c>
    </row>
    <row r="3" spans="1:13" x14ac:dyDescent="0.25">
      <c r="A3" s="1" t="s">
        <v>130</v>
      </c>
      <c r="B3" t="s">
        <v>110</v>
      </c>
      <c r="C3" t="s">
        <v>111</v>
      </c>
      <c r="D3" t="s">
        <v>112</v>
      </c>
      <c r="E3" t="s">
        <v>113</v>
      </c>
      <c r="F3" t="s">
        <v>110</v>
      </c>
      <c r="G3" t="s">
        <v>111</v>
      </c>
      <c r="H3" t="s">
        <v>112</v>
      </c>
      <c r="I3" t="s">
        <v>113</v>
      </c>
      <c r="J3" t="s">
        <v>110</v>
      </c>
      <c r="K3" t="s">
        <v>111</v>
      </c>
      <c r="L3" t="s">
        <v>112</v>
      </c>
      <c r="M3" t="s">
        <v>113</v>
      </c>
    </row>
    <row r="4" spans="1:13" x14ac:dyDescent="0.25">
      <c r="A4" s="2">
        <v>2</v>
      </c>
      <c r="B4" s="5">
        <v>49276.274998794019</v>
      </c>
      <c r="C4" s="5">
        <v>49275.547591063776</v>
      </c>
      <c r="D4" s="3">
        <v>6.8638587823485086E-6</v>
      </c>
      <c r="E4" s="5">
        <v>55.032890478770014</v>
      </c>
      <c r="F4" s="5">
        <v>49692.43328342247</v>
      </c>
      <c r="G4" s="5">
        <v>48817.329840816099</v>
      </c>
      <c r="H4" s="3">
        <v>8.8430065486643263E-3</v>
      </c>
      <c r="I4" s="5">
        <v>1130.1161916454641</v>
      </c>
      <c r="J4" s="5">
        <v>49498.583211802208</v>
      </c>
      <c r="K4" s="5">
        <v>47437.102130329957</v>
      </c>
      <c r="L4" s="3">
        <v>3.2600258104438111E-2</v>
      </c>
      <c r="M4" s="5">
        <v>3022.2579379876461</v>
      </c>
    </row>
    <row r="5" spans="1:13" x14ac:dyDescent="0.25">
      <c r="A5" s="4">
        <v>3</v>
      </c>
      <c r="B5" s="5">
        <v>21530.124999212501</v>
      </c>
      <c r="C5" s="5">
        <v>21530.124999212501</v>
      </c>
      <c r="D5" s="3">
        <v>0</v>
      </c>
      <c r="E5" s="5">
        <v>2.7483102679252629</v>
      </c>
      <c r="F5" s="5">
        <v>21530.125</v>
      </c>
      <c r="G5" s="5">
        <v>21530.125</v>
      </c>
      <c r="H5" s="3">
        <v>0</v>
      </c>
      <c r="I5" s="5">
        <v>3.9503639936447139</v>
      </c>
      <c r="J5" s="5">
        <v>21530.124811733178</v>
      </c>
      <c r="K5" s="5">
        <v>20914.090228711953</v>
      </c>
      <c r="L5" s="3">
        <v>2.4809708777415701E-2</v>
      </c>
      <c r="M5" s="5">
        <v>2705.4881531000146</v>
      </c>
    </row>
    <row r="6" spans="1:13" x14ac:dyDescent="0.25">
      <c r="A6" s="4">
        <v>6</v>
      </c>
      <c r="B6" s="5">
        <v>45527.999999999898</v>
      </c>
      <c r="C6" s="5">
        <v>45527.999999999898</v>
      </c>
      <c r="D6" s="3">
        <v>0</v>
      </c>
      <c r="E6" s="5">
        <v>9.4124959707260274</v>
      </c>
      <c r="F6" s="5">
        <v>45527.999992288998</v>
      </c>
      <c r="G6" s="5">
        <v>45526.753356104178</v>
      </c>
      <c r="H6" s="3">
        <v>2.1103208817829125E-5</v>
      </c>
      <c r="I6" s="5">
        <v>672.42598336935146</v>
      </c>
      <c r="J6" s="5">
        <v>45547.274913961301</v>
      </c>
      <c r="K6" s="5">
        <v>44387.119220223176</v>
      </c>
      <c r="L6" s="3">
        <v>2.26754340226187E-2</v>
      </c>
      <c r="M6" s="5">
        <v>2758.2930249571805</v>
      </c>
    </row>
    <row r="7" spans="1:13" x14ac:dyDescent="0.25">
      <c r="A7" s="4">
        <v>9</v>
      </c>
      <c r="B7" s="5">
        <v>80770.699997169679</v>
      </c>
      <c r="C7" s="5">
        <v>80768.517773978921</v>
      </c>
      <c r="D7" s="3">
        <v>2.0591576347045525E-5</v>
      </c>
      <c r="E7" s="5">
        <v>152.93786519765877</v>
      </c>
      <c r="F7" s="5">
        <v>82019.174857978389</v>
      </c>
      <c r="G7" s="5">
        <v>79395.111166344097</v>
      </c>
      <c r="H7" s="3">
        <v>2.650791643717515E-2</v>
      </c>
      <c r="I7" s="5">
        <v>2713.9722275733961</v>
      </c>
      <c r="J7" s="5">
        <v>81418.349909712153</v>
      </c>
      <c r="K7" s="5">
        <v>77010.096942054719</v>
      </c>
      <c r="L7" s="3">
        <v>5.0315631513279925E-2</v>
      </c>
      <c r="M7" s="5">
        <v>3602.9926359057426</v>
      </c>
    </row>
    <row r="8" spans="1:13" x14ac:dyDescent="0.25">
      <c r="A8" s="2">
        <v>3</v>
      </c>
      <c r="B8" s="5">
        <v>53663.114264422096</v>
      </c>
      <c r="C8" s="5">
        <v>53627.753870186738</v>
      </c>
      <c r="D8" s="3">
        <v>3.260002142191381E-4</v>
      </c>
      <c r="E8" s="5">
        <v>626.16733007203982</v>
      </c>
      <c r="F8" s="5">
        <v>53841.342828742076</v>
      </c>
      <c r="G8" s="5">
        <v>53116.213620401744</v>
      </c>
      <c r="H8" s="3">
        <v>9.1893693943637476E-3</v>
      </c>
      <c r="I8" s="5">
        <v>2124.9319584596724</v>
      </c>
      <c r="J8" s="5">
        <v>54124.018992666402</v>
      </c>
      <c r="K8" s="5">
        <v>53171.202150064557</v>
      </c>
      <c r="L8" s="3">
        <v>1.0851266579542346E-2</v>
      </c>
      <c r="M8" s="5">
        <v>2074.6683728694925</v>
      </c>
    </row>
    <row r="9" spans="1:13" x14ac:dyDescent="0.25">
      <c r="A9" s="4">
        <v>3</v>
      </c>
      <c r="B9" s="5">
        <v>32262.677762931722</v>
      </c>
      <c r="C9" s="5">
        <v>32262.145614783563</v>
      </c>
      <c r="D9" s="3">
        <v>1.0341246747912189E-5</v>
      </c>
      <c r="E9" s="5">
        <v>162.7636247211033</v>
      </c>
      <c r="F9" s="5">
        <v>32318.311110204078</v>
      </c>
      <c r="G9" s="5">
        <v>32035.455687888381</v>
      </c>
      <c r="H9" s="3">
        <v>5.743354834790838E-3</v>
      </c>
      <c r="I9" s="5">
        <v>1223.3375706142847</v>
      </c>
      <c r="J9" s="5">
        <v>32324.45555248957</v>
      </c>
      <c r="K9" s="5">
        <v>32029.598324786231</v>
      </c>
      <c r="L9" s="3">
        <v>5.9439879934408352E-3</v>
      </c>
      <c r="M9" s="5">
        <v>1278.2896167437236</v>
      </c>
    </row>
    <row r="10" spans="1:13" x14ac:dyDescent="0.25">
      <c r="A10" s="4">
        <v>6</v>
      </c>
      <c r="B10" s="5">
        <v>58844.928571428529</v>
      </c>
      <c r="C10" s="5">
        <v>58829.388986433783</v>
      </c>
      <c r="D10" s="3">
        <v>1.5973209718985715E-4</v>
      </c>
      <c r="E10" s="5">
        <v>623.57176307269549</v>
      </c>
      <c r="F10" s="5">
        <v>58948.057125517676</v>
      </c>
      <c r="G10" s="5">
        <v>58411.413384078602</v>
      </c>
      <c r="H10" s="3">
        <v>6.9353731824274723E-3</v>
      </c>
      <c r="I10" s="5">
        <v>2229.0657462733134</v>
      </c>
      <c r="J10" s="5">
        <v>59061.614178582844</v>
      </c>
      <c r="K10" s="5">
        <v>58461.750237437074</v>
      </c>
      <c r="L10" s="3">
        <v>7.3506623132698181E-3</v>
      </c>
      <c r="M10" s="5">
        <v>2117.4916551453739</v>
      </c>
    </row>
    <row r="11" spans="1:13" x14ac:dyDescent="0.25">
      <c r="A11" s="4">
        <v>9</v>
      </c>
      <c r="B11" s="5">
        <v>84929.35993729574</v>
      </c>
      <c r="C11" s="5">
        <v>84803.559567166536</v>
      </c>
      <c r="D11" s="3">
        <v>1.126961719508338E-3</v>
      </c>
      <c r="E11" s="5">
        <v>1463.9277935028074</v>
      </c>
      <c r="F11" s="5">
        <v>85433.399906624647</v>
      </c>
      <c r="G11" s="5">
        <v>83648.2982297782</v>
      </c>
      <c r="H11" s="3">
        <v>1.8547790298305767E-2</v>
      </c>
      <c r="I11" s="5">
        <v>3602.0145536422742</v>
      </c>
      <c r="J11" s="5">
        <v>86450.599924701644</v>
      </c>
      <c r="K11" s="5">
        <v>83819.321713244019</v>
      </c>
      <c r="L11" s="3">
        <v>2.4585214007306615E-2</v>
      </c>
      <c r="M11" s="5">
        <v>3448.1975387096418</v>
      </c>
    </row>
    <row r="12" spans="1:13" x14ac:dyDescent="0.25">
      <c r="A12" s="2">
        <v>4</v>
      </c>
      <c r="B12" s="5">
        <v>61572.233269569413</v>
      </c>
      <c r="C12" s="5">
        <v>61226.208131683976</v>
      </c>
      <c r="D12" s="3">
        <v>4.240994997869927E-3</v>
      </c>
      <c r="E12" s="5">
        <v>3067.7155330181126</v>
      </c>
      <c r="F12" s="5">
        <v>61803.722222111108</v>
      </c>
      <c r="G12" s="5">
        <v>61150.446473122458</v>
      </c>
      <c r="H12" s="3">
        <v>7.6124837116938425E-3</v>
      </c>
      <c r="I12" s="5">
        <v>2682.6362198458764</v>
      </c>
      <c r="J12" s="5">
        <v>62652.344410896003</v>
      </c>
      <c r="K12" s="5">
        <v>61171.841948383917</v>
      </c>
      <c r="L12" s="3">
        <v>1.5774830485854763E-2</v>
      </c>
      <c r="M12" s="5">
        <v>2779.8954427772096</v>
      </c>
    </row>
    <row r="13" spans="1:13" x14ac:dyDescent="0.25">
      <c r="A13" s="4">
        <v>3</v>
      </c>
      <c r="B13" s="5">
        <v>41556.059885224946</v>
      </c>
      <c r="C13" s="5">
        <v>41474.520177449078</v>
      </c>
      <c r="D13" s="3">
        <v>1.6688573929607097E-3</v>
      </c>
      <c r="E13" s="5">
        <v>2642.1971586227423</v>
      </c>
      <c r="F13" s="5">
        <v>41581.5</v>
      </c>
      <c r="G13" s="5">
        <v>41427.208085340957</v>
      </c>
      <c r="H13" s="3">
        <v>3.151348920369021E-3</v>
      </c>
      <c r="I13" s="5">
        <v>1946.0615340232841</v>
      </c>
      <c r="J13" s="5">
        <v>41637.519981722944</v>
      </c>
      <c r="K13" s="5">
        <v>41447.440261106836</v>
      </c>
      <c r="L13" s="3">
        <v>3.9035467817816367E-3</v>
      </c>
      <c r="M13" s="5">
        <v>2122.5465023517618</v>
      </c>
    </row>
    <row r="14" spans="1:13" x14ac:dyDescent="0.25">
      <c r="A14" s="4">
        <v>6</v>
      </c>
      <c r="B14" s="5">
        <v>78154.666666666672</v>
      </c>
      <c r="C14" s="5">
        <v>77739.992527287803</v>
      </c>
      <c r="D14" s="3">
        <v>5.5851976993595669E-3</v>
      </c>
      <c r="E14" s="5">
        <v>3599.811870336533</v>
      </c>
      <c r="F14" s="5">
        <v>78226.566666666666</v>
      </c>
      <c r="G14" s="5">
        <v>77694.52205659046</v>
      </c>
      <c r="H14" s="3">
        <v>7.284564499237263E-3</v>
      </c>
      <c r="I14" s="5">
        <v>3604.0047008991237</v>
      </c>
      <c r="J14" s="5">
        <v>80050.966596483093</v>
      </c>
      <c r="K14" s="5">
        <v>77738.375513459672</v>
      </c>
      <c r="L14" s="3">
        <v>2.5133413020063333E-2</v>
      </c>
      <c r="M14" s="5">
        <v>3600.9217914740234</v>
      </c>
    </row>
    <row r="15" spans="1:13" x14ac:dyDescent="0.25">
      <c r="A15" s="4">
        <v>9</v>
      </c>
      <c r="B15" s="5">
        <v>111905.8</v>
      </c>
      <c r="C15" s="5">
        <v>110443.29471604701</v>
      </c>
      <c r="D15" s="3">
        <v>1.30690749179471E-2</v>
      </c>
      <c r="E15" s="5">
        <v>3599.0183930397002</v>
      </c>
      <c r="F15" s="5">
        <v>113646.299999</v>
      </c>
      <c r="G15" s="5">
        <v>110134.411661626</v>
      </c>
      <c r="H15" s="3">
        <v>3.0901915305687699E-2</v>
      </c>
      <c r="I15" s="5">
        <v>3601.4042057991001</v>
      </c>
      <c r="J15" s="5">
        <v>115530.6</v>
      </c>
      <c r="K15" s="5">
        <v>110094.249689542</v>
      </c>
      <c r="L15" s="3">
        <v>4.7055501403594699E-2</v>
      </c>
      <c r="M15" s="5">
        <v>3603.5610988140102</v>
      </c>
    </row>
    <row r="16" spans="1:13" x14ac:dyDescent="0.25">
      <c r="A16" s="2" t="s">
        <v>115</v>
      </c>
      <c r="B16" s="5">
        <v>54104.542832488492</v>
      </c>
      <c r="C16" s="5">
        <v>54012.506560758156</v>
      </c>
      <c r="D16" s="3">
        <v>1.0737458520195104E-3</v>
      </c>
      <c r="E16" s="5">
        <v>986.17496224812135</v>
      </c>
      <c r="F16" s="5">
        <v>54362.164257229852</v>
      </c>
      <c r="G16" s="5">
        <v>53609.58243753171</v>
      </c>
      <c r="H16" s="3">
        <v>8.7525045064489361E-3</v>
      </c>
      <c r="I16" s="5">
        <v>1960.2069382383718</v>
      </c>
      <c r="J16" s="5">
        <v>54629.964216325818</v>
      </c>
      <c r="K16" s="5">
        <v>53247.310672637388</v>
      </c>
      <c r="L16" s="3">
        <v>1.8120313566579511E-2</v>
      </c>
      <c r="M16" s="5">
        <v>2496.5283350263326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P151"/>
  <sheetViews>
    <sheetView zoomScaleNormal="100" workbookViewId="0">
      <selection activeCell="E86" sqref="E86:E127"/>
    </sheetView>
  </sheetViews>
  <sheetFormatPr baseColWidth="10" defaultColWidth="11.5546875" defaultRowHeight="13.2" x14ac:dyDescent="0.25"/>
  <cols>
    <col min="1" max="1" width="21.109375" customWidth="1"/>
    <col min="2" max="2" width="10" bestFit="1" customWidth="1"/>
    <col min="3" max="3" width="7.33203125" bestFit="1" customWidth="1"/>
    <col min="4" max="4" width="5.109375" bestFit="1" customWidth="1"/>
    <col min="5" max="5" width="26.6640625" bestFit="1" customWidth="1"/>
    <col min="6" max="6" width="10.6640625" bestFit="1" customWidth="1"/>
    <col min="7" max="7" width="17.6640625" customWidth="1"/>
    <col min="8" max="8" width="12" bestFit="1" customWidth="1"/>
    <col min="9" max="9" width="6.21875" style="3" bestFit="1" customWidth="1"/>
    <col min="10" max="10" width="12" bestFit="1" customWidth="1"/>
    <col min="11" max="11" width="14.5546875" customWidth="1"/>
    <col min="12" max="16" width="16.6640625" customWidth="1"/>
    <col min="17" max="17" width="13" customWidth="1"/>
    <col min="18" max="18" width="18.33203125" customWidth="1"/>
    <col min="19" max="19" width="16.88671875" customWidth="1"/>
  </cols>
  <sheetData>
    <row r="1" spans="1:42" x14ac:dyDescent="0.25">
      <c r="A1" t="s">
        <v>0</v>
      </c>
      <c r="B1" t="s">
        <v>96</v>
      </c>
      <c r="C1" t="s">
        <v>97</v>
      </c>
      <c r="D1" t="s">
        <v>98</v>
      </c>
      <c r="E1" t="s">
        <v>1</v>
      </c>
      <c r="F1" t="s">
        <v>2</v>
      </c>
      <c r="G1" t="s">
        <v>3</v>
      </c>
      <c r="H1" t="s">
        <v>4</v>
      </c>
      <c r="I1" s="3" t="s">
        <v>5</v>
      </c>
      <c r="J1" t="s">
        <v>6</v>
      </c>
      <c r="K1" t="s">
        <v>7</v>
      </c>
      <c r="L1" t="s">
        <v>8</v>
      </c>
      <c r="M1" t="s">
        <v>9</v>
      </c>
      <c r="N1" t="s">
        <v>109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99</v>
      </c>
      <c r="W1" t="s">
        <v>100</v>
      </c>
      <c r="X1" t="s">
        <v>101</v>
      </c>
      <c r="Y1" t="s">
        <v>102</v>
      </c>
      <c r="Z1" t="s">
        <v>103</v>
      </c>
      <c r="AA1" t="s">
        <v>104</v>
      </c>
      <c r="AB1" t="s">
        <v>105</v>
      </c>
      <c r="AC1" t="s">
        <v>106</v>
      </c>
      <c r="AD1" t="s">
        <v>107</v>
      </c>
      <c r="AE1" t="s">
        <v>108</v>
      </c>
    </row>
    <row r="2" spans="1:42" x14ac:dyDescent="0.25">
      <c r="A2" t="s">
        <v>17</v>
      </c>
      <c r="B2">
        <f t="shared" ref="B2:B43" si="0">_xlfn.NUMBERVALUE(REPLACE(AM2,1,1,""))</f>
        <v>15</v>
      </c>
      <c r="C2">
        <f t="shared" ref="C2:C43" si="1">_xlfn.NUMBERVALUE(REPLACE(AN2,1,1,""))</f>
        <v>9</v>
      </c>
      <c r="D2">
        <f t="shared" ref="D2:D43" si="2">_xlfn.NUMBERVALUE(REPLACE(AO2,1,1,""))</f>
        <v>3</v>
      </c>
      <c r="E2" t="s">
        <v>127</v>
      </c>
      <c r="F2" t="s">
        <v>18</v>
      </c>
      <c r="G2">
        <v>75387.5</v>
      </c>
      <c r="H2">
        <v>75387.5</v>
      </c>
      <c r="I2" s="3">
        <v>0</v>
      </c>
      <c r="J2">
        <v>2016.27821922302</v>
      </c>
      <c r="K2" t="s">
        <v>19</v>
      </c>
      <c r="L2">
        <v>132</v>
      </c>
      <c r="N2">
        <v>3</v>
      </c>
      <c r="O2">
        <v>9000</v>
      </c>
      <c r="P2">
        <v>40950</v>
      </c>
      <c r="Q2">
        <v>13988</v>
      </c>
      <c r="R2">
        <v>11449.5</v>
      </c>
      <c r="S2">
        <v>-1</v>
      </c>
      <c r="T2">
        <v>-1</v>
      </c>
      <c r="U2">
        <v>-1</v>
      </c>
      <c r="AL2" t="str" cm="1">
        <f t="array" ref="AL2:AP2">_xlfn.TEXTSPLIT(A2,"_")</f>
        <v>MVPRP</v>
      </c>
      <c r="AM2" t="str">
        <v>C15</v>
      </c>
      <c r="AN2" t="str">
        <v>P9</v>
      </c>
      <c r="AO2" t="str">
        <v>V3</v>
      </c>
      <c r="AP2" t="str">
        <v>I1</v>
      </c>
    </row>
    <row r="3" spans="1:42" x14ac:dyDescent="0.25">
      <c r="A3" t="s">
        <v>20</v>
      </c>
      <c r="B3">
        <f t="shared" si="0"/>
        <v>20</v>
      </c>
      <c r="C3">
        <f t="shared" si="1"/>
        <v>3</v>
      </c>
      <c r="D3">
        <f t="shared" si="2"/>
        <v>2</v>
      </c>
      <c r="E3" t="s">
        <v>127</v>
      </c>
      <c r="F3" t="s">
        <v>18</v>
      </c>
      <c r="G3">
        <v>23484.9</v>
      </c>
      <c r="H3">
        <v>23484.9</v>
      </c>
      <c r="I3" s="3">
        <v>0</v>
      </c>
      <c r="J3">
        <v>2.0904636383056601</v>
      </c>
      <c r="K3" t="s">
        <v>21</v>
      </c>
      <c r="L3">
        <v>283</v>
      </c>
      <c r="N3">
        <v>3</v>
      </c>
      <c r="O3">
        <v>3000</v>
      </c>
      <c r="P3">
        <v>12030</v>
      </c>
      <c r="Q3">
        <v>4509</v>
      </c>
      <c r="R3">
        <v>3945.9</v>
      </c>
      <c r="S3">
        <v>-1</v>
      </c>
      <c r="T3">
        <v>-1</v>
      </c>
      <c r="U3">
        <v>-1</v>
      </c>
      <c r="AL3" t="str" cm="1">
        <f t="array" ref="AL3:AP3">_xlfn.TEXTSPLIT(A3,"_")</f>
        <v>MVPRP</v>
      </c>
      <c r="AM3" t="str">
        <v>C20</v>
      </c>
      <c r="AN3" t="str">
        <v>P3</v>
      </c>
      <c r="AO3" t="str">
        <v>V2</v>
      </c>
      <c r="AP3" t="str">
        <v>I1</v>
      </c>
    </row>
    <row r="4" spans="1:42" x14ac:dyDescent="0.25">
      <c r="A4" t="s">
        <v>22</v>
      </c>
      <c r="B4">
        <f t="shared" si="0"/>
        <v>40</v>
      </c>
      <c r="C4">
        <f t="shared" si="1"/>
        <v>3</v>
      </c>
      <c r="D4">
        <f t="shared" si="2"/>
        <v>4</v>
      </c>
      <c r="E4" t="s">
        <v>127</v>
      </c>
      <c r="F4" t="s">
        <v>18</v>
      </c>
      <c r="G4">
        <v>44460.999987607902</v>
      </c>
      <c r="H4">
        <v>44460.999987607902</v>
      </c>
      <c r="I4">
        <v>0</v>
      </c>
      <c r="J4">
        <v>908.68261003494297</v>
      </c>
      <c r="K4" t="s">
        <v>118</v>
      </c>
      <c r="L4">
        <v>270</v>
      </c>
      <c r="N4">
        <v>3</v>
      </c>
      <c r="O4">
        <v>6000</v>
      </c>
      <c r="P4">
        <v>27659.999984699502</v>
      </c>
      <c r="Q4">
        <v>5013.0000029084504</v>
      </c>
      <c r="R4">
        <v>5788</v>
      </c>
      <c r="S4">
        <v>-1</v>
      </c>
      <c r="T4">
        <v>-1</v>
      </c>
      <c r="U4">
        <v>-1</v>
      </c>
      <c r="AL4" t="str" cm="1">
        <f t="array" ref="AL4:AP4">_xlfn.TEXTSPLIT(A4,"_")</f>
        <v>MVPRP</v>
      </c>
      <c r="AM4" t="str">
        <v>C40</v>
      </c>
      <c r="AN4" t="str">
        <v>P3</v>
      </c>
      <c r="AO4" t="str">
        <v>V4</v>
      </c>
      <c r="AP4" t="str">
        <v>I1</v>
      </c>
    </row>
    <row r="5" spans="1:42" x14ac:dyDescent="0.25">
      <c r="A5" t="s">
        <v>23</v>
      </c>
      <c r="B5">
        <f t="shared" si="0"/>
        <v>10</v>
      </c>
      <c r="C5">
        <f t="shared" si="1"/>
        <v>9</v>
      </c>
      <c r="D5">
        <f t="shared" si="2"/>
        <v>2</v>
      </c>
      <c r="E5" t="s">
        <v>127</v>
      </c>
      <c r="F5" t="s">
        <v>18</v>
      </c>
      <c r="G5">
        <v>52882.899999999798</v>
      </c>
      <c r="H5">
        <v>52882.899999999798</v>
      </c>
      <c r="I5" s="3">
        <v>0</v>
      </c>
      <c r="J5">
        <v>5.2121219635009801</v>
      </c>
      <c r="K5" t="s">
        <v>24</v>
      </c>
      <c r="L5">
        <v>198</v>
      </c>
      <c r="N5">
        <v>3</v>
      </c>
      <c r="O5">
        <v>9000</v>
      </c>
      <c r="P5">
        <v>26370</v>
      </c>
      <c r="Q5">
        <v>10336</v>
      </c>
      <c r="R5">
        <v>7176.9</v>
      </c>
      <c r="S5">
        <v>-1</v>
      </c>
      <c r="T5">
        <v>-1</v>
      </c>
      <c r="U5">
        <v>-1</v>
      </c>
      <c r="AL5" t="str" cm="1">
        <f t="array" ref="AL5:AP5">_xlfn.TEXTSPLIT(A5,"_")</f>
        <v>MVPRP</v>
      </c>
      <c r="AM5" t="str">
        <v>C10</v>
      </c>
      <c r="AN5" t="str">
        <v>P9</v>
      </c>
      <c r="AO5" t="str">
        <v>V2</v>
      </c>
      <c r="AP5" t="str">
        <v>I1</v>
      </c>
    </row>
    <row r="6" spans="1:42" x14ac:dyDescent="0.25">
      <c r="A6" t="s">
        <v>25</v>
      </c>
      <c r="B6">
        <f t="shared" si="0"/>
        <v>15</v>
      </c>
      <c r="C6">
        <f t="shared" si="1"/>
        <v>3</v>
      </c>
      <c r="D6">
        <f t="shared" si="2"/>
        <v>2</v>
      </c>
      <c r="E6" t="s">
        <v>127</v>
      </c>
      <c r="F6" t="s">
        <v>18</v>
      </c>
      <c r="G6">
        <v>20511.5</v>
      </c>
      <c r="H6">
        <v>20511.5</v>
      </c>
      <c r="I6" s="3">
        <v>0</v>
      </c>
      <c r="J6">
        <v>4.4270796775817898</v>
      </c>
      <c r="K6" t="s">
        <v>26</v>
      </c>
      <c r="L6">
        <v>198</v>
      </c>
      <c r="N6">
        <v>3</v>
      </c>
      <c r="O6">
        <v>3000</v>
      </c>
      <c r="P6">
        <v>9960</v>
      </c>
      <c r="Q6">
        <v>3896</v>
      </c>
      <c r="R6">
        <v>3655.5</v>
      </c>
      <c r="S6">
        <v>-1</v>
      </c>
      <c r="T6">
        <v>-1</v>
      </c>
      <c r="U6">
        <v>-1</v>
      </c>
      <c r="AL6" t="str" cm="1">
        <f t="array" ref="AL6:AP6">_xlfn.TEXTSPLIT(A6,"_")</f>
        <v>MVPRP</v>
      </c>
      <c r="AM6" t="str">
        <v>C15</v>
      </c>
      <c r="AN6" t="str">
        <v>P3</v>
      </c>
      <c r="AO6" t="str">
        <v>V2</v>
      </c>
      <c r="AP6" t="str">
        <v>I1</v>
      </c>
    </row>
    <row r="7" spans="1:42" x14ac:dyDescent="0.25">
      <c r="A7" t="s">
        <v>27</v>
      </c>
      <c r="B7">
        <f t="shared" si="0"/>
        <v>40</v>
      </c>
      <c r="C7">
        <f t="shared" si="1"/>
        <v>3</v>
      </c>
      <c r="D7">
        <f t="shared" si="2"/>
        <v>3</v>
      </c>
      <c r="E7" t="s">
        <v>127</v>
      </c>
      <c r="F7" t="s">
        <v>18</v>
      </c>
      <c r="G7">
        <v>44572</v>
      </c>
      <c r="H7">
        <v>44572</v>
      </c>
      <c r="I7" s="3">
        <v>0</v>
      </c>
      <c r="J7">
        <v>112.056926965714</v>
      </c>
      <c r="K7" t="s">
        <v>28</v>
      </c>
      <c r="L7">
        <v>360</v>
      </c>
      <c r="N7">
        <v>3</v>
      </c>
      <c r="O7">
        <v>3000</v>
      </c>
      <c r="P7">
        <v>27660</v>
      </c>
      <c r="Q7">
        <v>9274</v>
      </c>
      <c r="R7">
        <v>4638</v>
      </c>
      <c r="S7">
        <v>-1</v>
      </c>
      <c r="T7">
        <v>-1</v>
      </c>
      <c r="U7">
        <v>-1</v>
      </c>
      <c r="AL7" t="str" cm="1">
        <f t="array" ref="AL7:AP7">_xlfn.TEXTSPLIT(A7,"_")</f>
        <v>MVPRP</v>
      </c>
      <c r="AM7" t="str">
        <v>C40</v>
      </c>
      <c r="AN7" t="str">
        <v>P3</v>
      </c>
      <c r="AO7" t="str">
        <v>V3</v>
      </c>
      <c r="AP7" t="str">
        <v>I1</v>
      </c>
    </row>
    <row r="8" spans="1:42" x14ac:dyDescent="0.25">
      <c r="A8" t="s">
        <v>29</v>
      </c>
      <c r="B8">
        <f t="shared" si="0"/>
        <v>20</v>
      </c>
      <c r="C8">
        <f t="shared" si="1"/>
        <v>6</v>
      </c>
      <c r="D8">
        <f t="shared" si="2"/>
        <v>3</v>
      </c>
      <c r="E8" t="s">
        <v>127</v>
      </c>
      <c r="F8" t="s">
        <v>18</v>
      </c>
      <c r="G8">
        <v>47744.299999999901</v>
      </c>
      <c r="H8">
        <v>47744.299999999901</v>
      </c>
      <c r="I8" s="3">
        <v>0</v>
      </c>
      <c r="J8">
        <v>14.889039278030401</v>
      </c>
      <c r="K8" t="s">
        <v>30</v>
      </c>
      <c r="L8">
        <v>189</v>
      </c>
      <c r="N8">
        <v>3</v>
      </c>
      <c r="O8">
        <v>6000</v>
      </c>
      <c r="P8">
        <v>23820</v>
      </c>
      <c r="Q8">
        <v>12552</v>
      </c>
      <c r="R8">
        <v>5372.3</v>
      </c>
      <c r="S8">
        <v>-1</v>
      </c>
      <c r="T8">
        <v>-1</v>
      </c>
      <c r="U8">
        <v>-1</v>
      </c>
      <c r="AL8" t="str" cm="1">
        <f t="array" ref="AL8:AP8">_xlfn.TEXTSPLIT(A8,"_")</f>
        <v>MVPRP</v>
      </c>
      <c r="AM8" t="str">
        <v>C20</v>
      </c>
      <c r="AN8" t="str">
        <v>P6</v>
      </c>
      <c r="AO8" t="str">
        <v>V3</v>
      </c>
      <c r="AP8" t="str">
        <v>I1</v>
      </c>
    </row>
    <row r="9" spans="1:42" x14ac:dyDescent="0.25">
      <c r="A9" t="s">
        <v>31</v>
      </c>
      <c r="B9">
        <f t="shared" si="0"/>
        <v>30</v>
      </c>
      <c r="C9">
        <f t="shared" si="1"/>
        <v>3</v>
      </c>
      <c r="D9">
        <f t="shared" si="2"/>
        <v>4</v>
      </c>
      <c r="E9" t="s">
        <v>127</v>
      </c>
      <c r="F9" t="s">
        <v>18</v>
      </c>
      <c r="G9">
        <v>29156.999780910799</v>
      </c>
      <c r="H9">
        <v>29156.999780910799</v>
      </c>
      <c r="I9" s="3">
        <v>0</v>
      </c>
      <c r="J9">
        <v>3496.32595610619</v>
      </c>
      <c r="K9" t="s">
        <v>119</v>
      </c>
      <c r="L9">
        <v>171</v>
      </c>
      <c r="N9">
        <v>3</v>
      </c>
      <c r="O9">
        <v>3000</v>
      </c>
      <c r="P9">
        <v>16679.999872380398</v>
      </c>
      <c r="Q9">
        <v>5463.9999085303998</v>
      </c>
      <c r="R9">
        <v>4013</v>
      </c>
      <c r="S9">
        <v>-1</v>
      </c>
      <c r="T9">
        <v>-1</v>
      </c>
      <c r="U9">
        <v>-1</v>
      </c>
      <c r="AL9" t="str" cm="1">
        <f t="array" ref="AL9:AP9">_xlfn.TEXTSPLIT(A9,"_")</f>
        <v>MVPRP</v>
      </c>
      <c r="AM9" t="str">
        <v>C30</v>
      </c>
      <c r="AN9" t="str">
        <v>P3</v>
      </c>
      <c r="AO9" t="str">
        <v>V4</v>
      </c>
      <c r="AP9" t="str">
        <v>I1</v>
      </c>
    </row>
    <row r="10" spans="1:42" x14ac:dyDescent="0.25">
      <c r="A10" t="s">
        <v>32</v>
      </c>
      <c r="B10">
        <f t="shared" si="0"/>
        <v>10</v>
      </c>
      <c r="C10">
        <f t="shared" si="1"/>
        <v>3</v>
      </c>
      <c r="D10">
        <f t="shared" si="2"/>
        <v>3</v>
      </c>
      <c r="E10" t="s">
        <v>127</v>
      </c>
      <c r="F10" t="s">
        <v>18</v>
      </c>
      <c r="G10">
        <v>14002</v>
      </c>
      <c r="H10">
        <v>14002</v>
      </c>
      <c r="I10" s="3">
        <v>0</v>
      </c>
      <c r="J10">
        <v>1.2103564739227299</v>
      </c>
      <c r="K10" t="s">
        <v>33</v>
      </c>
      <c r="L10">
        <v>132</v>
      </c>
      <c r="N10">
        <v>3</v>
      </c>
      <c r="O10">
        <v>3000</v>
      </c>
      <c r="P10">
        <v>6390</v>
      </c>
      <c r="Q10">
        <v>2681</v>
      </c>
      <c r="R10">
        <v>1931</v>
      </c>
      <c r="S10">
        <v>-1</v>
      </c>
      <c r="T10">
        <v>-1</v>
      </c>
      <c r="U10">
        <v>-1</v>
      </c>
      <c r="AL10" t="str" cm="1">
        <f t="array" ref="AL10:AP10">_xlfn.TEXTSPLIT(A10,"_")</f>
        <v>MVPRP</v>
      </c>
      <c r="AM10" t="str">
        <v>C10</v>
      </c>
      <c r="AN10" t="str">
        <v>P3</v>
      </c>
      <c r="AO10" t="str">
        <v>V3</v>
      </c>
      <c r="AP10" t="str">
        <v>I1</v>
      </c>
    </row>
    <row r="11" spans="1:42" x14ac:dyDescent="0.25">
      <c r="A11" t="s">
        <v>34</v>
      </c>
      <c r="B11">
        <f t="shared" si="0"/>
        <v>10</v>
      </c>
      <c r="C11">
        <f t="shared" si="1"/>
        <v>3</v>
      </c>
      <c r="D11">
        <f t="shared" si="2"/>
        <v>2</v>
      </c>
      <c r="E11" t="s">
        <v>127</v>
      </c>
      <c r="F11" t="s">
        <v>18</v>
      </c>
      <c r="G11">
        <v>14480.9</v>
      </c>
      <c r="H11">
        <v>14480.9</v>
      </c>
      <c r="I11" s="3">
        <v>0</v>
      </c>
      <c r="J11">
        <v>0.58029508590698198</v>
      </c>
      <c r="K11" t="s">
        <v>35</v>
      </c>
      <c r="L11">
        <v>198</v>
      </c>
      <c r="N11">
        <v>3</v>
      </c>
      <c r="O11">
        <v>3000</v>
      </c>
      <c r="P11">
        <v>6390</v>
      </c>
      <c r="Q11">
        <v>2999</v>
      </c>
      <c r="R11">
        <v>2091.9</v>
      </c>
      <c r="S11">
        <v>-1</v>
      </c>
      <c r="T11">
        <v>-1</v>
      </c>
      <c r="U11">
        <v>-1</v>
      </c>
      <c r="AL11" t="str" cm="1">
        <f t="array" ref="AL11:AP11">_xlfn.TEXTSPLIT(A11,"_")</f>
        <v>MVPRP</v>
      </c>
      <c r="AM11" t="str">
        <v>C10</v>
      </c>
      <c r="AN11" t="str">
        <v>P3</v>
      </c>
      <c r="AO11" t="str">
        <v>V2</v>
      </c>
      <c r="AP11" t="str">
        <v>I1</v>
      </c>
    </row>
    <row r="12" spans="1:42" x14ac:dyDescent="0.25">
      <c r="A12" t="s">
        <v>36</v>
      </c>
      <c r="B12">
        <f t="shared" si="0"/>
        <v>30</v>
      </c>
      <c r="C12">
        <f t="shared" si="1"/>
        <v>9</v>
      </c>
      <c r="D12">
        <f t="shared" si="2"/>
        <v>4</v>
      </c>
      <c r="E12" t="s">
        <v>127</v>
      </c>
      <c r="F12" t="s">
        <v>37</v>
      </c>
      <c r="G12">
        <v>111905.8</v>
      </c>
      <c r="H12">
        <v>110443.29471604701</v>
      </c>
      <c r="I12" s="3">
        <v>1.30690749179471E-2</v>
      </c>
      <c r="J12">
        <v>3599.0183930397002</v>
      </c>
      <c r="K12" t="s">
        <v>120</v>
      </c>
      <c r="L12">
        <v>171</v>
      </c>
      <c r="N12">
        <v>3</v>
      </c>
      <c r="O12">
        <v>12000</v>
      </c>
      <c r="P12">
        <v>67710</v>
      </c>
      <c r="Q12">
        <v>18515</v>
      </c>
      <c r="R12">
        <v>13680.8</v>
      </c>
      <c r="S12">
        <v>-1</v>
      </c>
      <c r="T12">
        <v>-1</v>
      </c>
      <c r="U12">
        <v>-1</v>
      </c>
      <c r="AL12" t="str" cm="1">
        <f t="array" ref="AL12:AP12">_xlfn.TEXTSPLIT(A12,"_")</f>
        <v>MVPRP</v>
      </c>
      <c r="AM12" t="str">
        <v>C30</v>
      </c>
      <c r="AN12" t="str">
        <v>P9</v>
      </c>
      <c r="AO12" t="str">
        <v>V4</v>
      </c>
      <c r="AP12" t="str">
        <v>I1</v>
      </c>
    </row>
    <row r="13" spans="1:42" x14ac:dyDescent="0.25">
      <c r="A13" t="s">
        <v>38</v>
      </c>
      <c r="B13">
        <f t="shared" si="0"/>
        <v>20</v>
      </c>
      <c r="C13">
        <f t="shared" si="1"/>
        <v>3</v>
      </c>
      <c r="D13">
        <f t="shared" si="2"/>
        <v>3</v>
      </c>
      <c r="E13" t="s">
        <v>127</v>
      </c>
      <c r="F13" t="s">
        <v>18</v>
      </c>
      <c r="G13">
        <v>22438.3</v>
      </c>
      <c r="H13">
        <v>22438.3</v>
      </c>
      <c r="I13" s="3">
        <v>0</v>
      </c>
      <c r="J13">
        <v>3.8837537765502899</v>
      </c>
      <c r="K13" t="s">
        <v>39</v>
      </c>
      <c r="L13">
        <v>189</v>
      </c>
      <c r="N13">
        <v>3</v>
      </c>
      <c r="O13">
        <v>3000</v>
      </c>
      <c r="P13">
        <v>12030</v>
      </c>
      <c r="Q13">
        <v>4455</v>
      </c>
      <c r="R13">
        <v>2953.3</v>
      </c>
      <c r="S13">
        <v>-1</v>
      </c>
      <c r="T13">
        <v>-1</v>
      </c>
      <c r="U13">
        <v>-1</v>
      </c>
      <c r="AL13" t="str" cm="1">
        <f t="array" ref="AL13:AP13">_xlfn.TEXTSPLIT(A13,"_")</f>
        <v>MVPRP</v>
      </c>
      <c r="AM13" t="str">
        <v>C20</v>
      </c>
      <c r="AN13" t="str">
        <v>P3</v>
      </c>
      <c r="AO13" t="str">
        <v>V3</v>
      </c>
      <c r="AP13" t="str">
        <v>I1</v>
      </c>
    </row>
    <row r="14" spans="1:42" x14ac:dyDescent="0.25">
      <c r="A14" t="s">
        <v>40</v>
      </c>
      <c r="B14">
        <f t="shared" si="0"/>
        <v>40</v>
      </c>
      <c r="C14">
        <f t="shared" si="1"/>
        <v>6</v>
      </c>
      <c r="D14">
        <f t="shared" si="2"/>
        <v>3</v>
      </c>
      <c r="E14" t="s">
        <v>127</v>
      </c>
      <c r="F14" t="s">
        <v>37</v>
      </c>
      <c r="G14">
        <v>97285.3</v>
      </c>
      <c r="H14">
        <v>97176.522905036807</v>
      </c>
      <c r="I14" s="3">
        <v>1.118124680329E-3</v>
      </c>
      <c r="J14">
        <v>3600.0624551773099</v>
      </c>
      <c r="K14" t="s">
        <v>41</v>
      </c>
      <c r="L14">
        <v>360</v>
      </c>
      <c r="N14">
        <v>3</v>
      </c>
      <c r="O14">
        <v>6000</v>
      </c>
      <c r="P14">
        <v>55170</v>
      </c>
      <c r="Q14">
        <v>26889</v>
      </c>
      <c r="R14">
        <v>9226.2999999999993</v>
      </c>
      <c r="S14">
        <v>-1</v>
      </c>
      <c r="T14">
        <v>-1</v>
      </c>
      <c r="U14">
        <v>-1</v>
      </c>
      <c r="AL14" t="str" cm="1">
        <f t="array" ref="AL14:AP14">_xlfn.TEXTSPLIT(A14,"_")</f>
        <v>MVPRP</v>
      </c>
      <c r="AM14" t="str">
        <v>C40</v>
      </c>
      <c r="AN14" t="str">
        <v>P6</v>
      </c>
      <c r="AO14" t="str">
        <v>V3</v>
      </c>
      <c r="AP14" t="str">
        <v>I1</v>
      </c>
    </row>
    <row r="15" spans="1:42" x14ac:dyDescent="0.25">
      <c r="A15" t="s">
        <v>42</v>
      </c>
      <c r="B15">
        <f t="shared" si="0"/>
        <v>15</v>
      </c>
      <c r="C15">
        <f t="shared" si="1"/>
        <v>9</v>
      </c>
      <c r="D15">
        <f t="shared" si="2"/>
        <v>2</v>
      </c>
      <c r="E15" t="s">
        <v>127</v>
      </c>
      <c r="F15" t="s">
        <v>18</v>
      </c>
      <c r="G15">
        <v>77471.7</v>
      </c>
      <c r="H15">
        <v>77471.7</v>
      </c>
      <c r="I15" s="3">
        <v>0</v>
      </c>
      <c r="J15">
        <v>187.75795888900799</v>
      </c>
      <c r="K15" t="s">
        <v>43</v>
      </c>
      <c r="L15">
        <v>198</v>
      </c>
      <c r="N15">
        <v>3</v>
      </c>
      <c r="O15">
        <v>9000</v>
      </c>
      <c r="P15">
        <v>40950</v>
      </c>
      <c r="Q15">
        <v>15301</v>
      </c>
      <c r="R15">
        <v>12220.7</v>
      </c>
      <c r="S15">
        <v>-1</v>
      </c>
      <c r="T15">
        <v>-1</v>
      </c>
      <c r="U15">
        <v>-1</v>
      </c>
      <c r="AL15" t="str" cm="1">
        <f t="array" ref="AL15:AP15">_xlfn.TEXTSPLIT(A15,"_")</f>
        <v>MVPRP</v>
      </c>
      <c r="AM15" t="str">
        <v>C15</v>
      </c>
      <c r="AN15" t="str">
        <v>P9</v>
      </c>
      <c r="AO15" t="str">
        <v>V2</v>
      </c>
      <c r="AP15" t="str">
        <v>I1</v>
      </c>
    </row>
    <row r="16" spans="1:42" x14ac:dyDescent="0.25">
      <c r="A16" t="s">
        <v>44</v>
      </c>
      <c r="B16">
        <f t="shared" si="0"/>
        <v>35</v>
      </c>
      <c r="C16">
        <f t="shared" si="1"/>
        <v>6</v>
      </c>
      <c r="D16">
        <f t="shared" si="2"/>
        <v>4</v>
      </c>
      <c r="E16" t="s">
        <v>127</v>
      </c>
      <c r="F16" t="s">
        <v>37</v>
      </c>
      <c r="G16">
        <v>75695</v>
      </c>
      <c r="H16">
        <v>75072.074352549695</v>
      </c>
      <c r="I16" s="3">
        <v>8.22941604399695E-3</v>
      </c>
      <c r="J16">
        <v>3599.4356110096001</v>
      </c>
      <c r="K16" t="s">
        <v>121</v>
      </c>
      <c r="L16">
        <v>207</v>
      </c>
      <c r="N16">
        <v>3</v>
      </c>
      <c r="O16">
        <v>6000</v>
      </c>
      <c r="P16">
        <v>42900</v>
      </c>
      <c r="Q16">
        <v>18671</v>
      </c>
      <c r="R16">
        <v>8124</v>
      </c>
      <c r="S16">
        <v>-1</v>
      </c>
      <c r="T16">
        <v>-1</v>
      </c>
      <c r="U16">
        <v>-1</v>
      </c>
      <c r="AL16" t="str" cm="1">
        <f t="array" ref="AL16:AP16">_xlfn.TEXTSPLIT(A16,"_")</f>
        <v>MVPRP</v>
      </c>
      <c r="AM16" t="str">
        <v>C35</v>
      </c>
      <c r="AN16" t="str">
        <v>P6</v>
      </c>
      <c r="AO16" t="str">
        <v>V4</v>
      </c>
      <c r="AP16" t="str">
        <v>I1</v>
      </c>
    </row>
    <row r="17" spans="1:42" x14ac:dyDescent="0.25">
      <c r="A17" t="s">
        <v>45</v>
      </c>
      <c r="B17">
        <f t="shared" si="0"/>
        <v>45</v>
      </c>
      <c r="C17">
        <f t="shared" si="1"/>
        <v>3</v>
      </c>
      <c r="D17">
        <f t="shared" si="2"/>
        <v>3</v>
      </c>
      <c r="E17" t="s">
        <v>127</v>
      </c>
      <c r="F17" t="s">
        <v>18</v>
      </c>
      <c r="G17">
        <v>51458.8</v>
      </c>
      <c r="H17">
        <v>51454.010666666603</v>
      </c>
      <c r="I17" s="3">
        <v>9.3071220731209695E-5</v>
      </c>
      <c r="J17">
        <v>324.05683445930498</v>
      </c>
      <c r="K17" t="s">
        <v>46</v>
      </c>
      <c r="L17">
        <v>360</v>
      </c>
      <c r="N17">
        <v>3</v>
      </c>
      <c r="O17">
        <v>6000</v>
      </c>
      <c r="P17">
        <v>33060</v>
      </c>
      <c r="Q17">
        <v>5596</v>
      </c>
      <c r="R17">
        <v>6802.8</v>
      </c>
      <c r="S17">
        <v>-1</v>
      </c>
      <c r="T17">
        <v>-1</v>
      </c>
      <c r="U17">
        <v>-1</v>
      </c>
      <c r="AL17" t="str" cm="1">
        <f t="array" ref="AL17:AP17">_xlfn.TEXTSPLIT(A17,"_")</f>
        <v>MVPRP</v>
      </c>
      <c r="AM17" t="str">
        <v>C45</v>
      </c>
      <c r="AN17" t="str">
        <v>P3</v>
      </c>
      <c r="AO17" t="str">
        <v>V3</v>
      </c>
      <c r="AP17" t="str">
        <v>I1</v>
      </c>
    </row>
    <row r="18" spans="1:42" x14ac:dyDescent="0.25">
      <c r="A18" t="s">
        <v>47</v>
      </c>
      <c r="B18">
        <f t="shared" si="0"/>
        <v>10</v>
      </c>
      <c r="C18">
        <f t="shared" si="1"/>
        <v>6</v>
      </c>
      <c r="D18">
        <f t="shared" si="2"/>
        <v>2</v>
      </c>
      <c r="E18" t="s">
        <v>127</v>
      </c>
      <c r="F18" t="s">
        <v>18</v>
      </c>
      <c r="G18">
        <v>30459.8999999997</v>
      </c>
      <c r="H18">
        <v>30459.8999999997</v>
      </c>
      <c r="I18" s="3">
        <v>0</v>
      </c>
      <c r="J18">
        <v>2.01751637458801</v>
      </c>
      <c r="K18" t="s">
        <v>48</v>
      </c>
      <c r="L18">
        <v>198</v>
      </c>
      <c r="N18">
        <v>3</v>
      </c>
      <c r="O18">
        <v>6000</v>
      </c>
      <c r="P18">
        <v>12690</v>
      </c>
      <c r="Q18">
        <v>8163</v>
      </c>
      <c r="R18">
        <v>3606.9</v>
      </c>
      <c r="S18">
        <v>-1</v>
      </c>
      <c r="T18">
        <v>-1</v>
      </c>
      <c r="U18">
        <v>-1</v>
      </c>
      <c r="AL18" t="str" cm="1">
        <f t="array" ref="AL18:AP18">_xlfn.TEXTSPLIT(A18,"_")</f>
        <v>MVPRP</v>
      </c>
      <c r="AM18" t="str">
        <v>C10</v>
      </c>
      <c r="AN18" t="str">
        <v>P6</v>
      </c>
      <c r="AO18" t="str">
        <v>V2</v>
      </c>
      <c r="AP18" t="str">
        <v>I1</v>
      </c>
    </row>
    <row r="19" spans="1:42" x14ac:dyDescent="0.25">
      <c r="A19" t="s">
        <v>49</v>
      </c>
      <c r="B19">
        <f t="shared" si="0"/>
        <v>45</v>
      </c>
      <c r="C19">
        <f t="shared" si="1"/>
        <v>3</v>
      </c>
      <c r="D19">
        <f t="shared" si="2"/>
        <v>4</v>
      </c>
      <c r="E19" t="s">
        <v>127</v>
      </c>
      <c r="F19" t="s">
        <v>37</v>
      </c>
      <c r="G19">
        <v>51041.299882235202</v>
      </c>
      <c r="H19">
        <v>50846.733842312897</v>
      </c>
      <c r="I19" s="3">
        <v>3.8119334807531599E-3</v>
      </c>
      <c r="J19">
        <v>3600</v>
      </c>
      <c r="K19" t="s">
        <v>122</v>
      </c>
      <c r="L19">
        <v>270</v>
      </c>
      <c r="N19">
        <v>3</v>
      </c>
      <c r="O19">
        <v>6000</v>
      </c>
      <c r="P19">
        <v>33060</v>
      </c>
      <c r="Q19">
        <v>5611</v>
      </c>
      <c r="R19">
        <v>6370.2998822351601</v>
      </c>
      <c r="S19">
        <v>-1</v>
      </c>
      <c r="T19">
        <v>-1</v>
      </c>
      <c r="U19">
        <v>-1</v>
      </c>
      <c r="AL19" t="str" cm="1">
        <f t="array" ref="AL19:AP19">_xlfn.TEXTSPLIT(A19,"_")</f>
        <v>MVPRP</v>
      </c>
      <c r="AM19" t="str">
        <v>C45</v>
      </c>
      <c r="AN19" t="str">
        <v>P3</v>
      </c>
      <c r="AO19" t="str">
        <v>V4</v>
      </c>
      <c r="AP19" t="str">
        <v>I1</v>
      </c>
    </row>
    <row r="20" spans="1:42" x14ac:dyDescent="0.25">
      <c r="A20" t="s">
        <v>50</v>
      </c>
      <c r="B20">
        <f t="shared" si="0"/>
        <v>25</v>
      </c>
      <c r="C20">
        <f t="shared" si="1"/>
        <v>6</v>
      </c>
      <c r="D20">
        <f t="shared" si="2"/>
        <v>3</v>
      </c>
      <c r="E20" t="s">
        <v>127</v>
      </c>
      <c r="F20" t="s">
        <v>18</v>
      </c>
      <c r="G20">
        <v>57446.699999999903</v>
      </c>
      <c r="H20">
        <v>57446.699999999903</v>
      </c>
      <c r="I20" s="3">
        <v>0</v>
      </c>
      <c r="J20">
        <v>105.08987545967101</v>
      </c>
      <c r="K20" t="s">
        <v>51</v>
      </c>
      <c r="L20">
        <v>189</v>
      </c>
      <c r="N20">
        <v>3</v>
      </c>
      <c r="O20">
        <v>6000</v>
      </c>
      <c r="P20">
        <v>28380</v>
      </c>
      <c r="Q20">
        <v>17248</v>
      </c>
      <c r="R20">
        <v>5818.7</v>
      </c>
      <c r="S20">
        <v>-1</v>
      </c>
      <c r="T20">
        <v>-1</v>
      </c>
      <c r="U20">
        <v>-1</v>
      </c>
      <c r="AL20" t="str" cm="1">
        <f t="array" ref="AL20:AP20">_xlfn.TEXTSPLIT(A20,"_")</f>
        <v>MVPRP</v>
      </c>
      <c r="AM20" t="str">
        <v>C25</v>
      </c>
      <c r="AN20" t="str">
        <v>P6</v>
      </c>
      <c r="AO20" t="str">
        <v>V3</v>
      </c>
      <c r="AP20" t="str">
        <v>I1</v>
      </c>
    </row>
    <row r="21" spans="1:42" x14ac:dyDescent="0.25">
      <c r="A21" t="s">
        <v>52</v>
      </c>
      <c r="B21">
        <f t="shared" si="0"/>
        <v>15</v>
      </c>
      <c r="C21">
        <f t="shared" si="1"/>
        <v>6</v>
      </c>
      <c r="D21">
        <f t="shared" si="2"/>
        <v>2</v>
      </c>
      <c r="E21" t="s">
        <v>127</v>
      </c>
      <c r="F21" t="s">
        <v>18</v>
      </c>
      <c r="G21">
        <v>43302.1</v>
      </c>
      <c r="H21">
        <v>43302.1</v>
      </c>
      <c r="I21" s="3">
        <v>0</v>
      </c>
      <c r="J21">
        <v>7.5187520980834996</v>
      </c>
      <c r="K21" t="s">
        <v>53</v>
      </c>
      <c r="L21">
        <v>198</v>
      </c>
      <c r="N21">
        <v>3</v>
      </c>
      <c r="O21">
        <v>6000</v>
      </c>
      <c r="P21">
        <v>19800</v>
      </c>
      <c r="Q21">
        <v>10877</v>
      </c>
      <c r="R21">
        <v>6625.1</v>
      </c>
      <c r="S21">
        <v>-1</v>
      </c>
      <c r="T21">
        <v>-1</v>
      </c>
      <c r="U21">
        <v>-1</v>
      </c>
      <c r="AL21" t="str" cm="1">
        <f t="array" ref="AL21:AP21">_xlfn.TEXTSPLIT(A21,"_")</f>
        <v>MVPRP</v>
      </c>
      <c r="AM21" t="str">
        <v>C15</v>
      </c>
      <c r="AN21" t="str">
        <v>P6</v>
      </c>
      <c r="AO21" t="str">
        <v>V2</v>
      </c>
      <c r="AP21" t="str">
        <v>I1</v>
      </c>
    </row>
    <row r="22" spans="1:42" x14ac:dyDescent="0.25">
      <c r="A22" t="s">
        <v>54</v>
      </c>
      <c r="B22">
        <f t="shared" si="0"/>
        <v>35</v>
      </c>
      <c r="C22">
        <f t="shared" si="1"/>
        <v>6</v>
      </c>
      <c r="D22">
        <f t="shared" si="2"/>
        <v>3</v>
      </c>
      <c r="E22" t="s">
        <v>127</v>
      </c>
      <c r="F22" t="s">
        <v>18</v>
      </c>
      <c r="G22">
        <v>75501.5</v>
      </c>
      <c r="H22">
        <v>75501.5</v>
      </c>
      <c r="I22" s="3">
        <v>0</v>
      </c>
      <c r="J22">
        <v>394.45544719695999</v>
      </c>
      <c r="K22" t="s">
        <v>55</v>
      </c>
      <c r="L22">
        <v>276</v>
      </c>
      <c r="N22">
        <v>3</v>
      </c>
      <c r="O22">
        <v>6000</v>
      </c>
      <c r="P22">
        <v>42900</v>
      </c>
      <c r="Q22">
        <v>18771</v>
      </c>
      <c r="R22">
        <v>7830.5</v>
      </c>
      <c r="S22">
        <v>-1</v>
      </c>
      <c r="T22">
        <v>-1</v>
      </c>
      <c r="U22">
        <v>-1</v>
      </c>
      <c r="AL22" t="str" cm="1">
        <f t="array" ref="AL22:AP22">_xlfn.TEXTSPLIT(A22,"_")</f>
        <v>MVPRP</v>
      </c>
      <c r="AM22" t="str">
        <v>C35</v>
      </c>
      <c r="AN22" t="str">
        <v>P6</v>
      </c>
      <c r="AO22" t="str">
        <v>V3</v>
      </c>
      <c r="AP22" t="str">
        <v>I1</v>
      </c>
    </row>
    <row r="23" spans="1:42" x14ac:dyDescent="0.25">
      <c r="A23" t="s">
        <v>56</v>
      </c>
      <c r="B23">
        <f t="shared" si="0"/>
        <v>25</v>
      </c>
      <c r="C23">
        <f t="shared" si="1"/>
        <v>3</v>
      </c>
      <c r="D23">
        <f t="shared" si="2"/>
        <v>3</v>
      </c>
      <c r="E23" t="s">
        <v>127</v>
      </c>
      <c r="F23" t="s">
        <v>18</v>
      </c>
      <c r="G23">
        <v>26268.999999999902</v>
      </c>
      <c r="H23">
        <v>26268.999999999902</v>
      </c>
      <c r="I23" s="3">
        <v>0</v>
      </c>
      <c r="J23">
        <v>11.198552608489999</v>
      </c>
      <c r="K23" t="s">
        <v>57</v>
      </c>
      <c r="L23">
        <v>189</v>
      </c>
      <c r="N23">
        <v>3</v>
      </c>
      <c r="O23">
        <v>3000</v>
      </c>
      <c r="P23">
        <v>14340</v>
      </c>
      <c r="Q23">
        <v>5405</v>
      </c>
      <c r="R23">
        <v>3524</v>
      </c>
      <c r="S23">
        <v>-1</v>
      </c>
      <c r="T23">
        <v>-1</v>
      </c>
      <c r="U23">
        <v>-1</v>
      </c>
      <c r="AL23" t="str" cm="1">
        <f t="array" ref="AL23:AP23">_xlfn.TEXTSPLIT(A23,"_")</f>
        <v>MVPRP</v>
      </c>
      <c r="AM23" t="str">
        <v>C25</v>
      </c>
      <c r="AN23" t="str">
        <v>P3</v>
      </c>
      <c r="AO23" t="str">
        <v>V3</v>
      </c>
      <c r="AP23" t="str">
        <v>I1</v>
      </c>
    </row>
    <row r="24" spans="1:42" x14ac:dyDescent="0.25">
      <c r="A24" t="s">
        <v>58</v>
      </c>
      <c r="B24">
        <f t="shared" si="0"/>
        <v>10</v>
      </c>
      <c r="C24">
        <f t="shared" si="1"/>
        <v>6</v>
      </c>
      <c r="D24">
        <f t="shared" si="2"/>
        <v>3</v>
      </c>
      <c r="E24" t="s">
        <v>127</v>
      </c>
      <c r="F24" t="s">
        <v>18</v>
      </c>
      <c r="G24">
        <v>29940</v>
      </c>
      <c r="H24">
        <v>29940</v>
      </c>
      <c r="I24" s="3">
        <v>0</v>
      </c>
      <c r="J24">
        <v>2.9715235233306898</v>
      </c>
      <c r="K24" t="s">
        <v>59</v>
      </c>
      <c r="L24">
        <v>132</v>
      </c>
      <c r="N24">
        <v>3</v>
      </c>
      <c r="O24">
        <v>6000</v>
      </c>
      <c r="P24">
        <v>12690</v>
      </c>
      <c r="Q24">
        <v>7572</v>
      </c>
      <c r="R24">
        <v>3678</v>
      </c>
      <c r="S24">
        <v>-1</v>
      </c>
      <c r="T24">
        <v>-1</v>
      </c>
      <c r="U24">
        <v>-1</v>
      </c>
      <c r="AL24" t="str" cm="1">
        <f t="array" ref="AL24:AP24">_xlfn.TEXTSPLIT(A24,"_")</f>
        <v>MVPRP</v>
      </c>
      <c r="AM24" t="str">
        <v>C10</v>
      </c>
      <c r="AN24" t="str">
        <v>P6</v>
      </c>
      <c r="AO24" t="str">
        <v>V3</v>
      </c>
      <c r="AP24" t="str">
        <v>I1</v>
      </c>
    </row>
    <row r="25" spans="1:42" x14ac:dyDescent="0.25">
      <c r="A25" t="s">
        <v>60</v>
      </c>
      <c r="B25">
        <f t="shared" si="0"/>
        <v>35</v>
      </c>
      <c r="C25">
        <f t="shared" si="1"/>
        <v>3</v>
      </c>
      <c r="D25">
        <f t="shared" si="2"/>
        <v>3</v>
      </c>
      <c r="E25" t="s">
        <v>127</v>
      </c>
      <c r="F25" t="s">
        <v>18</v>
      </c>
      <c r="G25">
        <v>35502.999982298898</v>
      </c>
      <c r="H25">
        <v>35502.999982298898</v>
      </c>
      <c r="I25" s="3">
        <v>0</v>
      </c>
      <c r="J25">
        <v>101.962399244308</v>
      </c>
      <c r="K25" t="s">
        <v>61</v>
      </c>
      <c r="L25">
        <v>276</v>
      </c>
      <c r="M25" t="s">
        <v>62</v>
      </c>
      <c r="N25">
        <v>3</v>
      </c>
      <c r="O25">
        <v>3000</v>
      </c>
      <c r="P25">
        <v>21599.9999863837</v>
      </c>
      <c r="Q25">
        <v>6963.9999959151301</v>
      </c>
      <c r="R25">
        <v>3939</v>
      </c>
      <c r="S25">
        <v>-1</v>
      </c>
      <c r="T25">
        <v>-1</v>
      </c>
      <c r="U25">
        <v>-1</v>
      </c>
      <c r="AL25" t="str" cm="1">
        <f t="array" ref="AL25:AP25">_xlfn.TEXTSPLIT(A25,"_")</f>
        <v>MVPRP</v>
      </c>
      <c r="AM25" t="str">
        <v>C35</v>
      </c>
      <c r="AN25" t="str">
        <v>P3</v>
      </c>
      <c r="AO25" t="str">
        <v>V3</v>
      </c>
      <c r="AP25" t="str">
        <v>I1</v>
      </c>
    </row>
    <row r="26" spans="1:42" x14ac:dyDescent="0.25">
      <c r="A26" t="s">
        <v>63</v>
      </c>
      <c r="B26">
        <f t="shared" si="0"/>
        <v>50</v>
      </c>
      <c r="C26">
        <f t="shared" si="1"/>
        <v>3</v>
      </c>
      <c r="D26">
        <f t="shared" si="2"/>
        <v>3</v>
      </c>
      <c r="E26" t="s">
        <v>127</v>
      </c>
      <c r="F26" t="s">
        <v>18</v>
      </c>
      <c r="G26">
        <v>47561.999884086697</v>
      </c>
      <c r="H26">
        <v>47561.999884086697</v>
      </c>
      <c r="I26" s="3">
        <v>0</v>
      </c>
      <c r="J26">
        <v>852.19040155410801</v>
      </c>
      <c r="K26" t="s">
        <v>64</v>
      </c>
      <c r="L26">
        <v>360</v>
      </c>
      <c r="N26">
        <v>3</v>
      </c>
      <c r="O26">
        <v>3000</v>
      </c>
      <c r="P26">
        <v>29580</v>
      </c>
      <c r="Q26">
        <v>10305</v>
      </c>
      <c r="R26">
        <v>4676.9998840867001</v>
      </c>
      <c r="S26">
        <v>-1</v>
      </c>
      <c r="T26">
        <v>-1</v>
      </c>
      <c r="U26">
        <v>-1</v>
      </c>
      <c r="AL26" t="str" cm="1">
        <f t="array" ref="AL26:AP26">_xlfn.TEXTSPLIT(A26,"_")</f>
        <v>MVPRP</v>
      </c>
      <c r="AM26" t="str">
        <v>C50</v>
      </c>
      <c r="AN26" t="str">
        <v>P3</v>
      </c>
      <c r="AO26" t="str">
        <v>V3</v>
      </c>
      <c r="AP26" t="str">
        <v>I1</v>
      </c>
    </row>
    <row r="27" spans="1:42" x14ac:dyDescent="0.25">
      <c r="A27" t="s">
        <v>65</v>
      </c>
      <c r="B27">
        <f t="shared" si="0"/>
        <v>30</v>
      </c>
      <c r="C27">
        <f t="shared" si="1"/>
        <v>6</v>
      </c>
      <c r="D27">
        <f t="shared" si="2"/>
        <v>3</v>
      </c>
      <c r="E27" t="s">
        <v>127</v>
      </c>
      <c r="F27" t="s">
        <v>18</v>
      </c>
      <c r="G27">
        <v>61714.5</v>
      </c>
      <c r="H27">
        <v>61714.5</v>
      </c>
      <c r="I27" s="3">
        <v>0</v>
      </c>
      <c r="J27">
        <v>234.31152653694201</v>
      </c>
      <c r="K27" t="s">
        <v>66</v>
      </c>
      <c r="L27">
        <v>228</v>
      </c>
      <c r="N27">
        <v>3</v>
      </c>
      <c r="O27">
        <v>6000</v>
      </c>
      <c r="P27">
        <v>33150</v>
      </c>
      <c r="Q27">
        <v>16426</v>
      </c>
      <c r="R27">
        <v>6138.5</v>
      </c>
      <c r="S27">
        <v>-1</v>
      </c>
      <c r="T27">
        <v>-1</v>
      </c>
      <c r="U27">
        <v>-1</v>
      </c>
      <c r="AL27" t="str" cm="1">
        <f t="array" ref="AL27:AP27">_xlfn.TEXTSPLIT(A27,"_")</f>
        <v>MVPRP</v>
      </c>
      <c r="AM27" t="str">
        <v>C30</v>
      </c>
      <c r="AN27" t="str">
        <v>P6</v>
      </c>
      <c r="AO27" t="str">
        <v>V3</v>
      </c>
      <c r="AP27" t="str">
        <v>I1</v>
      </c>
    </row>
    <row r="28" spans="1:42" x14ac:dyDescent="0.25">
      <c r="A28" t="s">
        <v>67</v>
      </c>
      <c r="B28">
        <f t="shared" si="0"/>
        <v>30</v>
      </c>
      <c r="C28">
        <f t="shared" si="1"/>
        <v>6</v>
      </c>
      <c r="D28">
        <f t="shared" si="2"/>
        <v>4</v>
      </c>
      <c r="E28" t="s">
        <v>127</v>
      </c>
      <c r="F28" t="s">
        <v>37</v>
      </c>
      <c r="G28">
        <v>62059</v>
      </c>
      <c r="H28">
        <v>61694.591091853603</v>
      </c>
      <c r="I28" s="3">
        <v>5.87197518726404E-3</v>
      </c>
      <c r="J28">
        <v>3600</v>
      </c>
      <c r="K28" t="s">
        <v>123</v>
      </c>
      <c r="L28">
        <v>171</v>
      </c>
      <c r="N28">
        <v>3</v>
      </c>
      <c r="O28">
        <v>6000</v>
      </c>
      <c r="P28">
        <v>33150</v>
      </c>
      <c r="Q28">
        <v>15589</v>
      </c>
      <c r="R28">
        <v>7320</v>
      </c>
      <c r="S28">
        <v>-1</v>
      </c>
      <c r="T28">
        <v>-1</v>
      </c>
      <c r="U28">
        <v>-1</v>
      </c>
      <c r="AL28" t="str" cm="1">
        <f t="array" ref="AL28:AP28">_xlfn.TEXTSPLIT(A28,"_")</f>
        <v>MVPRP</v>
      </c>
      <c r="AM28" t="str">
        <v>C30</v>
      </c>
      <c r="AN28" t="str">
        <v>P6</v>
      </c>
      <c r="AO28" t="str">
        <v>V4</v>
      </c>
      <c r="AP28" t="str">
        <v>I1</v>
      </c>
    </row>
    <row r="29" spans="1:42" x14ac:dyDescent="0.25">
      <c r="A29" t="s">
        <v>68</v>
      </c>
      <c r="B29">
        <f t="shared" si="0"/>
        <v>25</v>
      </c>
      <c r="C29">
        <f t="shared" si="1"/>
        <v>9</v>
      </c>
      <c r="D29">
        <f t="shared" si="2"/>
        <v>3</v>
      </c>
      <c r="E29" t="s">
        <v>127</v>
      </c>
      <c r="F29" t="s">
        <v>18</v>
      </c>
      <c r="G29">
        <v>102341.699686479</v>
      </c>
      <c r="H29">
        <v>102341.699686479</v>
      </c>
      <c r="I29" s="3">
        <v>0</v>
      </c>
      <c r="J29">
        <v>1533.02445268631</v>
      </c>
      <c r="K29" t="s">
        <v>69</v>
      </c>
      <c r="L29">
        <v>189</v>
      </c>
      <c r="N29">
        <v>3</v>
      </c>
      <c r="O29">
        <v>9000.0009851570594</v>
      </c>
      <c r="P29">
        <v>59879.999999999898</v>
      </c>
      <c r="Q29">
        <v>20621.998634508502</v>
      </c>
      <c r="R29">
        <v>12839.700066813801</v>
      </c>
      <c r="S29">
        <v>-1</v>
      </c>
      <c r="T29">
        <v>-1</v>
      </c>
      <c r="U29">
        <v>-1</v>
      </c>
      <c r="AL29" t="str" cm="1">
        <f t="array" ref="AL29:AP29">_xlfn.TEXTSPLIT(A29,"_")</f>
        <v>MVPRP</v>
      </c>
      <c r="AM29" t="str">
        <v>C25</v>
      </c>
      <c r="AN29" t="str">
        <v>P9</v>
      </c>
      <c r="AO29" t="str">
        <v>V3</v>
      </c>
      <c r="AP29" t="str">
        <v>I1</v>
      </c>
    </row>
    <row r="30" spans="1:42" x14ac:dyDescent="0.25">
      <c r="A30" t="s">
        <v>70</v>
      </c>
      <c r="B30">
        <f t="shared" si="0"/>
        <v>20</v>
      </c>
      <c r="C30">
        <f t="shared" si="1"/>
        <v>6</v>
      </c>
      <c r="D30">
        <f t="shared" si="2"/>
        <v>2</v>
      </c>
      <c r="E30" t="s">
        <v>127</v>
      </c>
      <c r="F30" t="s">
        <v>18</v>
      </c>
      <c r="G30">
        <v>49276.7</v>
      </c>
      <c r="H30">
        <v>49276.7</v>
      </c>
      <c r="I30" s="3">
        <v>0</v>
      </c>
      <c r="J30">
        <v>10.761481523513799</v>
      </c>
      <c r="K30" t="s">
        <v>71</v>
      </c>
      <c r="L30">
        <v>283</v>
      </c>
      <c r="N30">
        <v>3</v>
      </c>
      <c r="O30">
        <v>6000</v>
      </c>
      <c r="P30">
        <v>23820</v>
      </c>
      <c r="Q30">
        <v>12905</v>
      </c>
      <c r="R30">
        <v>6551.7</v>
      </c>
      <c r="S30">
        <v>-1</v>
      </c>
      <c r="T30">
        <v>-1</v>
      </c>
      <c r="U30">
        <v>-1</v>
      </c>
      <c r="AL30" t="str" cm="1">
        <f t="array" ref="AL30:AP30">_xlfn.TEXTSPLIT(A30,"_")</f>
        <v>MVPRP</v>
      </c>
      <c r="AM30" t="str">
        <v>C20</v>
      </c>
      <c r="AN30" t="str">
        <v>P6</v>
      </c>
      <c r="AO30" t="str">
        <v>V2</v>
      </c>
      <c r="AP30" t="str">
        <v>I1</v>
      </c>
    </row>
    <row r="31" spans="1:42" x14ac:dyDescent="0.25">
      <c r="A31" t="s">
        <v>72</v>
      </c>
      <c r="B31">
        <f t="shared" si="0"/>
        <v>15</v>
      </c>
      <c r="C31">
        <f t="shared" si="1"/>
        <v>6</v>
      </c>
      <c r="D31">
        <f t="shared" si="2"/>
        <v>3</v>
      </c>
      <c r="E31" t="s">
        <v>127</v>
      </c>
      <c r="F31" t="s">
        <v>18</v>
      </c>
      <c r="G31">
        <v>42282.199999999903</v>
      </c>
      <c r="H31">
        <v>42282.199999999903</v>
      </c>
      <c r="I31" s="3">
        <v>0</v>
      </c>
      <c r="J31">
        <v>13.222474336624099</v>
      </c>
      <c r="K31" t="s">
        <v>73</v>
      </c>
      <c r="L31">
        <v>132</v>
      </c>
      <c r="N31">
        <v>3</v>
      </c>
      <c r="O31">
        <v>6000</v>
      </c>
      <c r="P31">
        <v>19800</v>
      </c>
      <c r="Q31">
        <v>11075</v>
      </c>
      <c r="R31">
        <v>5407.2</v>
      </c>
      <c r="S31">
        <v>-1</v>
      </c>
      <c r="T31">
        <v>-1</v>
      </c>
      <c r="U31">
        <v>-1</v>
      </c>
      <c r="AL31" t="str" cm="1">
        <f t="array" ref="AL31:AP31">_xlfn.TEXTSPLIT(A31,"_")</f>
        <v>MVPRP</v>
      </c>
      <c r="AM31" t="str">
        <v>C15</v>
      </c>
      <c r="AN31" t="str">
        <v>P6</v>
      </c>
      <c r="AO31" t="str">
        <v>V3</v>
      </c>
      <c r="AP31" t="str">
        <v>I1</v>
      </c>
    </row>
    <row r="32" spans="1:42" x14ac:dyDescent="0.25">
      <c r="A32" t="s">
        <v>74</v>
      </c>
      <c r="B32">
        <f t="shared" si="0"/>
        <v>15</v>
      </c>
      <c r="C32">
        <f t="shared" si="1"/>
        <v>3</v>
      </c>
      <c r="D32">
        <f t="shared" si="2"/>
        <v>3</v>
      </c>
      <c r="E32" t="s">
        <v>127</v>
      </c>
      <c r="F32" t="s">
        <v>18</v>
      </c>
      <c r="G32">
        <v>19687</v>
      </c>
      <c r="H32">
        <v>19687</v>
      </c>
      <c r="I32" s="3">
        <v>0</v>
      </c>
      <c r="J32">
        <v>5.0368688106536901</v>
      </c>
      <c r="K32" t="s">
        <v>75</v>
      </c>
      <c r="L32">
        <v>132</v>
      </c>
      <c r="N32">
        <v>3</v>
      </c>
      <c r="O32">
        <v>3000</v>
      </c>
      <c r="P32">
        <v>9960</v>
      </c>
      <c r="Q32">
        <v>3896</v>
      </c>
      <c r="R32">
        <v>2831</v>
      </c>
      <c r="S32">
        <v>-1</v>
      </c>
      <c r="T32">
        <v>-1</v>
      </c>
      <c r="U32">
        <v>-1</v>
      </c>
      <c r="AL32" t="str" cm="1">
        <f t="array" ref="AL32:AP32">_xlfn.TEXTSPLIT(A32,"_")</f>
        <v>MVPRP</v>
      </c>
      <c r="AM32" t="str">
        <v>C15</v>
      </c>
      <c r="AN32" t="str">
        <v>P3</v>
      </c>
      <c r="AO32" t="str">
        <v>V3</v>
      </c>
      <c r="AP32" t="str">
        <v>I1</v>
      </c>
    </row>
    <row r="33" spans="1:42" x14ac:dyDescent="0.25">
      <c r="A33" t="s">
        <v>76</v>
      </c>
      <c r="B33">
        <f t="shared" si="0"/>
        <v>25</v>
      </c>
      <c r="C33">
        <f t="shared" si="1"/>
        <v>9</v>
      </c>
      <c r="D33">
        <f t="shared" si="2"/>
        <v>2</v>
      </c>
      <c r="E33" t="s">
        <v>127</v>
      </c>
      <c r="F33" t="s">
        <v>18</v>
      </c>
      <c r="G33">
        <v>105976.5</v>
      </c>
      <c r="H33">
        <v>105967.771107237</v>
      </c>
      <c r="I33" s="3">
        <v>8.2366305388182099E-5</v>
      </c>
      <c r="J33">
        <v>293.26045894622803</v>
      </c>
      <c r="K33" t="s">
        <v>77</v>
      </c>
      <c r="L33">
        <v>283</v>
      </c>
      <c r="N33">
        <v>3</v>
      </c>
      <c r="O33">
        <v>9000</v>
      </c>
      <c r="P33">
        <v>59880</v>
      </c>
      <c r="Q33">
        <v>21561</v>
      </c>
      <c r="R33">
        <v>15535.5</v>
      </c>
      <c r="S33">
        <v>-1</v>
      </c>
      <c r="T33">
        <v>-1</v>
      </c>
      <c r="U33">
        <v>-1</v>
      </c>
      <c r="AL33" t="str" cm="1">
        <f t="array" ref="AL33:AP33">_xlfn.TEXTSPLIT(A33,"_")</f>
        <v>MVPRP</v>
      </c>
      <c r="AM33" t="str">
        <v>C25</v>
      </c>
      <c r="AN33" t="str">
        <v>P9</v>
      </c>
      <c r="AO33" t="str">
        <v>V2</v>
      </c>
      <c r="AP33" t="str">
        <v>I1</v>
      </c>
    </row>
    <row r="34" spans="1:42" x14ac:dyDescent="0.25">
      <c r="A34" t="s">
        <v>78</v>
      </c>
      <c r="B34">
        <f t="shared" si="0"/>
        <v>35</v>
      </c>
      <c r="C34">
        <f t="shared" si="1"/>
        <v>3</v>
      </c>
      <c r="D34">
        <f t="shared" si="2"/>
        <v>4</v>
      </c>
      <c r="E34" t="s">
        <v>127</v>
      </c>
      <c r="F34" t="s">
        <v>18</v>
      </c>
      <c r="G34">
        <v>35853.999808658598</v>
      </c>
      <c r="H34">
        <v>35850.549641031699</v>
      </c>
      <c r="I34" s="3">
        <v>9.6228249156599596E-5</v>
      </c>
      <c r="J34">
        <v>1605.97722697258</v>
      </c>
      <c r="K34" t="s">
        <v>124</v>
      </c>
      <c r="L34">
        <v>207</v>
      </c>
      <c r="N34">
        <v>3</v>
      </c>
      <c r="O34">
        <v>3000</v>
      </c>
      <c r="P34">
        <v>21600</v>
      </c>
      <c r="Q34">
        <v>6531</v>
      </c>
      <c r="R34">
        <v>4722.9998086585601</v>
      </c>
      <c r="S34">
        <v>-1</v>
      </c>
      <c r="T34">
        <v>-1</v>
      </c>
      <c r="U34">
        <v>-1</v>
      </c>
      <c r="AL34" t="str" cm="1">
        <f t="array" ref="AL34:AP34">_xlfn.TEXTSPLIT(A34,"_")</f>
        <v>MVPRP</v>
      </c>
      <c r="AM34" t="str">
        <v>C35</v>
      </c>
      <c r="AN34" t="str">
        <v>P3</v>
      </c>
      <c r="AO34" t="str">
        <v>V4</v>
      </c>
      <c r="AP34" t="str">
        <v>I1</v>
      </c>
    </row>
    <row r="35" spans="1:42" x14ac:dyDescent="0.25">
      <c r="A35" t="s">
        <v>79</v>
      </c>
      <c r="B35">
        <f t="shared" si="0"/>
        <v>25</v>
      </c>
      <c r="C35">
        <f t="shared" si="1"/>
        <v>3</v>
      </c>
      <c r="D35">
        <f t="shared" si="2"/>
        <v>2</v>
      </c>
      <c r="E35" t="s">
        <v>127</v>
      </c>
      <c r="F35" t="s">
        <v>18</v>
      </c>
      <c r="G35">
        <v>27643.199996849999</v>
      </c>
      <c r="H35">
        <v>27643.199996849999</v>
      </c>
      <c r="I35" s="3">
        <v>0</v>
      </c>
      <c r="J35">
        <v>3.8954026699066202</v>
      </c>
      <c r="K35" t="s">
        <v>80</v>
      </c>
      <c r="L35">
        <v>283</v>
      </c>
      <c r="N35">
        <v>3</v>
      </c>
      <c r="O35">
        <v>3000</v>
      </c>
      <c r="P35">
        <v>14340</v>
      </c>
      <c r="Q35">
        <v>5901</v>
      </c>
      <c r="R35">
        <v>4402.1999968500004</v>
      </c>
      <c r="S35">
        <v>-1</v>
      </c>
      <c r="T35">
        <v>-1</v>
      </c>
      <c r="U35">
        <v>-1</v>
      </c>
      <c r="AL35" t="str" cm="1">
        <f t="array" ref="AL35:AP35">_xlfn.TEXTSPLIT(A35,"_")</f>
        <v>MVPRP</v>
      </c>
      <c r="AM35" t="str">
        <v>C25</v>
      </c>
      <c r="AN35" t="str">
        <v>P3</v>
      </c>
      <c r="AO35" t="str">
        <v>V2</v>
      </c>
      <c r="AP35" t="str">
        <v>I1</v>
      </c>
    </row>
    <row r="36" spans="1:42" x14ac:dyDescent="0.25">
      <c r="A36" t="s">
        <v>81</v>
      </c>
      <c r="B36">
        <f t="shared" si="0"/>
        <v>20</v>
      </c>
      <c r="C36">
        <f t="shared" si="1"/>
        <v>9</v>
      </c>
      <c r="D36">
        <f t="shared" si="2"/>
        <v>3</v>
      </c>
      <c r="E36" t="s">
        <v>127</v>
      </c>
      <c r="F36" t="s">
        <v>18</v>
      </c>
      <c r="G36">
        <v>83219.0999999997</v>
      </c>
      <c r="H36">
        <v>83219.0999999997</v>
      </c>
      <c r="I36" s="3">
        <v>0</v>
      </c>
      <c r="J36">
        <v>137.14987373352099</v>
      </c>
      <c r="K36" t="s">
        <v>82</v>
      </c>
      <c r="L36">
        <v>189</v>
      </c>
      <c r="N36">
        <v>3</v>
      </c>
      <c r="O36">
        <v>9000</v>
      </c>
      <c r="P36">
        <v>48120</v>
      </c>
      <c r="Q36">
        <v>15253</v>
      </c>
      <c r="R36">
        <v>10846.1</v>
      </c>
      <c r="S36">
        <v>-1</v>
      </c>
      <c r="T36">
        <v>-1</v>
      </c>
      <c r="U36">
        <v>-1</v>
      </c>
      <c r="AL36" t="str" cm="1">
        <f t="array" ref="AL36:AP36">_xlfn.TEXTSPLIT(A36,"_")</f>
        <v>MVPRP</v>
      </c>
      <c r="AM36" t="str">
        <v>C20</v>
      </c>
      <c r="AN36" t="str">
        <v>P9</v>
      </c>
      <c r="AO36" t="str">
        <v>V3</v>
      </c>
      <c r="AP36" t="str">
        <v>I1</v>
      </c>
    </row>
    <row r="37" spans="1:42" x14ac:dyDescent="0.25">
      <c r="A37" t="s">
        <v>83</v>
      </c>
      <c r="B37">
        <f t="shared" si="0"/>
        <v>40</v>
      </c>
      <c r="C37">
        <f t="shared" si="1"/>
        <v>6</v>
      </c>
      <c r="D37">
        <f t="shared" si="2"/>
        <v>4</v>
      </c>
      <c r="E37" t="s">
        <v>127</v>
      </c>
      <c r="F37" t="s">
        <v>37</v>
      </c>
      <c r="G37">
        <v>96710</v>
      </c>
      <c r="H37">
        <v>96453.312137460103</v>
      </c>
      <c r="I37" s="3">
        <v>2.6542018668177102E-3</v>
      </c>
      <c r="J37">
        <v>3600</v>
      </c>
      <c r="K37" t="s">
        <v>125</v>
      </c>
      <c r="L37">
        <v>270</v>
      </c>
      <c r="N37">
        <v>3</v>
      </c>
      <c r="O37">
        <v>6000</v>
      </c>
      <c r="P37">
        <v>55170</v>
      </c>
      <c r="Q37">
        <v>25747</v>
      </c>
      <c r="R37">
        <v>9793</v>
      </c>
      <c r="S37">
        <v>-1</v>
      </c>
      <c r="T37">
        <v>-1</v>
      </c>
      <c r="U37">
        <v>-1</v>
      </c>
      <c r="AL37" t="str" cm="1">
        <f t="array" ref="AL37:AP37">_xlfn.TEXTSPLIT(A37,"_")</f>
        <v>MVPRP</v>
      </c>
      <c r="AM37" t="str">
        <v>C40</v>
      </c>
      <c r="AN37" t="str">
        <v>P6</v>
      </c>
      <c r="AO37" t="str">
        <v>V4</v>
      </c>
      <c r="AP37" t="str">
        <v>I1</v>
      </c>
    </row>
    <row r="38" spans="1:42" x14ac:dyDescent="0.25">
      <c r="A38" t="s">
        <v>84</v>
      </c>
      <c r="B38">
        <f t="shared" si="0"/>
        <v>30</v>
      </c>
      <c r="C38">
        <f t="shared" si="1"/>
        <v>9</v>
      </c>
      <c r="D38">
        <f t="shared" si="2"/>
        <v>3</v>
      </c>
      <c r="E38" t="s">
        <v>127</v>
      </c>
      <c r="F38" t="s">
        <v>37</v>
      </c>
      <c r="G38">
        <v>111627.9</v>
      </c>
      <c r="H38">
        <v>110998.898149354</v>
      </c>
      <c r="I38" s="3">
        <v>5.6348085975416896E-3</v>
      </c>
      <c r="J38">
        <v>3600.1837399005899</v>
      </c>
      <c r="K38" t="s">
        <v>85</v>
      </c>
      <c r="L38">
        <v>228</v>
      </c>
      <c r="N38">
        <v>3</v>
      </c>
      <c r="O38">
        <v>12000</v>
      </c>
      <c r="P38">
        <v>67710</v>
      </c>
      <c r="Q38">
        <v>18923</v>
      </c>
      <c r="R38">
        <v>12994.9</v>
      </c>
      <c r="S38">
        <v>-1</v>
      </c>
      <c r="T38">
        <v>-1</v>
      </c>
      <c r="U38">
        <v>-1</v>
      </c>
      <c r="AL38" t="str" cm="1">
        <f t="array" ref="AL38:AP38">_xlfn.TEXTSPLIT(A38,"_")</f>
        <v>MVPRP</v>
      </c>
      <c r="AM38" t="str">
        <v>C30</v>
      </c>
      <c r="AN38" t="str">
        <v>P9</v>
      </c>
      <c r="AO38" t="str">
        <v>V3</v>
      </c>
      <c r="AP38" t="str">
        <v>I1</v>
      </c>
    </row>
    <row r="39" spans="1:42" x14ac:dyDescent="0.25">
      <c r="A39" t="s">
        <v>86</v>
      </c>
      <c r="B39">
        <f t="shared" si="0"/>
        <v>25</v>
      </c>
      <c r="C39">
        <f t="shared" si="1"/>
        <v>6</v>
      </c>
      <c r="D39">
        <f t="shared" si="2"/>
        <v>2</v>
      </c>
      <c r="E39" t="s">
        <v>127</v>
      </c>
      <c r="F39" t="s">
        <v>18</v>
      </c>
      <c r="G39">
        <v>59073.299999999901</v>
      </c>
      <c r="H39">
        <v>59073.299999999901</v>
      </c>
      <c r="I39" s="3">
        <v>0</v>
      </c>
      <c r="J39">
        <v>17.3522338867188</v>
      </c>
      <c r="K39" t="s">
        <v>87</v>
      </c>
      <c r="L39">
        <v>283</v>
      </c>
      <c r="N39">
        <v>3</v>
      </c>
      <c r="O39">
        <v>6000</v>
      </c>
      <c r="P39">
        <v>28380</v>
      </c>
      <c r="Q39">
        <v>17067</v>
      </c>
      <c r="R39">
        <v>7626.3</v>
      </c>
      <c r="S39">
        <v>-1</v>
      </c>
      <c r="T39">
        <v>-1</v>
      </c>
      <c r="U39">
        <v>-1</v>
      </c>
      <c r="AL39" t="str" cm="1">
        <f t="array" ref="AL39:AP39">_xlfn.TEXTSPLIT(A39,"_")</f>
        <v>MVPRP</v>
      </c>
      <c r="AM39" t="str">
        <v>C25</v>
      </c>
      <c r="AN39" t="str">
        <v>P6</v>
      </c>
      <c r="AO39" t="str">
        <v>V2</v>
      </c>
      <c r="AP39" t="str">
        <v>I1</v>
      </c>
    </row>
    <row r="40" spans="1:42" x14ac:dyDescent="0.25">
      <c r="A40" t="s">
        <v>88</v>
      </c>
      <c r="B40">
        <f t="shared" si="0"/>
        <v>10</v>
      </c>
      <c r="C40">
        <f t="shared" si="1"/>
        <v>9</v>
      </c>
      <c r="D40">
        <f t="shared" si="2"/>
        <v>3</v>
      </c>
      <c r="E40" t="s">
        <v>127</v>
      </c>
      <c r="F40" t="s">
        <v>18</v>
      </c>
      <c r="G40">
        <v>52070.6</v>
      </c>
      <c r="H40">
        <v>52070.6</v>
      </c>
      <c r="I40" s="3">
        <v>0</v>
      </c>
      <c r="J40">
        <v>33.002681970596299</v>
      </c>
      <c r="K40" t="s">
        <v>89</v>
      </c>
      <c r="L40">
        <v>132</v>
      </c>
      <c r="N40">
        <v>3</v>
      </c>
      <c r="O40">
        <v>9000</v>
      </c>
      <c r="P40">
        <v>26370</v>
      </c>
      <c r="Q40">
        <v>9790</v>
      </c>
      <c r="R40">
        <v>6910.6</v>
      </c>
      <c r="S40">
        <v>-1</v>
      </c>
      <c r="T40">
        <v>-1</v>
      </c>
      <c r="U40">
        <v>-1</v>
      </c>
      <c r="AL40" t="str" cm="1">
        <f t="array" ref="AL40:AP40">_xlfn.TEXTSPLIT(A40,"_")</f>
        <v>MVPRP</v>
      </c>
      <c r="AM40" t="str">
        <v>C10</v>
      </c>
      <c r="AN40" t="str">
        <v>P9</v>
      </c>
      <c r="AO40" t="str">
        <v>V3</v>
      </c>
      <c r="AP40" t="str">
        <v>I1</v>
      </c>
    </row>
    <row r="41" spans="1:42" x14ac:dyDescent="0.25">
      <c r="A41" t="s">
        <v>90</v>
      </c>
      <c r="B41">
        <f t="shared" si="0"/>
        <v>20</v>
      </c>
      <c r="C41">
        <f t="shared" si="1"/>
        <v>9</v>
      </c>
      <c r="D41">
        <f t="shared" si="2"/>
        <v>2</v>
      </c>
      <c r="E41" t="s">
        <v>127</v>
      </c>
      <c r="F41" t="s">
        <v>18</v>
      </c>
      <c r="G41">
        <v>86751.699988678898</v>
      </c>
      <c r="H41">
        <v>86751.699988678898</v>
      </c>
      <c r="I41" s="3">
        <v>0</v>
      </c>
      <c r="J41">
        <v>125.520920991898</v>
      </c>
      <c r="K41" t="s">
        <v>91</v>
      </c>
      <c r="L41">
        <v>283</v>
      </c>
      <c r="N41">
        <v>3</v>
      </c>
      <c r="O41">
        <v>9000</v>
      </c>
      <c r="P41">
        <v>48120</v>
      </c>
      <c r="Q41">
        <v>17441</v>
      </c>
      <c r="R41">
        <v>12190.6999886789</v>
      </c>
      <c r="S41">
        <v>-1</v>
      </c>
      <c r="T41">
        <v>-1</v>
      </c>
      <c r="U41">
        <v>-1</v>
      </c>
      <c r="AL41" t="str" cm="1">
        <f t="array" ref="AL41:AP41">_xlfn.TEXTSPLIT(A41,"_")</f>
        <v>MVPRP</v>
      </c>
      <c r="AM41" t="str">
        <v>C20</v>
      </c>
      <c r="AN41" t="str">
        <v>P9</v>
      </c>
      <c r="AO41" t="str">
        <v>V2</v>
      </c>
      <c r="AP41" t="str">
        <v>I1</v>
      </c>
    </row>
    <row r="42" spans="1:42" x14ac:dyDescent="0.25">
      <c r="A42" t="s">
        <v>92</v>
      </c>
      <c r="B42">
        <f t="shared" si="0"/>
        <v>30</v>
      </c>
      <c r="C42">
        <f t="shared" si="1"/>
        <v>3</v>
      </c>
      <c r="D42">
        <f t="shared" si="2"/>
        <v>3</v>
      </c>
      <c r="E42" t="s">
        <v>127</v>
      </c>
      <c r="F42" t="s">
        <v>18</v>
      </c>
      <c r="G42">
        <v>28872</v>
      </c>
      <c r="H42">
        <v>28872</v>
      </c>
      <c r="I42" s="3">
        <v>0</v>
      </c>
      <c r="J42">
        <v>53.276528596878101</v>
      </c>
      <c r="K42" t="s">
        <v>93</v>
      </c>
      <c r="L42">
        <v>228</v>
      </c>
      <c r="N42">
        <v>3</v>
      </c>
      <c r="O42">
        <v>3000</v>
      </c>
      <c r="P42">
        <v>16680</v>
      </c>
      <c r="Q42">
        <v>5721</v>
      </c>
      <c r="R42">
        <v>3471</v>
      </c>
      <c r="S42">
        <v>-1</v>
      </c>
      <c r="T42">
        <v>-1</v>
      </c>
      <c r="U42">
        <v>-1</v>
      </c>
      <c r="AL42" t="str" cm="1">
        <f t="array" ref="AL42:AP42">_xlfn.TEXTSPLIT(A42,"_")</f>
        <v>MVPRP</v>
      </c>
      <c r="AM42" t="str">
        <v>C30</v>
      </c>
      <c r="AN42" t="str">
        <v>P3</v>
      </c>
      <c r="AO42" t="str">
        <v>V3</v>
      </c>
      <c r="AP42" t="str">
        <v>I1</v>
      </c>
    </row>
    <row r="43" spans="1:42" x14ac:dyDescent="0.25">
      <c r="A43" t="s">
        <v>94</v>
      </c>
      <c r="B43">
        <f t="shared" si="0"/>
        <v>50</v>
      </c>
      <c r="C43">
        <f t="shared" si="1"/>
        <v>3</v>
      </c>
      <c r="D43">
        <f t="shared" si="2"/>
        <v>4</v>
      </c>
      <c r="E43" t="s">
        <v>127</v>
      </c>
      <c r="F43" t="s">
        <v>37</v>
      </c>
      <c r="G43">
        <v>47266.999966712203</v>
      </c>
      <c r="H43">
        <v>47057.317635382104</v>
      </c>
      <c r="I43" s="3">
        <v>4.4361252348937901E-3</v>
      </c>
      <c r="J43">
        <v>3600</v>
      </c>
      <c r="K43" t="s">
        <v>126</v>
      </c>
      <c r="L43">
        <v>270</v>
      </c>
      <c r="N43">
        <v>3</v>
      </c>
      <c r="O43">
        <v>6000</v>
      </c>
      <c r="P43">
        <v>29579.9999770838</v>
      </c>
      <c r="Q43">
        <v>5666.9999896284098</v>
      </c>
      <c r="R43">
        <v>6020</v>
      </c>
      <c r="S43">
        <v>-1</v>
      </c>
      <c r="T43">
        <v>-1</v>
      </c>
      <c r="U43">
        <v>-1</v>
      </c>
      <c r="AL43" t="str" cm="1">
        <f t="array" ref="AL43:AP43">_xlfn.TEXTSPLIT(A43,"_")</f>
        <v>MVPRP</v>
      </c>
      <c r="AM43" t="str">
        <v>C50</v>
      </c>
      <c r="AN43" t="str">
        <v>P3</v>
      </c>
      <c r="AO43" t="str">
        <v>V4</v>
      </c>
      <c r="AP43" t="str">
        <v>I1</v>
      </c>
    </row>
    <row r="44" spans="1:42" x14ac:dyDescent="0.25">
      <c r="A44" t="s">
        <v>17</v>
      </c>
      <c r="B44">
        <f t="shared" ref="B44:D83" si="3">_xlfn.NUMBERVALUE(REPLACE(AM44,1,1,""))</f>
        <v>15</v>
      </c>
      <c r="C44">
        <f t="shared" si="3"/>
        <v>9</v>
      </c>
      <c r="D44">
        <f t="shared" si="3"/>
        <v>3</v>
      </c>
      <c r="E44" t="s">
        <v>128</v>
      </c>
      <c r="F44" t="s">
        <v>37</v>
      </c>
      <c r="G44">
        <v>75841.100000000006</v>
      </c>
      <c r="H44">
        <v>73903.111060851894</v>
      </c>
      <c r="I44" s="3">
        <v>2.5553280993394201E-2</v>
      </c>
      <c r="J44">
        <v>3600.9177973270398</v>
      </c>
      <c r="K44" t="s">
        <v>95</v>
      </c>
      <c r="L44">
        <v>132</v>
      </c>
      <c r="N44">
        <v>3</v>
      </c>
      <c r="O44">
        <v>9000</v>
      </c>
      <c r="P44">
        <v>40950</v>
      </c>
      <c r="Q44">
        <v>13906</v>
      </c>
      <c r="R44">
        <v>11148</v>
      </c>
      <c r="S44">
        <v>0</v>
      </c>
      <c r="T44">
        <v>0</v>
      </c>
      <c r="U44">
        <v>0</v>
      </c>
      <c r="V44">
        <v>475</v>
      </c>
      <c r="W44">
        <v>2767</v>
      </c>
      <c r="X44">
        <v>0</v>
      </c>
      <c r="Y44">
        <v>170</v>
      </c>
      <c r="Z44">
        <v>0</v>
      </c>
      <c r="AA44">
        <v>9.0204218523484199E-5</v>
      </c>
      <c r="AB44">
        <v>2.0073397834857799E-4</v>
      </c>
      <c r="AC44">
        <v>5.5502150446323298E-3</v>
      </c>
      <c r="AD44">
        <v>8.9361131127614294E-3</v>
      </c>
      <c r="AE44">
        <v>0.170966119044211</v>
      </c>
      <c r="AL44" t="str" cm="1">
        <f t="array" ref="AL44:AP44">_xlfn.TEXTSPLIT(A44,"_")</f>
        <v>MVPRP</v>
      </c>
      <c r="AM44" t="str">
        <v>C15</v>
      </c>
      <c r="AN44" t="str">
        <v>P9</v>
      </c>
      <c r="AO44" t="str">
        <v>V3</v>
      </c>
      <c r="AP44" t="str">
        <v>I1</v>
      </c>
    </row>
    <row r="45" spans="1:42" x14ac:dyDescent="0.25">
      <c r="A45" t="s">
        <v>20</v>
      </c>
      <c r="B45">
        <f t="shared" si="3"/>
        <v>20</v>
      </c>
      <c r="C45">
        <f t="shared" si="3"/>
        <v>3</v>
      </c>
      <c r="D45">
        <f t="shared" si="3"/>
        <v>2</v>
      </c>
      <c r="E45" t="s">
        <v>128</v>
      </c>
      <c r="F45" t="s">
        <v>18</v>
      </c>
      <c r="G45">
        <v>23484.9</v>
      </c>
      <c r="H45">
        <v>23484.9</v>
      </c>
      <c r="I45" s="3">
        <v>0</v>
      </c>
      <c r="J45">
        <v>3.32226538658142</v>
      </c>
      <c r="K45" t="s">
        <v>95</v>
      </c>
      <c r="L45">
        <v>283</v>
      </c>
      <c r="N45">
        <v>3</v>
      </c>
      <c r="O45">
        <v>3000</v>
      </c>
      <c r="P45">
        <v>12030</v>
      </c>
      <c r="Q45">
        <v>4509</v>
      </c>
      <c r="R45">
        <v>2671</v>
      </c>
      <c r="S45">
        <v>0</v>
      </c>
      <c r="T45">
        <v>0</v>
      </c>
      <c r="U45">
        <v>0</v>
      </c>
      <c r="V45">
        <v>2</v>
      </c>
      <c r="W45">
        <v>32</v>
      </c>
      <c r="X45">
        <v>0</v>
      </c>
      <c r="Y45">
        <v>41</v>
      </c>
      <c r="Z45">
        <v>0</v>
      </c>
      <c r="AA45">
        <v>9.9245505996897298E-5</v>
      </c>
      <c r="AB45">
        <v>2.5641239755521902E-4</v>
      </c>
      <c r="AC45">
        <v>5.0733758692155803E-3</v>
      </c>
      <c r="AD45">
        <v>9.4523036602846104E-3</v>
      </c>
      <c r="AE45">
        <v>0.100639124711355</v>
      </c>
      <c r="AL45" t="str" cm="1">
        <f t="array" ref="AL45:AP45">_xlfn.TEXTSPLIT(A45,"_")</f>
        <v>MVPRP</v>
      </c>
      <c r="AM45" t="str">
        <v>C20</v>
      </c>
      <c r="AN45" t="str">
        <v>P3</v>
      </c>
      <c r="AO45" t="str">
        <v>V2</v>
      </c>
      <c r="AP45" t="str">
        <v>I1</v>
      </c>
    </row>
    <row r="46" spans="1:42" x14ac:dyDescent="0.25">
      <c r="A46" t="s">
        <v>22</v>
      </c>
      <c r="B46">
        <f t="shared" si="3"/>
        <v>40</v>
      </c>
      <c r="C46">
        <f t="shared" si="3"/>
        <v>3</v>
      </c>
      <c r="D46">
        <f t="shared" si="3"/>
        <v>4</v>
      </c>
      <c r="E46" t="s">
        <v>128</v>
      </c>
      <c r="F46" t="s">
        <v>18</v>
      </c>
      <c r="G46">
        <v>44461</v>
      </c>
      <c r="H46">
        <v>44461</v>
      </c>
      <c r="I46" s="3">
        <v>0</v>
      </c>
      <c r="J46">
        <v>167.601476430893</v>
      </c>
      <c r="K46" t="s">
        <v>95</v>
      </c>
      <c r="L46">
        <v>270</v>
      </c>
      <c r="N46">
        <v>3</v>
      </c>
      <c r="O46">
        <v>6000</v>
      </c>
      <c r="P46">
        <v>27660</v>
      </c>
      <c r="Q46">
        <v>5013</v>
      </c>
      <c r="R46">
        <v>5788</v>
      </c>
      <c r="S46">
        <v>0</v>
      </c>
      <c r="T46">
        <v>0</v>
      </c>
      <c r="U46">
        <v>0</v>
      </c>
      <c r="V46">
        <v>2</v>
      </c>
      <c r="W46">
        <v>358</v>
      </c>
      <c r="X46">
        <v>0</v>
      </c>
      <c r="Y46">
        <v>123</v>
      </c>
      <c r="Z46">
        <v>0</v>
      </c>
      <c r="AA46">
        <v>2.1326434504878399E-4</v>
      </c>
      <c r="AB46">
        <v>7.5713981167850901E-4</v>
      </c>
      <c r="AC46">
        <v>8.32445000948971E-3</v>
      </c>
      <c r="AD46">
        <v>1.9894288870004499E-2</v>
      </c>
      <c r="AE46">
        <v>0.85882012660686802</v>
      </c>
      <c r="AL46" t="str" cm="1">
        <f t="array" ref="AL46:AP46">_xlfn.TEXTSPLIT(A46,"_")</f>
        <v>MVPRP</v>
      </c>
      <c r="AM46" t="str">
        <v>C40</v>
      </c>
      <c r="AN46" t="str">
        <v>P3</v>
      </c>
      <c r="AO46" t="str">
        <v>V4</v>
      </c>
      <c r="AP46" t="str">
        <v>I1</v>
      </c>
    </row>
    <row r="47" spans="1:42" x14ac:dyDescent="0.25">
      <c r="A47" t="s">
        <v>23</v>
      </c>
      <c r="B47">
        <f t="shared" si="3"/>
        <v>10</v>
      </c>
      <c r="C47">
        <f t="shared" si="3"/>
        <v>9</v>
      </c>
      <c r="D47">
        <f t="shared" si="3"/>
        <v>2</v>
      </c>
      <c r="E47" t="s">
        <v>128</v>
      </c>
      <c r="F47" t="s">
        <v>18</v>
      </c>
      <c r="G47">
        <v>52882.899930014202</v>
      </c>
      <c r="H47">
        <v>52882.899930014202</v>
      </c>
      <c r="I47" s="3">
        <v>0</v>
      </c>
      <c r="J47">
        <v>52.0067043304443</v>
      </c>
      <c r="K47" t="s">
        <v>95</v>
      </c>
      <c r="L47">
        <v>198</v>
      </c>
      <c r="N47">
        <v>3</v>
      </c>
      <c r="O47">
        <v>9000</v>
      </c>
      <c r="P47">
        <v>26370</v>
      </c>
      <c r="Q47">
        <v>10336</v>
      </c>
      <c r="R47">
        <v>5223</v>
      </c>
      <c r="S47">
        <v>0</v>
      </c>
      <c r="T47">
        <v>0</v>
      </c>
      <c r="U47">
        <v>0</v>
      </c>
      <c r="V47">
        <v>73</v>
      </c>
      <c r="W47">
        <v>92</v>
      </c>
      <c r="X47">
        <v>0</v>
      </c>
      <c r="Y47">
        <v>26</v>
      </c>
      <c r="Z47">
        <v>0</v>
      </c>
      <c r="AA47">
        <v>5.9313839592141897E-5</v>
      </c>
      <c r="AB47">
        <v>1.2012040664139101E-4</v>
      </c>
      <c r="AC47">
        <v>3.9932761480015603E-3</v>
      </c>
      <c r="AD47">
        <v>5.4523817531725496E-3</v>
      </c>
      <c r="AE47">
        <v>6.4635789557679096E-2</v>
      </c>
      <c r="AL47" t="str" cm="1">
        <f t="array" ref="AL47:AP47">_xlfn.TEXTSPLIT(A47,"_")</f>
        <v>MVPRP</v>
      </c>
      <c r="AM47" t="str">
        <v>C10</v>
      </c>
      <c r="AN47" t="str">
        <v>P9</v>
      </c>
      <c r="AO47" t="str">
        <v>V2</v>
      </c>
      <c r="AP47" t="str">
        <v>I1</v>
      </c>
    </row>
    <row r="48" spans="1:42" x14ac:dyDescent="0.25">
      <c r="A48" t="s">
        <v>25</v>
      </c>
      <c r="B48">
        <f t="shared" si="3"/>
        <v>15</v>
      </c>
      <c r="C48">
        <f t="shared" si="3"/>
        <v>3</v>
      </c>
      <c r="D48">
        <f t="shared" si="3"/>
        <v>2</v>
      </c>
      <c r="E48" t="s">
        <v>128</v>
      </c>
      <c r="F48" t="s">
        <v>18</v>
      </c>
      <c r="G48">
        <v>20511.5</v>
      </c>
      <c r="H48">
        <v>20511.5</v>
      </c>
      <c r="I48" s="3">
        <v>0</v>
      </c>
      <c r="J48">
        <v>7.6202158927917498</v>
      </c>
      <c r="K48" t="s">
        <v>95</v>
      </c>
      <c r="L48">
        <v>198</v>
      </c>
      <c r="N48">
        <v>3</v>
      </c>
      <c r="O48">
        <v>3000</v>
      </c>
      <c r="P48">
        <v>9960</v>
      </c>
      <c r="Q48">
        <v>3896</v>
      </c>
      <c r="R48">
        <v>2762</v>
      </c>
      <c r="S48">
        <v>0</v>
      </c>
      <c r="T48">
        <v>0</v>
      </c>
      <c r="U48">
        <v>0</v>
      </c>
      <c r="V48">
        <v>5</v>
      </c>
      <c r="W48">
        <v>148</v>
      </c>
      <c r="X48">
        <v>0</v>
      </c>
      <c r="Y48">
        <v>19</v>
      </c>
      <c r="Z48">
        <v>0</v>
      </c>
      <c r="AA48">
        <v>1.13620902552749E-4</v>
      </c>
      <c r="AB48">
        <v>1.8148825912879299E-4</v>
      </c>
      <c r="AC48">
        <v>6.5089591911860903E-3</v>
      </c>
      <c r="AD48">
        <v>8.41930718792714E-3</v>
      </c>
      <c r="AE48">
        <v>7.1225194370045403E-2</v>
      </c>
      <c r="AL48" t="str" cm="1">
        <f t="array" ref="AL48:AP48">_xlfn.TEXTSPLIT(A48,"_")</f>
        <v>MVPRP</v>
      </c>
      <c r="AM48" t="str">
        <v>C15</v>
      </c>
      <c r="AN48" t="str">
        <v>P3</v>
      </c>
      <c r="AO48" t="str">
        <v>V2</v>
      </c>
      <c r="AP48" t="str">
        <v>I1</v>
      </c>
    </row>
    <row r="49" spans="1:42" x14ac:dyDescent="0.25">
      <c r="A49" t="s">
        <v>27</v>
      </c>
      <c r="B49">
        <f t="shared" si="3"/>
        <v>40</v>
      </c>
      <c r="C49">
        <f t="shared" si="3"/>
        <v>3</v>
      </c>
      <c r="D49">
        <f t="shared" si="3"/>
        <v>3</v>
      </c>
      <c r="E49" t="s">
        <v>128</v>
      </c>
      <c r="F49" t="s">
        <v>37</v>
      </c>
      <c r="G49">
        <v>44628</v>
      </c>
      <c r="H49">
        <v>44410.881171670699</v>
      </c>
      <c r="I49" s="3">
        <v>4.8650808534850404E-3</v>
      </c>
      <c r="J49">
        <v>3602.2959241867102</v>
      </c>
      <c r="K49" t="s">
        <v>95</v>
      </c>
      <c r="L49">
        <v>360</v>
      </c>
      <c r="N49">
        <v>3</v>
      </c>
      <c r="O49">
        <v>3000</v>
      </c>
      <c r="P49">
        <v>27660</v>
      </c>
      <c r="Q49">
        <v>9304</v>
      </c>
      <c r="R49">
        <v>4664</v>
      </c>
      <c r="S49">
        <v>0</v>
      </c>
      <c r="T49">
        <v>0</v>
      </c>
      <c r="U49">
        <v>0</v>
      </c>
      <c r="V49">
        <v>623</v>
      </c>
      <c r="W49">
        <v>1221</v>
      </c>
      <c r="X49">
        <v>0</v>
      </c>
      <c r="Y49">
        <v>383</v>
      </c>
      <c r="Z49">
        <v>0</v>
      </c>
      <c r="AA49">
        <v>1.92808604288866E-4</v>
      </c>
      <c r="AB49">
        <v>5.4236239693251497E-4</v>
      </c>
      <c r="AC49">
        <v>8.7112814455288998E-3</v>
      </c>
      <c r="AD49">
        <v>1.5526796817779499E-2</v>
      </c>
      <c r="AE49">
        <v>0.31126078130295598</v>
      </c>
      <c r="AL49" t="str" cm="1">
        <f t="array" ref="AL49:AP49">_xlfn.TEXTSPLIT(A49,"_")</f>
        <v>MVPRP</v>
      </c>
      <c r="AM49" t="str">
        <v>C40</v>
      </c>
      <c r="AN49" t="str">
        <v>P3</v>
      </c>
      <c r="AO49" t="str">
        <v>V3</v>
      </c>
      <c r="AP49" t="str">
        <v>I1</v>
      </c>
    </row>
    <row r="50" spans="1:42" x14ac:dyDescent="0.25">
      <c r="A50" t="s">
        <v>29</v>
      </c>
      <c r="B50">
        <f t="shared" si="3"/>
        <v>20</v>
      </c>
      <c r="C50">
        <f t="shared" si="3"/>
        <v>6</v>
      </c>
      <c r="D50">
        <f t="shared" si="3"/>
        <v>3</v>
      </c>
      <c r="E50" t="s">
        <v>128</v>
      </c>
      <c r="F50" t="s">
        <v>18</v>
      </c>
      <c r="G50">
        <v>47744.299999000003</v>
      </c>
      <c r="H50">
        <v>47744.299999000003</v>
      </c>
      <c r="I50" s="3">
        <v>0</v>
      </c>
      <c r="J50">
        <v>65.617680549621596</v>
      </c>
      <c r="K50" t="s">
        <v>95</v>
      </c>
      <c r="L50">
        <v>189</v>
      </c>
      <c r="N50">
        <v>3</v>
      </c>
      <c r="O50">
        <v>6000</v>
      </c>
      <c r="P50">
        <v>23820</v>
      </c>
      <c r="Q50">
        <v>12552</v>
      </c>
      <c r="R50">
        <v>5309</v>
      </c>
      <c r="S50">
        <v>0</v>
      </c>
      <c r="T50">
        <v>0</v>
      </c>
      <c r="U50">
        <v>0</v>
      </c>
      <c r="V50">
        <v>39</v>
      </c>
      <c r="W50">
        <v>233</v>
      </c>
      <c r="X50">
        <v>0</v>
      </c>
      <c r="Y50">
        <v>80</v>
      </c>
      <c r="Z50">
        <v>0</v>
      </c>
      <c r="AA50">
        <v>8.1613761227147105E-5</v>
      </c>
      <c r="AB50">
        <v>2.3621067502140199E-4</v>
      </c>
      <c r="AC50">
        <v>4.8886519759448596E-3</v>
      </c>
      <c r="AD50">
        <v>8.5321104515847495E-3</v>
      </c>
      <c r="AE50">
        <v>0.23963098724683099</v>
      </c>
      <c r="AL50" t="str" cm="1">
        <f t="array" ref="AL50:AP50">_xlfn.TEXTSPLIT(A50,"_")</f>
        <v>MVPRP</v>
      </c>
      <c r="AM50" t="str">
        <v>C20</v>
      </c>
      <c r="AN50" t="str">
        <v>P6</v>
      </c>
      <c r="AO50" t="str">
        <v>V3</v>
      </c>
      <c r="AP50" t="str">
        <v>I1</v>
      </c>
    </row>
    <row r="51" spans="1:42" x14ac:dyDescent="0.25">
      <c r="A51" t="s">
        <v>31</v>
      </c>
      <c r="B51">
        <f t="shared" si="3"/>
        <v>30</v>
      </c>
      <c r="C51">
        <f t="shared" si="3"/>
        <v>3</v>
      </c>
      <c r="D51">
        <f t="shared" si="3"/>
        <v>4</v>
      </c>
      <c r="E51" t="s">
        <v>128</v>
      </c>
      <c r="F51" t="s">
        <v>18</v>
      </c>
      <c r="G51">
        <v>29157</v>
      </c>
      <c r="H51">
        <v>29157</v>
      </c>
      <c r="I51" s="3">
        <v>0</v>
      </c>
      <c r="J51">
        <v>306.33727836608898</v>
      </c>
      <c r="K51" t="s">
        <v>95</v>
      </c>
      <c r="L51">
        <v>171</v>
      </c>
      <c r="N51">
        <v>3</v>
      </c>
      <c r="O51">
        <v>3000</v>
      </c>
      <c r="P51">
        <v>16680</v>
      </c>
      <c r="Q51">
        <v>5464</v>
      </c>
      <c r="R51">
        <v>4013</v>
      </c>
      <c r="S51">
        <v>0</v>
      </c>
      <c r="T51">
        <v>0</v>
      </c>
      <c r="U51">
        <v>0</v>
      </c>
      <c r="V51">
        <v>1</v>
      </c>
      <c r="W51">
        <v>535</v>
      </c>
      <c r="X51">
        <v>0</v>
      </c>
      <c r="Y51">
        <v>92</v>
      </c>
      <c r="Z51">
        <v>0</v>
      </c>
      <c r="AA51">
        <v>1.62362063079454E-4</v>
      </c>
      <c r="AB51">
        <v>4.4036623257309601E-4</v>
      </c>
      <c r="AC51">
        <v>7.5950803635995599E-3</v>
      </c>
      <c r="AD51">
        <v>1.54161838519486E-2</v>
      </c>
      <c r="AE51">
        <v>0.36849211851755798</v>
      </c>
      <c r="AL51" t="str" cm="1">
        <f t="array" ref="AL51:AP51">_xlfn.TEXTSPLIT(A51,"_")</f>
        <v>MVPRP</v>
      </c>
      <c r="AM51" t="str">
        <v>C30</v>
      </c>
      <c r="AN51" t="str">
        <v>P3</v>
      </c>
      <c r="AO51" t="str">
        <v>V4</v>
      </c>
      <c r="AP51" t="str">
        <v>I1</v>
      </c>
    </row>
    <row r="52" spans="1:42" x14ac:dyDescent="0.25">
      <c r="A52" t="s">
        <v>32</v>
      </c>
      <c r="B52">
        <f t="shared" si="3"/>
        <v>10</v>
      </c>
      <c r="C52">
        <f t="shared" si="3"/>
        <v>3</v>
      </c>
      <c r="D52">
        <f t="shared" si="3"/>
        <v>3</v>
      </c>
      <c r="E52" t="s">
        <v>128</v>
      </c>
      <c r="F52" t="s">
        <v>18</v>
      </c>
      <c r="G52">
        <v>14002</v>
      </c>
      <c r="H52">
        <v>14002</v>
      </c>
      <c r="I52" s="3">
        <v>0</v>
      </c>
      <c r="J52">
        <v>1.8500740528106701</v>
      </c>
      <c r="K52" t="s">
        <v>95</v>
      </c>
      <c r="L52">
        <v>132</v>
      </c>
      <c r="N52">
        <v>3</v>
      </c>
      <c r="O52">
        <v>3000</v>
      </c>
      <c r="P52">
        <v>6390</v>
      </c>
      <c r="Q52">
        <v>2681</v>
      </c>
      <c r="R52">
        <v>1931</v>
      </c>
      <c r="S52">
        <v>0</v>
      </c>
      <c r="T52">
        <v>0</v>
      </c>
      <c r="U52">
        <v>0</v>
      </c>
      <c r="V52">
        <v>1</v>
      </c>
      <c r="W52">
        <v>18</v>
      </c>
      <c r="X52">
        <v>0</v>
      </c>
      <c r="Y52">
        <v>11</v>
      </c>
      <c r="Z52">
        <v>0</v>
      </c>
      <c r="AA52">
        <v>8.7102254231770802E-5</v>
      </c>
      <c r="AB52">
        <v>2.0523071289062499E-4</v>
      </c>
      <c r="AC52">
        <v>6.3227244785853797E-3</v>
      </c>
      <c r="AD52">
        <v>1.10423651086279E-2</v>
      </c>
      <c r="AE52">
        <v>3.6277770996093799E-2</v>
      </c>
      <c r="AL52" t="str" cm="1">
        <f t="array" ref="AL52:AP52">_xlfn.TEXTSPLIT(A52,"_")</f>
        <v>MVPRP</v>
      </c>
      <c r="AM52" t="str">
        <v>C10</v>
      </c>
      <c r="AN52" t="str">
        <v>P3</v>
      </c>
      <c r="AO52" t="str">
        <v>V3</v>
      </c>
      <c r="AP52" t="str">
        <v>I1</v>
      </c>
    </row>
    <row r="53" spans="1:42" x14ac:dyDescent="0.25">
      <c r="A53" t="s">
        <v>34</v>
      </c>
      <c r="B53">
        <f t="shared" si="3"/>
        <v>10</v>
      </c>
      <c r="C53">
        <f t="shared" si="3"/>
        <v>3</v>
      </c>
      <c r="D53">
        <f t="shared" si="3"/>
        <v>2</v>
      </c>
      <c r="E53" t="s">
        <v>128</v>
      </c>
      <c r="F53" t="s">
        <v>18</v>
      </c>
      <c r="G53">
        <v>14480.9</v>
      </c>
      <c r="H53">
        <v>14480.9</v>
      </c>
      <c r="I53" s="3">
        <v>0</v>
      </c>
      <c r="J53">
        <v>0.58914399147033703</v>
      </c>
      <c r="K53" t="s">
        <v>95</v>
      </c>
      <c r="L53">
        <v>198</v>
      </c>
      <c r="N53">
        <v>3</v>
      </c>
      <c r="O53">
        <v>3000</v>
      </c>
      <c r="P53">
        <v>6390</v>
      </c>
      <c r="Q53">
        <v>2999</v>
      </c>
      <c r="R53">
        <v>1535</v>
      </c>
      <c r="S53">
        <v>0</v>
      </c>
      <c r="T53">
        <v>0</v>
      </c>
      <c r="U53">
        <v>0</v>
      </c>
      <c r="V53">
        <v>1</v>
      </c>
      <c r="W53">
        <v>5</v>
      </c>
      <c r="X53">
        <v>0</v>
      </c>
      <c r="Y53">
        <v>10</v>
      </c>
      <c r="Z53">
        <v>0</v>
      </c>
      <c r="AA53">
        <v>6.4239501953124999E-5</v>
      </c>
      <c r="AB53">
        <v>1.3350305103120399E-4</v>
      </c>
      <c r="AC53">
        <v>4.8478841781616202E-3</v>
      </c>
      <c r="AD53">
        <v>6.05968066624233E-3</v>
      </c>
      <c r="AE53">
        <v>2.8281648953755699E-2</v>
      </c>
      <c r="AL53" t="str" cm="1">
        <f t="array" ref="AL53:AP53">_xlfn.TEXTSPLIT(A53,"_")</f>
        <v>MVPRP</v>
      </c>
      <c r="AM53" t="str">
        <v>C10</v>
      </c>
      <c r="AN53" t="str">
        <v>P3</v>
      </c>
      <c r="AO53" t="str">
        <v>V2</v>
      </c>
      <c r="AP53" t="str">
        <v>I1</v>
      </c>
    </row>
    <row r="54" spans="1:42" x14ac:dyDescent="0.25">
      <c r="A54" t="s">
        <v>36</v>
      </c>
      <c r="B54">
        <f t="shared" si="3"/>
        <v>30</v>
      </c>
      <c r="C54">
        <f t="shared" si="3"/>
        <v>9</v>
      </c>
      <c r="D54">
        <f t="shared" si="3"/>
        <v>4</v>
      </c>
      <c r="E54" t="s">
        <v>128</v>
      </c>
      <c r="F54" t="s">
        <v>37</v>
      </c>
      <c r="G54">
        <v>113646.299999</v>
      </c>
      <c r="H54">
        <v>110134.411661626</v>
      </c>
      <c r="I54" s="3">
        <v>3.0901915305687699E-2</v>
      </c>
      <c r="J54">
        <v>3601.4042057991001</v>
      </c>
      <c r="K54" t="s">
        <v>95</v>
      </c>
      <c r="L54">
        <v>171</v>
      </c>
      <c r="N54">
        <v>3</v>
      </c>
      <c r="O54">
        <v>12000</v>
      </c>
      <c r="P54">
        <v>67710</v>
      </c>
      <c r="Q54">
        <v>18753</v>
      </c>
      <c r="R54">
        <v>14549</v>
      </c>
      <c r="S54">
        <v>0</v>
      </c>
      <c r="T54">
        <v>0</v>
      </c>
      <c r="U54">
        <v>0</v>
      </c>
      <c r="V54">
        <v>48</v>
      </c>
      <c r="W54">
        <v>4379</v>
      </c>
      <c r="X54">
        <v>0</v>
      </c>
      <c r="Y54">
        <v>667</v>
      </c>
      <c r="Z54">
        <v>0</v>
      </c>
      <c r="AA54">
        <v>1.2849416270991099E-4</v>
      </c>
      <c r="AB54">
        <v>3.6682380432809399E-4</v>
      </c>
      <c r="AC54">
        <v>5.2902248048562603E-3</v>
      </c>
      <c r="AD54">
        <v>1.23710498310529E-2</v>
      </c>
      <c r="AE54">
        <v>1.2186635356200399</v>
      </c>
      <c r="AL54" t="str" cm="1">
        <f t="array" ref="AL54:AP54">_xlfn.TEXTSPLIT(A54,"_")</f>
        <v>MVPRP</v>
      </c>
      <c r="AM54" t="str">
        <v>C30</v>
      </c>
      <c r="AN54" t="str">
        <v>P9</v>
      </c>
      <c r="AO54" t="str">
        <v>V4</v>
      </c>
      <c r="AP54" t="str">
        <v>I1</v>
      </c>
    </row>
    <row r="55" spans="1:42" x14ac:dyDescent="0.25">
      <c r="A55" t="s">
        <v>38</v>
      </c>
      <c r="B55">
        <f t="shared" si="3"/>
        <v>20</v>
      </c>
      <c r="C55">
        <f t="shared" si="3"/>
        <v>3</v>
      </c>
      <c r="D55">
        <f t="shared" si="3"/>
        <v>3</v>
      </c>
      <c r="E55" t="s">
        <v>128</v>
      </c>
      <c r="F55" t="s">
        <v>18</v>
      </c>
      <c r="G55">
        <v>22438.299993394601</v>
      </c>
      <c r="H55">
        <v>22438.299993394601</v>
      </c>
      <c r="I55" s="3">
        <v>0</v>
      </c>
      <c r="J55">
        <v>14.6724627017975</v>
      </c>
      <c r="K55" t="s">
        <v>95</v>
      </c>
      <c r="L55">
        <v>189</v>
      </c>
      <c r="N55">
        <v>3</v>
      </c>
      <c r="O55">
        <v>3000</v>
      </c>
      <c r="P55">
        <v>12030</v>
      </c>
      <c r="Q55">
        <v>4454.9999948571503</v>
      </c>
      <c r="R55">
        <v>2890</v>
      </c>
      <c r="S55">
        <v>0</v>
      </c>
      <c r="T55">
        <v>0</v>
      </c>
      <c r="U55">
        <v>0</v>
      </c>
      <c r="V55">
        <v>39</v>
      </c>
      <c r="W55">
        <v>180</v>
      </c>
      <c r="X55">
        <v>0</v>
      </c>
      <c r="Y55">
        <v>43</v>
      </c>
      <c r="Z55">
        <v>0</v>
      </c>
      <c r="AA55">
        <v>9.08715384347098E-5</v>
      </c>
      <c r="AB55">
        <v>2.7704622818459999E-4</v>
      </c>
      <c r="AC55">
        <v>5.7191720744907502E-3</v>
      </c>
      <c r="AD55">
        <v>1.07965920309678E-2</v>
      </c>
      <c r="AE55">
        <v>8.0703049289936907E-2</v>
      </c>
      <c r="AL55" t="str" cm="1">
        <f t="array" ref="AL55:AP55">_xlfn.TEXTSPLIT(A55,"_")</f>
        <v>MVPRP</v>
      </c>
      <c r="AM55" t="str">
        <v>C20</v>
      </c>
      <c r="AN55" t="str">
        <v>P3</v>
      </c>
      <c r="AO55" t="str">
        <v>V3</v>
      </c>
      <c r="AP55" t="str">
        <v>I1</v>
      </c>
    </row>
    <row r="56" spans="1:42" x14ac:dyDescent="0.25">
      <c r="A56" t="s">
        <v>40</v>
      </c>
      <c r="B56">
        <f t="shared" si="3"/>
        <v>40</v>
      </c>
      <c r="C56">
        <f t="shared" si="3"/>
        <v>6</v>
      </c>
      <c r="D56">
        <f t="shared" si="3"/>
        <v>3</v>
      </c>
      <c r="E56" t="s">
        <v>128</v>
      </c>
      <c r="F56" t="s">
        <v>37</v>
      </c>
      <c r="G56">
        <v>97625.1</v>
      </c>
      <c r="H56">
        <v>96099.636613636496</v>
      </c>
      <c r="I56" s="3">
        <v>1.5625729308993998E-2</v>
      </c>
      <c r="J56">
        <v>3605.1117820739701</v>
      </c>
      <c r="K56" t="s">
        <v>95</v>
      </c>
      <c r="L56">
        <v>360</v>
      </c>
      <c r="N56">
        <v>3</v>
      </c>
      <c r="O56">
        <v>6000</v>
      </c>
      <c r="P56">
        <v>55170</v>
      </c>
      <c r="Q56">
        <v>26849</v>
      </c>
      <c r="R56">
        <v>8482</v>
      </c>
      <c r="S56">
        <v>0</v>
      </c>
      <c r="T56">
        <v>0</v>
      </c>
      <c r="U56">
        <v>0</v>
      </c>
      <c r="V56">
        <v>157</v>
      </c>
      <c r="W56">
        <v>2461</v>
      </c>
      <c r="X56">
        <v>0</v>
      </c>
      <c r="Y56">
        <v>954</v>
      </c>
      <c r="Z56">
        <v>0</v>
      </c>
      <c r="AA56">
        <v>1.7784378830420301E-4</v>
      </c>
      <c r="AB56">
        <v>5.1180631686479597E-4</v>
      </c>
      <c r="AC56">
        <v>6.4330476914009E-3</v>
      </c>
      <c r="AD56">
        <v>1.2745914758053801E-2</v>
      </c>
      <c r="AE56">
        <v>0.88886404960386201</v>
      </c>
      <c r="AL56" t="str" cm="1">
        <f t="array" ref="AL56:AP56">_xlfn.TEXTSPLIT(A56,"_")</f>
        <v>MVPRP</v>
      </c>
      <c r="AM56" t="str">
        <v>C40</v>
      </c>
      <c r="AN56" t="str">
        <v>P6</v>
      </c>
      <c r="AO56" t="str">
        <v>V3</v>
      </c>
      <c r="AP56" t="str">
        <v>I1</v>
      </c>
    </row>
    <row r="57" spans="1:42" x14ac:dyDescent="0.25">
      <c r="A57" t="s">
        <v>42</v>
      </c>
      <c r="B57">
        <f t="shared" si="3"/>
        <v>15</v>
      </c>
      <c r="C57">
        <f t="shared" si="3"/>
        <v>9</v>
      </c>
      <c r="D57">
        <f t="shared" si="3"/>
        <v>2</v>
      </c>
      <c r="E57" t="s">
        <v>128</v>
      </c>
      <c r="F57" t="s">
        <v>37</v>
      </c>
      <c r="G57">
        <v>77649.799998999995</v>
      </c>
      <c r="H57">
        <v>75815.057426879503</v>
      </c>
      <c r="I57" s="3">
        <v>2.3628426243778301E-2</v>
      </c>
      <c r="J57">
        <v>3601.6836721897098</v>
      </c>
      <c r="K57" t="s">
        <v>95</v>
      </c>
      <c r="L57">
        <v>198</v>
      </c>
      <c r="N57">
        <v>3</v>
      </c>
      <c r="O57">
        <v>9000</v>
      </c>
      <c r="P57">
        <v>40950</v>
      </c>
      <c r="Q57">
        <v>15092</v>
      </c>
      <c r="R57">
        <v>8160</v>
      </c>
      <c r="S57">
        <v>0</v>
      </c>
      <c r="T57">
        <v>0</v>
      </c>
      <c r="U57">
        <v>0</v>
      </c>
      <c r="V57">
        <v>1326</v>
      </c>
      <c r="W57">
        <v>2257</v>
      </c>
      <c r="X57">
        <v>0</v>
      </c>
      <c r="Y57">
        <v>253</v>
      </c>
      <c r="Z57">
        <v>0</v>
      </c>
      <c r="AA57">
        <v>9.5477480724027406E-5</v>
      </c>
      <c r="AB57">
        <v>2.2951901798516899E-4</v>
      </c>
      <c r="AC57">
        <v>5.3104548264170598E-3</v>
      </c>
      <c r="AD57">
        <v>9.3288572405690502E-3</v>
      </c>
      <c r="AE57">
        <v>0.13645041197148</v>
      </c>
      <c r="AL57" t="str" cm="1">
        <f t="array" ref="AL57:AP57">_xlfn.TEXTSPLIT(A57,"_")</f>
        <v>MVPRP</v>
      </c>
      <c r="AM57" t="str">
        <v>C15</v>
      </c>
      <c r="AN57" t="str">
        <v>P9</v>
      </c>
      <c r="AO57" t="str">
        <v>V2</v>
      </c>
      <c r="AP57" t="str">
        <v>I1</v>
      </c>
    </row>
    <row r="58" spans="1:42" x14ac:dyDescent="0.25">
      <c r="A58" t="s">
        <v>44</v>
      </c>
      <c r="B58">
        <f t="shared" si="3"/>
        <v>35</v>
      </c>
      <c r="C58">
        <f t="shared" si="3"/>
        <v>6</v>
      </c>
      <c r="D58">
        <f t="shared" si="3"/>
        <v>4</v>
      </c>
      <c r="E58" t="s">
        <v>128</v>
      </c>
      <c r="F58" t="s">
        <v>37</v>
      </c>
      <c r="G58">
        <v>75836.600000000006</v>
      </c>
      <c r="H58">
        <v>75074.1200361394</v>
      </c>
      <c r="I58" s="3">
        <v>1.00542477360614E-2</v>
      </c>
      <c r="J58">
        <v>3606.4730248451201</v>
      </c>
      <c r="K58" t="s">
        <v>95</v>
      </c>
      <c r="L58">
        <v>207</v>
      </c>
      <c r="N58">
        <v>3</v>
      </c>
      <c r="O58">
        <v>6000</v>
      </c>
      <c r="P58">
        <v>42900</v>
      </c>
      <c r="Q58">
        <v>19161</v>
      </c>
      <c r="R58">
        <v>7470</v>
      </c>
      <c r="S58">
        <v>0</v>
      </c>
      <c r="T58">
        <v>0</v>
      </c>
      <c r="U58">
        <v>0</v>
      </c>
      <c r="V58">
        <v>20</v>
      </c>
      <c r="W58">
        <v>2939</v>
      </c>
      <c r="X58">
        <v>0</v>
      </c>
      <c r="Y58">
        <v>569</v>
      </c>
      <c r="Z58">
        <v>0</v>
      </c>
      <c r="AA58">
        <v>1.5785556239490101E-4</v>
      </c>
      <c r="AB58">
        <v>4.4056775816120298E-4</v>
      </c>
      <c r="AC58">
        <v>5.2971507661775698E-3</v>
      </c>
      <c r="AD58">
        <v>1.3036621796315999E-2</v>
      </c>
      <c r="AE58">
        <v>1.34569577070383</v>
      </c>
      <c r="AL58" t="str" cm="1">
        <f t="array" ref="AL58:AP58">_xlfn.TEXTSPLIT(A58,"_")</f>
        <v>MVPRP</v>
      </c>
      <c r="AM58" t="str">
        <v>C35</v>
      </c>
      <c r="AN58" t="str">
        <v>P6</v>
      </c>
      <c r="AO58" t="str">
        <v>V4</v>
      </c>
      <c r="AP58" t="str">
        <v>I1</v>
      </c>
    </row>
    <row r="59" spans="1:42" x14ac:dyDescent="0.25">
      <c r="A59" t="s">
        <v>45</v>
      </c>
      <c r="B59">
        <f t="shared" si="3"/>
        <v>45</v>
      </c>
      <c r="C59">
        <f t="shared" si="3"/>
        <v>3</v>
      </c>
      <c r="D59">
        <f t="shared" si="3"/>
        <v>3</v>
      </c>
      <c r="E59" t="s">
        <v>128</v>
      </c>
      <c r="F59" t="s">
        <v>37</v>
      </c>
      <c r="G59">
        <v>51624.499998442101</v>
      </c>
      <c r="H59">
        <v>50418.044127858397</v>
      </c>
      <c r="I59" s="3">
        <v>2.3369831584229801E-2</v>
      </c>
      <c r="J59">
        <v>3603.3840231895401</v>
      </c>
      <c r="K59" t="s">
        <v>95</v>
      </c>
      <c r="L59">
        <v>360</v>
      </c>
      <c r="N59">
        <v>3</v>
      </c>
      <c r="O59">
        <v>6000</v>
      </c>
      <c r="P59">
        <v>33060</v>
      </c>
      <c r="Q59">
        <v>5309</v>
      </c>
      <c r="R59">
        <v>6415</v>
      </c>
      <c r="S59">
        <v>0</v>
      </c>
      <c r="T59">
        <v>0</v>
      </c>
      <c r="U59">
        <v>0</v>
      </c>
      <c r="V59">
        <v>984</v>
      </c>
      <c r="W59">
        <v>3058</v>
      </c>
      <c r="X59">
        <v>0</v>
      </c>
      <c r="Y59">
        <v>1853</v>
      </c>
      <c r="Z59">
        <v>0</v>
      </c>
      <c r="AA59">
        <v>2.7856894431004903E-4</v>
      </c>
      <c r="AB59">
        <v>7.9669268893744203E-4</v>
      </c>
      <c r="AC59">
        <v>9.5798845780323705E-3</v>
      </c>
      <c r="AD59">
        <v>1.9310995108551499E-2</v>
      </c>
      <c r="AE59">
        <v>0.47726621904868999</v>
      </c>
      <c r="AL59" t="str" cm="1">
        <f t="array" ref="AL59:AP59">_xlfn.TEXTSPLIT(A59,"_")</f>
        <v>MVPRP</v>
      </c>
      <c r="AM59" t="str">
        <v>C45</v>
      </c>
      <c r="AN59" t="str">
        <v>P3</v>
      </c>
      <c r="AO59" t="str">
        <v>V3</v>
      </c>
      <c r="AP59" t="str">
        <v>I1</v>
      </c>
    </row>
    <row r="60" spans="1:42" x14ac:dyDescent="0.25">
      <c r="A60" t="s">
        <v>47</v>
      </c>
      <c r="B60">
        <f t="shared" si="3"/>
        <v>10</v>
      </c>
      <c r="C60">
        <f t="shared" si="3"/>
        <v>6</v>
      </c>
      <c r="D60">
        <f t="shared" si="3"/>
        <v>2</v>
      </c>
      <c r="E60" t="s">
        <v>128</v>
      </c>
      <c r="F60" t="s">
        <v>18</v>
      </c>
      <c r="G60">
        <v>30459.9</v>
      </c>
      <c r="H60">
        <v>30459.9</v>
      </c>
      <c r="I60" s="3">
        <v>0</v>
      </c>
      <c r="J60">
        <v>5.8374204635620099</v>
      </c>
      <c r="K60" t="s">
        <v>95</v>
      </c>
      <c r="L60">
        <v>198</v>
      </c>
      <c r="N60">
        <v>3</v>
      </c>
      <c r="O60">
        <v>6000</v>
      </c>
      <c r="P60">
        <v>12690</v>
      </c>
      <c r="Q60">
        <v>8163</v>
      </c>
      <c r="R60">
        <v>2706</v>
      </c>
      <c r="S60">
        <v>0</v>
      </c>
      <c r="T60">
        <v>0</v>
      </c>
      <c r="U60">
        <v>0</v>
      </c>
      <c r="V60">
        <v>16</v>
      </c>
      <c r="W60">
        <v>25</v>
      </c>
      <c r="X60">
        <v>0</v>
      </c>
      <c r="Y60">
        <v>15</v>
      </c>
      <c r="Z60">
        <v>0</v>
      </c>
      <c r="AA60">
        <v>9.1022603652056506E-5</v>
      </c>
      <c r="AB60">
        <v>1.8234031144962799E-4</v>
      </c>
      <c r="AC60">
        <v>5.2817419171333297E-3</v>
      </c>
      <c r="AD60">
        <v>7.1546566195604304E-3</v>
      </c>
      <c r="AE60">
        <v>8.4269098613573207E-2</v>
      </c>
      <c r="AL60" t="str" cm="1">
        <f t="array" ref="AL60:AP60">_xlfn.TEXTSPLIT(A60,"_")</f>
        <v>MVPRP</v>
      </c>
      <c r="AM60" t="str">
        <v>C10</v>
      </c>
      <c r="AN60" t="str">
        <v>P6</v>
      </c>
      <c r="AO60" t="str">
        <v>V2</v>
      </c>
      <c r="AP60" t="str">
        <v>I1</v>
      </c>
    </row>
    <row r="61" spans="1:42" x14ac:dyDescent="0.25">
      <c r="A61" t="s">
        <v>49</v>
      </c>
      <c r="B61">
        <f t="shared" si="3"/>
        <v>45</v>
      </c>
      <c r="C61">
        <f t="shared" si="3"/>
        <v>3</v>
      </c>
      <c r="D61">
        <f t="shared" si="3"/>
        <v>4</v>
      </c>
      <c r="E61" t="s">
        <v>128</v>
      </c>
      <c r="F61" t="s">
        <v>37</v>
      </c>
      <c r="G61">
        <v>51091.6</v>
      </c>
      <c r="H61">
        <v>50733.583359046002</v>
      </c>
      <c r="I61" s="3">
        <v>7.0073483890500396E-3</v>
      </c>
      <c r="J61">
        <v>3601.08694624901</v>
      </c>
      <c r="K61" t="s">
        <v>95</v>
      </c>
      <c r="L61">
        <v>270</v>
      </c>
      <c r="N61">
        <v>3</v>
      </c>
      <c r="O61">
        <v>6000</v>
      </c>
      <c r="P61">
        <v>33060</v>
      </c>
      <c r="Q61">
        <v>6179</v>
      </c>
      <c r="R61">
        <v>5837</v>
      </c>
      <c r="S61">
        <v>0</v>
      </c>
      <c r="T61">
        <v>0</v>
      </c>
      <c r="U61">
        <v>0</v>
      </c>
      <c r="V61">
        <v>81</v>
      </c>
      <c r="W61">
        <v>1353</v>
      </c>
      <c r="X61">
        <v>0</v>
      </c>
      <c r="Y61">
        <v>342</v>
      </c>
      <c r="Z61">
        <v>0</v>
      </c>
      <c r="AA61">
        <v>2.3325262368274199E-4</v>
      </c>
      <c r="AB61">
        <v>7.7505396981524595E-4</v>
      </c>
      <c r="AC61">
        <v>9.1385243690177195E-3</v>
      </c>
      <c r="AD61">
        <v>1.99433110040435E-2</v>
      </c>
      <c r="AE61">
        <v>0.87963463278377796</v>
      </c>
      <c r="AL61" t="str" cm="1">
        <f t="array" ref="AL61:AP61">_xlfn.TEXTSPLIT(A61,"_")</f>
        <v>MVPRP</v>
      </c>
      <c r="AM61" t="str">
        <v>C45</v>
      </c>
      <c r="AN61" t="str">
        <v>P3</v>
      </c>
      <c r="AO61" t="str">
        <v>V4</v>
      </c>
      <c r="AP61" t="str">
        <v>I1</v>
      </c>
    </row>
    <row r="62" spans="1:42" x14ac:dyDescent="0.25">
      <c r="A62" t="s">
        <v>50</v>
      </c>
      <c r="B62">
        <f t="shared" si="3"/>
        <v>25</v>
      </c>
      <c r="C62">
        <f t="shared" si="3"/>
        <v>6</v>
      </c>
      <c r="D62">
        <f t="shared" si="3"/>
        <v>3</v>
      </c>
      <c r="E62" t="s">
        <v>128</v>
      </c>
      <c r="F62" t="s">
        <v>37</v>
      </c>
      <c r="G62">
        <v>57446.699893261</v>
      </c>
      <c r="H62">
        <v>57044.348556503697</v>
      </c>
      <c r="I62" s="3">
        <v>7.0039068824639603E-3</v>
      </c>
      <c r="J62">
        <v>3600.2688219547299</v>
      </c>
      <c r="K62" t="s">
        <v>95</v>
      </c>
      <c r="L62">
        <v>189</v>
      </c>
      <c r="N62">
        <v>3</v>
      </c>
      <c r="O62">
        <v>6000</v>
      </c>
      <c r="P62">
        <v>28380</v>
      </c>
      <c r="Q62">
        <v>17248</v>
      </c>
      <c r="R62">
        <v>5449</v>
      </c>
      <c r="S62">
        <v>0</v>
      </c>
      <c r="T62">
        <v>0</v>
      </c>
      <c r="U62">
        <v>0</v>
      </c>
      <c r="V62">
        <v>459</v>
      </c>
      <c r="W62">
        <v>1447</v>
      </c>
      <c r="X62">
        <v>0</v>
      </c>
      <c r="Y62">
        <v>141</v>
      </c>
      <c r="Z62">
        <v>0</v>
      </c>
      <c r="AA62">
        <v>1.05797655571903E-4</v>
      </c>
      <c r="AB62">
        <v>3.03033471692624E-4</v>
      </c>
      <c r="AC62">
        <v>5.5376913248591404E-3</v>
      </c>
      <c r="AD62">
        <v>1.0792733602720201E-2</v>
      </c>
      <c r="AE62">
        <v>0.23932375552215199</v>
      </c>
      <c r="AL62" t="str" cm="1">
        <f t="array" ref="AL62:AP62">_xlfn.TEXTSPLIT(A62,"_")</f>
        <v>MVPRP</v>
      </c>
      <c r="AM62" t="str">
        <v>C25</v>
      </c>
      <c r="AN62" t="str">
        <v>P6</v>
      </c>
      <c r="AO62" t="str">
        <v>V3</v>
      </c>
      <c r="AP62" t="str">
        <v>I1</v>
      </c>
    </row>
    <row r="63" spans="1:42" x14ac:dyDescent="0.25">
      <c r="A63" t="s">
        <v>52</v>
      </c>
      <c r="B63">
        <f t="shared" si="3"/>
        <v>15</v>
      </c>
      <c r="C63">
        <f t="shared" si="3"/>
        <v>6</v>
      </c>
      <c r="D63">
        <f t="shared" si="3"/>
        <v>2</v>
      </c>
      <c r="E63" t="s">
        <v>128</v>
      </c>
      <c r="F63" t="s">
        <v>18</v>
      </c>
      <c r="G63">
        <v>43302.1</v>
      </c>
      <c r="H63">
        <v>43302.1</v>
      </c>
      <c r="I63" s="3">
        <v>0</v>
      </c>
      <c r="J63">
        <v>192.51447153091399</v>
      </c>
      <c r="K63" t="s">
        <v>95</v>
      </c>
      <c r="L63">
        <v>198</v>
      </c>
      <c r="N63">
        <v>3</v>
      </c>
      <c r="O63">
        <v>6000</v>
      </c>
      <c r="P63">
        <v>19800</v>
      </c>
      <c r="Q63">
        <v>10877</v>
      </c>
      <c r="R63">
        <v>5023</v>
      </c>
      <c r="S63">
        <v>0</v>
      </c>
      <c r="T63">
        <v>0</v>
      </c>
      <c r="U63">
        <v>0</v>
      </c>
      <c r="V63">
        <v>234</v>
      </c>
      <c r="W63">
        <v>380</v>
      </c>
      <c r="X63">
        <v>0</v>
      </c>
      <c r="Y63">
        <v>42</v>
      </c>
      <c r="Z63">
        <v>0</v>
      </c>
      <c r="AA63">
        <v>7.4518929927720894E-5</v>
      </c>
      <c r="AB63">
        <v>1.68185688914493E-4</v>
      </c>
      <c r="AC63">
        <v>4.4838264401660102E-3</v>
      </c>
      <c r="AD63">
        <v>6.9223529212276702E-3</v>
      </c>
      <c r="AE63">
        <v>6.3608200696049902E-2</v>
      </c>
      <c r="AL63" t="str" cm="1">
        <f t="array" ref="AL63:AP63">_xlfn.TEXTSPLIT(A63,"_")</f>
        <v>MVPRP</v>
      </c>
      <c r="AM63" t="str">
        <v>C15</v>
      </c>
      <c r="AN63" t="str">
        <v>P6</v>
      </c>
      <c r="AO63" t="str">
        <v>V2</v>
      </c>
      <c r="AP63" t="str">
        <v>I1</v>
      </c>
    </row>
    <row r="64" spans="1:42" x14ac:dyDescent="0.25">
      <c r="A64" t="s">
        <v>54</v>
      </c>
      <c r="B64">
        <f t="shared" si="3"/>
        <v>35</v>
      </c>
      <c r="C64">
        <f t="shared" si="3"/>
        <v>6</v>
      </c>
      <c r="D64">
        <f t="shared" si="3"/>
        <v>3</v>
      </c>
      <c r="E64" t="s">
        <v>128</v>
      </c>
      <c r="F64" t="s">
        <v>37</v>
      </c>
      <c r="G64">
        <v>75828.800000000003</v>
      </c>
      <c r="H64">
        <v>74600.414825108193</v>
      </c>
      <c r="I64" s="3">
        <v>1.6199454229683899E-2</v>
      </c>
      <c r="J64">
        <v>3602.3398585319501</v>
      </c>
      <c r="K64" t="s">
        <v>95</v>
      </c>
      <c r="L64">
        <v>276</v>
      </c>
      <c r="N64">
        <v>3</v>
      </c>
      <c r="O64">
        <v>6000</v>
      </c>
      <c r="P64">
        <v>42900</v>
      </c>
      <c r="Q64">
        <v>18939</v>
      </c>
      <c r="R64">
        <v>7449</v>
      </c>
      <c r="S64">
        <v>0</v>
      </c>
      <c r="T64">
        <v>0</v>
      </c>
      <c r="U64">
        <v>0</v>
      </c>
      <c r="V64">
        <v>127</v>
      </c>
      <c r="W64">
        <v>2888</v>
      </c>
      <c r="X64">
        <v>0</v>
      </c>
      <c r="Y64">
        <v>446</v>
      </c>
      <c r="Z64">
        <v>0</v>
      </c>
      <c r="AA64">
        <v>1.4160015398397599E-4</v>
      </c>
      <c r="AB64">
        <v>3.6741771419778602E-4</v>
      </c>
      <c r="AC64">
        <v>5.9383424777018903E-3</v>
      </c>
      <c r="AD64">
        <v>1.1362260699656899E-2</v>
      </c>
      <c r="AE64">
        <v>0.68937562592327595</v>
      </c>
      <c r="AL64" t="str" cm="1">
        <f t="array" ref="AL64:AP64">_xlfn.TEXTSPLIT(A64,"_")</f>
        <v>MVPRP</v>
      </c>
      <c r="AM64" t="str">
        <v>C35</v>
      </c>
      <c r="AN64" t="str">
        <v>P6</v>
      </c>
      <c r="AO64" t="str">
        <v>V3</v>
      </c>
      <c r="AP64" t="str">
        <v>I1</v>
      </c>
    </row>
    <row r="65" spans="1:42" x14ac:dyDescent="0.25">
      <c r="A65" t="s">
        <v>56</v>
      </c>
      <c r="B65">
        <f t="shared" si="3"/>
        <v>25</v>
      </c>
      <c r="C65">
        <f t="shared" si="3"/>
        <v>3</v>
      </c>
      <c r="D65">
        <f t="shared" si="3"/>
        <v>3</v>
      </c>
      <c r="E65" t="s">
        <v>128</v>
      </c>
      <c r="F65" t="s">
        <v>18</v>
      </c>
      <c r="G65">
        <v>26269</v>
      </c>
      <c r="H65">
        <v>26269</v>
      </c>
      <c r="I65" s="3">
        <v>0</v>
      </c>
      <c r="J65">
        <v>26.923946380615199</v>
      </c>
      <c r="K65" t="s">
        <v>95</v>
      </c>
      <c r="L65">
        <v>189</v>
      </c>
      <c r="N65">
        <v>3</v>
      </c>
      <c r="O65">
        <v>3000</v>
      </c>
      <c r="P65">
        <v>14340</v>
      </c>
      <c r="Q65">
        <v>5405</v>
      </c>
      <c r="R65">
        <v>3524</v>
      </c>
      <c r="S65">
        <v>0</v>
      </c>
      <c r="T65">
        <v>0</v>
      </c>
      <c r="U65">
        <v>0</v>
      </c>
      <c r="V65">
        <v>14</v>
      </c>
      <c r="W65">
        <v>308</v>
      </c>
      <c r="X65">
        <v>0</v>
      </c>
      <c r="Y65">
        <v>60</v>
      </c>
      <c r="Z65">
        <v>0</v>
      </c>
      <c r="AA65">
        <v>1.5771292089446801E-4</v>
      </c>
      <c r="AB65">
        <v>3.3869401688145002E-4</v>
      </c>
      <c r="AC65">
        <v>9.1254218764927099E-3</v>
      </c>
      <c r="AD65">
        <v>1.30631142508862E-2</v>
      </c>
      <c r="AE65">
        <v>0.279855544750507</v>
      </c>
      <c r="AL65" t="str" cm="1">
        <f t="array" ref="AL65:AP65">_xlfn.TEXTSPLIT(A65,"_")</f>
        <v>MVPRP</v>
      </c>
      <c r="AM65" t="str">
        <v>C25</v>
      </c>
      <c r="AN65" t="str">
        <v>P3</v>
      </c>
      <c r="AO65" t="str">
        <v>V3</v>
      </c>
      <c r="AP65" t="str">
        <v>I1</v>
      </c>
    </row>
    <row r="66" spans="1:42" x14ac:dyDescent="0.25">
      <c r="A66" t="s">
        <v>58</v>
      </c>
      <c r="B66">
        <f t="shared" si="3"/>
        <v>10</v>
      </c>
      <c r="C66">
        <f t="shared" si="3"/>
        <v>6</v>
      </c>
      <c r="D66">
        <f t="shared" si="3"/>
        <v>3</v>
      </c>
      <c r="E66" t="s">
        <v>128</v>
      </c>
      <c r="F66" t="s">
        <v>18</v>
      </c>
      <c r="G66">
        <v>29940</v>
      </c>
      <c r="H66">
        <v>29940</v>
      </c>
      <c r="I66" s="3">
        <v>0</v>
      </c>
      <c r="J66">
        <v>11.936795234680201</v>
      </c>
      <c r="K66" t="s">
        <v>95</v>
      </c>
      <c r="L66">
        <v>132</v>
      </c>
      <c r="N66">
        <v>3</v>
      </c>
      <c r="O66">
        <v>6000</v>
      </c>
      <c r="P66">
        <v>12690</v>
      </c>
      <c r="Q66">
        <v>7572</v>
      </c>
      <c r="R66">
        <v>3678</v>
      </c>
      <c r="S66">
        <v>0</v>
      </c>
      <c r="T66">
        <v>0</v>
      </c>
      <c r="U66">
        <v>0</v>
      </c>
      <c r="V66">
        <v>28</v>
      </c>
      <c r="W66">
        <v>61</v>
      </c>
      <c r="X66">
        <v>0</v>
      </c>
      <c r="Y66">
        <v>14</v>
      </c>
      <c r="Z66">
        <v>0</v>
      </c>
      <c r="AA66">
        <v>6.3445599593780103E-5</v>
      </c>
      <c r="AB66">
        <v>1.07436723245848E-4</v>
      </c>
      <c r="AC66">
        <v>5.0759745073748102E-3</v>
      </c>
      <c r="AD66">
        <v>5.1476961563910696E-3</v>
      </c>
      <c r="AE66">
        <v>6.3340944402358101E-2</v>
      </c>
      <c r="AL66" t="str" cm="1">
        <f t="array" ref="AL66:AP66">_xlfn.TEXTSPLIT(A66,"_")</f>
        <v>MVPRP</v>
      </c>
      <c r="AM66" t="str">
        <v>C10</v>
      </c>
      <c r="AN66" t="str">
        <v>P6</v>
      </c>
      <c r="AO66" t="str">
        <v>V3</v>
      </c>
      <c r="AP66" t="str">
        <v>I1</v>
      </c>
    </row>
    <row r="67" spans="1:42" x14ac:dyDescent="0.25">
      <c r="A67" t="s">
        <v>60</v>
      </c>
      <c r="B67">
        <f t="shared" si="3"/>
        <v>35</v>
      </c>
      <c r="C67">
        <f t="shared" si="3"/>
        <v>3</v>
      </c>
      <c r="D67">
        <f t="shared" si="3"/>
        <v>3</v>
      </c>
      <c r="E67" t="s">
        <v>128</v>
      </c>
      <c r="F67" t="s">
        <v>18</v>
      </c>
      <c r="G67">
        <v>35503</v>
      </c>
      <c r="H67">
        <v>35503</v>
      </c>
      <c r="I67" s="3">
        <v>0</v>
      </c>
      <c r="J67">
        <v>96.460577249527006</v>
      </c>
      <c r="K67" t="s">
        <v>95</v>
      </c>
      <c r="L67">
        <v>276</v>
      </c>
      <c r="N67">
        <v>3</v>
      </c>
      <c r="O67">
        <v>3000</v>
      </c>
      <c r="P67">
        <v>21600</v>
      </c>
      <c r="Q67">
        <v>6964</v>
      </c>
      <c r="R67">
        <v>3939</v>
      </c>
      <c r="S67">
        <v>0</v>
      </c>
      <c r="T67">
        <v>0</v>
      </c>
      <c r="U67">
        <v>0</v>
      </c>
      <c r="V67">
        <v>5</v>
      </c>
      <c r="W67">
        <v>219</v>
      </c>
      <c r="X67">
        <v>0</v>
      </c>
      <c r="Y67">
        <v>91</v>
      </c>
      <c r="Z67">
        <v>0</v>
      </c>
      <c r="AA67">
        <v>1.6562741501887E-4</v>
      </c>
      <c r="AB67">
        <v>6.4559608486527303E-4</v>
      </c>
      <c r="AC67">
        <v>8.2305636361380604E-3</v>
      </c>
      <c r="AD67">
        <v>1.9721697497841501E-2</v>
      </c>
      <c r="AE67">
        <v>0.63291871136632505</v>
      </c>
      <c r="AL67" t="str" cm="1">
        <f t="array" ref="AL67:AP67">_xlfn.TEXTSPLIT(A67,"_")</f>
        <v>MVPRP</v>
      </c>
      <c r="AM67" t="str">
        <v>C35</v>
      </c>
      <c r="AN67" t="str">
        <v>P3</v>
      </c>
      <c r="AO67" t="str">
        <v>V3</v>
      </c>
      <c r="AP67" t="str">
        <v>I1</v>
      </c>
    </row>
    <row r="68" spans="1:42" x14ac:dyDescent="0.25">
      <c r="A68" t="s">
        <v>63</v>
      </c>
      <c r="B68">
        <f t="shared" si="3"/>
        <v>50</v>
      </c>
      <c r="C68">
        <f t="shared" si="3"/>
        <v>3</v>
      </c>
      <c r="D68">
        <f t="shared" si="3"/>
        <v>3</v>
      </c>
      <c r="E68" t="s">
        <v>128</v>
      </c>
      <c r="F68" t="s">
        <v>37</v>
      </c>
      <c r="G68">
        <v>47841</v>
      </c>
      <c r="H68">
        <v>46718.875898071703</v>
      </c>
      <c r="I68" s="3">
        <v>2.3455281075402699E-2</v>
      </c>
      <c r="J68">
        <v>3602.55539703369</v>
      </c>
      <c r="K68" t="s">
        <v>95</v>
      </c>
      <c r="L68">
        <v>360</v>
      </c>
      <c r="N68">
        <v>3</v>
      </c>
      <c r="O68">
        <v>3000</v>
      </c>
      <c r="P68">
        <v>29580</v>
      </c>
      <c r="Q68">
        <v>10258</v>
      </c>
      <c r="R68">
        <v>5003</v>
      </c>
      <c r="S68">
        <v>0</v>
      </c>
      <c r="T68">
        <v>0</v>
      </c>
      <c r="U68">
        <v>0</v>
      </c>
      <c r="V68">
        <v>624</v>
      </c>
      <c r="W68">
        <v>2536</v>
      </c>
      <c r="X68">
        <v>0</v>
      </c>
      <c r="Y68">
        <v>2986</v>
      </c>
      <c r="Z68">
        <v>0</v>
      </c>
      <c r="AA68">
        <v>3.3585442849035497E-4</v>
      </c>
      <c r="AB68">
        <v>7.8223876199174996E-4</v>
      </c>
      <c r="AC68">
        <v>8.9088147858691694E-3</v>
      </c>
      <c r="AD68">
        <v>1.86925185240315E-2</v>
      </c>
      <c r="AE68">
        <v>0.69075938430401196</v>
      </c>
      <c r="AL68" t="str" cm="1">
        <f t="array" ref="AL68:AP68">_xlfn.TEXTSPLIT(A68,"_")</f>
        <v>MVPRP</v>
      </c>
      <c r="AM68" t="str">
        <v>C50</v>
      </c>
      <c r="AN68" t="str">
        <v>P3</v>
      </c>
      <c r="AO68" t="str">
        <v>V3</v>
      </c>
      <c r="AP68" t="str">
        <v>I1</v>
      </c>
    </row>
    <row r="69" spans="1:42" x14ac:dyDescent="0.25">
      <c r="A69" t="s">
        <v>65</v>
      </c>
      <c r="B69">
        <f t="shared" si="3"/>
        <v>30</v>
      </c>
      <c r="C69">
        <f t="shared" si="3"/>
        <v>6</v>
      </c>
      <c r="D69">
        <f t="shared" si="3"/>
        <v>3</v>
      </c>
      <c r="E69" t="s">
        <v>128</v>
      </c>
      <c r="F69" t="s">
        <v>37</v>
      </c>
      <c r="G69">
        <v>61769.299999000003</v>
      </c>
      <c r="H69">
        <v>61168.993706939102</v>
      </c>
      <c r="I69" s="3">
        <v>9.7185218558504503E-3</v>
      </c>
      <c r="J69">
        <v>3603.0546319484702</v>
      </c>
      <c r="K69" t="s">
        <v>95</v>
      </c>
      <c r="L69">
        <v>228</v>
      </c>
      <c r="N69">
        <v>3</v>
      </c>
      <c r="O69">
        <v>6000</v>
      </c>
      <c r="P69">
        <v>33150</v>
      </c>
      <c r="Q69">
        <v>16445</v>
      </c>
      <c r="R69">
        <v>5771</v>
      </c>
      <c r="S69">
        <v>0</v>
      </c>
      <c r="T69">
        <v>0</v>
      </c>
      <c r="U69">
        <v>0</v>
      </c>
      <c r="V69">
        <v>378</v>
      </c>
      <c r="W69">
        <v>2487</v>
      </c>
      <c r="X69">
        <v>0</v>
      </c>
      <c r="Y69">
        <v>413</v>
      </c>
      <c r="Z69">
        <v>0</v>
      </c>
      <c r="AA69">
        <v>1.12045468911169E-4</v>
      </c>
      <c r="AB69">
        <v>2.7546723145332298E-4</v>
      </c>
      <c r="AC69">
        <v>4.9486773467361201E-3</v>
      </c>
      <c r="AD69">
        <v>9.79616234571953E-3</v>
      </c>
      <c r="AE69">
        <v>0.32910686701082298</v>
      </c>
      <c r="AL69" t="str" cm="1">
        <f t="array" ref="AL69:AP69">_xlfn.TEXTSPLIT(A69,"_")</f>
        <v>MVPRP</v>
      </c>
      <c r="AM69" t="str">
        <v>C30</v>
      </c>
      <c r="AN69" t="str">
        <v>P6</v>
      </c>
      <c r="AO69" t="str">
        <v>V3</v>
      </c>
      <c r="AP69" t="str">
        <v>I1</v>
      </c>
    </row>
    <row r="70" spans="1:42" x14ac:dyDescent="0.25">
      <c r="A70" t="s">
        <v>67</v>
      </c>
      <c r="B70">
        <f t="shared" si="3"/>
        <v>30</v>
      </c>
      <c r="C70">
        <f t="shared" si="3"/>
        <v>6</v>
      </c>
      <c r="D70">
        <f t="shared" si="3"/>
        <v>4</v>
      </c>
      <c r="E70" t="s">
        <v>128</v>
      </c>
      <c r="F70" t="s">
        <v>37</v>
      </c>
      <c r="G70">
        <v>62074.1</v>
      </c>
      <c r="H70">
        <v>61522.746037715602</v>
      </c>
      <c r="I70" s="3">
        <v>8.8821901934045093E-3</v>
      </c>
      <c r="J70">
        <v>3600.2817642688801</v>
      </c>
      <c r="K70" t="s">
        <v>95</v>
      </c>
      <c r="L70">
        <v>171</v>
      </c>
      <c r="N70">
        <v>3</v>
      </c>
      <c r="O70">
        <v>6000</v>
      </c>
      <c r="P70">
        <v>33150</v>
      </c>
      <c r="Q70">
        <v>15804</v>
      </c>
      <c r="R70">
        <v>7069</v>
      </c>
      <c r="S70">
        <v>0</v>
      </c>
      <c r="T70">
        <v>0</v>
      </c>
      <c r="U70">
        <v>0</v>
      </c>
      <c r="V70">
        <v>52</v>
      </c>
      <c r="W70">
        <v>2573</v>
      </c>
      <c r="X70">
        <v>0</v>
      </c>
      <c r="Y70">
        <v>231</v>
      </c>
      <c r="Z70">
        <v>0</v>
      </c>
      <c r="AA70">
        <v>1.1479176323989301E-4</v>
      </c>
      <c r="AB70">
        <v>3.2282918383122499E-4</v>
      </c>
      <c r="AC70">
        <v>5.1704198682519598E-3</v>
      </c>
      <c r="AD70">
        <v>1.16698457824816E-2</v>
      </c>
      <c r="AE70">
        <v>0.548760390576021</v>
      </c>
      <c r="AL70" t="str" cm="1">
        <f t="array" ref="AL70:AP70">_xlfn.TEXTSPLIT(A70,"_")</f>
        <v>MVPRP</v>
      </c>
      <c r="AM70" t="str">
        <v>C30</v>
      </c>
      <c r="AN70" t="str">
        <v>P6</v>
      </c>
      <c r="AO70" t="str">
        <v>V4</v>
      </c>
      <c r="AP70" t="str">
        <v>I1</v>
      </c>
    </row>
    <row r="71" spans="1:42" x14ac:dyDescent="0.25">
      <c r="A71" t="s">
        <v>68</v>
      </c>
      <c r="B71">
        <f t="shared" si="3"/>
        <v>25</v>
      </c>
      <c r="C71">
        <f t="shared" si="3"/>
        <v>9</v>
      </c>
      <c r="D71">
        <f t="shared" si="3"/>
        <v>3</v>
      </c>
      <c r="E71" t="s">
        <v>128</v>
      </c>
      <c r="F71" t="s">
        <v>37</v>
      </c>
      <c r="G71">
        <v>102495.09999800001</v>
      </c>
      <c r="H71">
        <v>100392.55477413</v>
      </c>
      <c r="I71" s="3">
        <v>2.0513616981800001E-2</v>
      </c>
      <c r="J71">
        <v>3603.0812795162201</v>
      </c>
      <c r="K71" t="s">
        <v>95</v>
      </c>
      <c r="L71">
        <v>189</v>
      </c>
      <c r="N71">
        <v>3</v>
      </c>
      <c r="O71">
        <v>9000</v>
      </c>
      <c r="P71">
        <v>59880</v>
      </c>
      <c r="Q71">
        <v>20691</v>
      </c>
      <c r="R71">
        <v>11184</v>
      </c>
      <c r="S71">
        <v>0</v>
      </c>
      <c r="T71">
        <v>0</v>
      </c>
      <c r="U71">
        <v>0</v>
      </c>
      <c r="V71">
        <v>577</v>
      </c>
      <c r="W71">
        <v>3558</v>
      </c>
      <c r="X71">
        <v>0</v>
      </c>
      <c r="Y71">
        <v>364</v>
      </c>
      <c r="Z71">
        <v>0</v>
      </c>
      <c r="AA71">
        <v>1.1600877101961501E-4</v>
      </c>
      <c r="AB71">
        <v>2.8641027392189999E-4</v>
      </c>
      <c r="AC71">
        <v>6.0611374412341198E-3</v>
      </c>
      <c r="AD71">
        <v>1.1011901725881901E-2</v>
      </c>
      <c r="AE71">
        <v>0.46186363909168199</v>
      </c>
      <c r="AL71" t="str" cm="1">
        <f t="array" ref="AL71:AP71">_xlfn.TEXTSPLIT(A71,"_")</f>
        <v>MVPRP</v>
      </c>
      <c r="AM71" t="str">
        <v>C25</v>
      </c>
      <c r="AN71" t="str">
        <v>P9</v>
      </c>
      <c r="AO71" t="str">
        <v>V3</v>
      </c>
      <c r="AP71" t="str">
        <v>I1</v>
      </c>
    </row>
    <row r="72" spans="1:42" x14ac:dyDescent="0.25">
      <c r="A72" t="s">
        <v>70</v>
      </c>
      <c r="B72">
        <f t="shared" si="3"/>
        <v>20</v>
      </c>
      <c r="C72">
        <f t="shared" si="3"/>
        <v>6</v>
      </c>
      <c r="D72">
        <f t="shared" si="3"/>
        <v>2</v>
      </c>
      <c r="E72" t="s">
        <v>128</v>
      </c>
      <c r="F72" t="s">
        <v>18</v>
      </c>
      <c r="G72">
        <v>49276.7</v>
      </c>
      <c r="H72">
        <v>49276.7</v>
      </c>
      <c r="I72" s="3">
        <v>0</v>
      </c>
      <c r="J72">
        <v>42.307434320449801</v>
      </c>
      <c r="K72" t="s">
        <v>95</v>
      </c>
      <c r="L72">
        <v>283</v>
      </c>
      <c r="N72">
        <v>3</v>
      </c>
      <c r="O72">
        <v>6000</v>
      </c>
      <c r="P72">
        <v>23820</v>
      </c>
      <c r="Q72">
        <v>12905</v>
      </c>
      <c r="R72">
        <v>4842</v>
      </c>
      <c r="S72">
        <v>0</v>
      </c>
      <c r="T72">
        <v>0</v>
      </c>
      <c r="U72">
        <v>0</v>
      </c>
      <c r="V72">
        <v>26</v>
      </c>
      <c r="W72">
        <v>151</v>
      </c>
      <c r="X72">
        <v>0</v>
      </c>
      <c r="Y72">
        <v>39</v>
      </c>
      <c r="Z72">
        <v>0</v>
      </c>
      <c r="AA72">
        <v>8.5950642824173003E-5</v>
      </c>
      <c r="AB72">
        <v>1.3686698160053799E-4</v>
      </c>
      <c r="AC72">
        <v>4.4832073945769704E-3</v>
      </c>
      <c r="AD72">
        <v>4.9532571290349199E-3</v>
      </c>
      <c r="AE72">
        <v>0.189801461556379</v>
      </c>
      <c r="AL72" t="str" cm="1">
        <f t="array" ref="AL72:AP72">_xlfn.TEXTSPLIT(A72,"_")</f>
        <v>MVPRP</v>
      </c>
      <c r="AM72" t="str">
        <v>C20</v>
      </c>
      <c r="AN72" t="str">
        <v>P6</v>
      </c>
      <c r="AO72" t="str">
        <v>V2</v>
      </c>
      <c r="AP72" t="str">
        <v>I1</v>
      </c>
    </row>
    <row r="73" spans="1:42" x14ac:dyDescent="0.25">
      <c r="A73" t="s">
        <v>72</v>
      </c>
      <c r="B73">
        <f t="shared" si="3"/>
        <v>15</v>
      </c>
      <c r="C73">
        <f t="shared" si="3"/>
        <v>6</v>
      </c>
      <c r="D73">
        <f t="shared" si="3"/>
        <v>3</v>
      </c>
      <c r="E73" t="s">
        <v>128</v>
      </c>
      <c r="F73" t="s">
        <v>18</v>
      </c>
      <c r="G73">
        <v>42282.199987362699</v>
      </c>
      <c r="H73">
        <v>42282.199987362699</v>
      </c>
      <c r="I73" s="3">
        <v>0</v>
      </c>
      <c r="J73">
        <v>1115.1306536197701</v>
      </c>
      <c r="K73" t="s">
        <v>95</v>
      </c>
      <c r="L73">
        <v>132</v>
      </c>
      <c r="N73">
        <v>3</v>
      </c>
      <c r="O73">
        <v>6000</v>
      </c>
      <c r="P73">
        <v>19800</v>
      </c>
      <c r="Q73">
        <v>11075</v>
      </c>
      <c r="R73">
        <v>5325</v>
      </c>
      <c r="S73">
        <v>0</v>
      </c>
      <c r="T73">
        <v>0</v>
      </c>
      <c r="U73">
        <v>0</v>
      </c>
      <c r="V73">
        <v>163</v>
      </c>
      <c r="W73">
        <v>811</v>
      </c>
      <c r="X73">
        <v>0</v>
      </c>
      <c r="Y73">
        <v>33</v>
      </c>
      <c r="Z73">
        <v>0</v>
      </c>
      <c r="AA73">
        <v>6.90402259489993E-5</v>
      </c>
      <c r="AB73">
        <v>1.6778149090085199E-4</v>
      </c>
      <c r="AC73">
        <v>4.6401383480877004E-3</v>
      </c>
      <c r="AD73">
        <v>7.1210223058156101E-3</v>
      </c>
      <c r="AE73">
        <v>7.5773588911502002E-2</v>
      </c>
      <c r="AL73" t="str" cm="1">
        <f t="array" ref="AL73:AP73">_xlfn.TEXTSPLIT(A73,"_")</f>
        <v>MVPRP</v>
      </c>
      <c r="AM73" t="str">
        <v>C15</v>
      </c>
      <c r="AN73" t="str">
        <v>P6</v>
      </c>
      <c r="AO73" t="str">
        <v>V3</v>
      </c>
      <c r="AP73" t="str">
        <v>I1</v>
      </c>
    </row>
    <row r="74" spans="1:42" x14ac:dyDescent="0.25">
      <c r="A74" t="s">
        <v>74</v>
      </c>
      <c r="B74">
        <f t="shared" si="3"/>
        <v>15</v>
      </c>
      <c r="C74">
        <f t="shared" si="3"/>
        <v>3</v>
      </c>
      <c r="D74">
        <f t="shared" si="3"/>
        <v>3</v>
      </c>
      <c r="E74" t="s">
        <v>128</v>
      </c>
      <c r="F74" t="s">
        <v>18</v>
      </c>
      <c r="G74">
        <v>19687</v>
      </c>
      <c r="H74">
        <v>19687</v>
      </c>
      <c r="I74" s="3">
        <v>0</v>
      </c>
      <c r="J74">
        <v>9.0900321006774902</v>
      </c>
      <c r="K74" t="s">
        <v>95</v>
      </c>
      <c r="L74">
        <v>132</v>
      </c>
      <c r="N74">
        <v>3</v>
      </c>
      <c r="O74">
        <v>3000</v>
      </c>
      <c r="P74">
        <v>9960</v>
      </c>
      <c r="Q74">
        <v>3896</v>
      </c>
      <c r="R74">
        <v>2824</v>
      </c>
      <c r="S74">
        <v>0</v>
      </c>
      <c r="T74">
        <v>0</v>
      </c>
      <c r="U74">
        <v>0</v>
      </c>
      <c r="V74">
        <v>5</v>
      </c>
      <c r="W74">
        <v>168</v>
      </c>
      <c r="X74">
        <v>0</v>
      </c>
      <c r="Y74">
        <v>19</v>
      </c>
      <c r="Z74">
        <v>0</v>
      </c>
      <c r="AA74">
        <v>8.4678332010905007E-5</v>
      </c>
      <c r="AB74">
        <v>1.88279667018372E-4</v>
      </c>
      <c r="AC74">
        <v>6.3615025214429199E-3</v>
      </c>
      <c r="AD74">
        <v>9.1997595394358901E-3</v>
      </c>
      <c r="AE74">
        <v>8.2115069031715393E-2</v>
      </c>
      <c r="AL74" t="str" cm="1">
        <f t="array" ref="AL74:AP74">_xlfn.TEXTSPLIT(A74,"_")</f>
        <v>MVPRP</v>
      </c>
      <c r="AM74" t="str">
        <v>C15</v>
      </c>
      <c r="AN74" t="str">
        <v>P3</v>
      </c>
      <c r="AO74" t="str">
        <v>V3</v>
      </c>
      <c r="AP74" t="str">
        <v>I1</v>
      </c>
    </row>
    <row r="75" spans="1:42" x14ac:dyDescent="0.25">
      <c r="A75" t="s">
        <v>76</v>
      </c>
      <c r="B75">
        <f t="shared" si="3"/>
        <v>25</v>
      </c>
      <c r="C75">
        <f t="shared" si="3"/>
        <v>9</v>
      </c>
      <c r="D75">
        <f t="shared" si="3"/>
        <v>2</v>
      </c>
      <c r="E75" t="s">
        <v>128</v>
      </c>
      <c r="F75" t="s">
        <v>37</v>
      </c>
      <c r="G75">
        <v>110701.4</v>
      </c>
      <c r="H75">
        <v>103716.55759069799</v>
      </c>
      <c r="I75" s="3">
        <v>6.30962427693086E-2</v>
      </c>
      <c r="J75">
        <v>3601.87919211388</v>
      </c>
      <c r="K75" t="s">
        <v>95</v>
      </c>
      <c r="L75">
        <v>283</v>
      </c>
      <c r="N75">
        <v>3</v>
      </c>
      <c r="O75">
        <v>9000</v>
      </c>
      <c r="P75">
        <v>59880</v>
      </c>
      <c r="Q75">
        <v>30132</v>
      </c>
      <c r="R75">
        <v>8871</v>
      </c>
      <c r="S75">
        <v>0</v>
      </c>
      <c r="T75">
        <v>0</v>
      </c>
      <c r="U75">
        <v>0</v>
      </c>
      <c r="V75">
        <v>1057</v>
      </c>
      <c r="W75">
        <v>4283</v>
      </c>
      <c r="X75">
        <v>0</v>
      </c>
      <c r="Y75">
        <v>1383</v>
      </c>
      <c r="Z75">
        <v>0</v>
      </c>
      <c r="AA75">
        <v>9.4424071279119504E-5</v>
      </c>
      <c r="AB75">
        <v>2.0771095291577301E-4</v>
      </c>
      <c r="AC75">
        <v>4.5643621239780403E-3</v>
      </c>
      <c r="AD75">
        <v>7.2073840890319596E-3</v>
      </c>
      <c r="AE75">
        <v>0.52978983006463798</v>
      </c>
      <c r="AL75" t="str" cm="1">
        <f t="array" ref="AL75:AP75">_xlfn.TEXTSPLIT(A75,"_")</f>
        <v>MVPRP</v>
      </c>
      <c r="AM75" t="str">
        <v>C25</v>
      </c>
      <c r="AN75" t="str">
        <v>P9</v>
      </c>
      <c r="AO75" t="str">
        <v>V2</v>
      </c>
      <c r="AP75" t="str">
        <v>I1</v>
      </c>
    </row>
    <row r="76" spans="1:42" x14ac:dyDescent="0.25">
      <c r="A76" t="s">
        <v>78</v>
      </c>
      <c r="B76">
        <f t="shared" si="3"/>
        <v>35</v>
      </c>
      <c r="C76">
        <f t="shared" si="3"/>
        <v>3</v>
      </c>
      <c r="D76">
        <f t="shared" si="3"/>
        <v>4</v>
      </c>
      <c r="E76" t="s">
        <v>128</v>
      </c>
      <c r="F76" t="s">
        <v>18</v>
      </c>
      <c r="G76">
        <v>35854</v>
      </c>
      <c r="H76">
        <v>35851.542288269498</v>
      </c>
      <c r="I76" s="3">
        <v>6.8547769579653306E-5</v>
      </c>
      <c r="J76">
        <v>2049.8757126331302</v>
      </c>
      <c r="K76" t="s">
        <v>95</v>
      </c>
      <c r="L76">
        <v>207</v>
      </c>
      <c r="N76">
        <v>3</v>
      </c>
      <c r="O76">
        <v>3000</v>
      </c>
      <c r="P76">
        <v>21600</v>
      </c>
      <c r="Q76">
        <v>6531</v>
      </c>
      <c r="R76">
        <v>4723</v>
      </c>
      <c r="S76">
        <v>0</v>
      </c>
      <c r="T76">
        <v>0</v>
      </c>
      <c r="U76">
        <v>0</v>
      </c>
      <c r="V76">
        <v>0</v>
      </c>
      <c r="W76">
        <v>1203</v>
      </c>
      <c r="X76">
        <v>0</v>
      </c>
      <c r="Y76">
        <v>88</v>
      </c>
      <c r="Z76">
        <v>0</v>
      </c>
      <c r="AA76">
        <v>1.79091889654572E-4</v>
      </c>
      <c r="AB76">
        <v>4.7566302410967902E-4</v>
      </c>
      <c r="AC76">
        <v>8.3317826775943498E-3</v>
      </c>
      <c r="AD76">
        <v>1.6246013242922099E-2</v>
      </c>
      <c r="AE76">
        <v>0.575708301862081</v>
      </c>
      <c r="AL76" t="str" cm="1">
        <f t="array" ref="AL76:AP76">_xlfn.TEXTSPLIT(A76,"_")</f>
        <v>MVPRP</v>
      </c>
      <c r="AM76" t="str">
        <v>C35</v>
      </c>
      <c r="AN76" t="str">
        <v>P3</v>
      </c>
      <c r="AO76" t="str">
        <v>V4</v>
      </c>
      <c r="AP76" t="str">
        <v>I1</v>
      </c>
    </row>
    <row r="77" spans="1:42" x14ac:dyDescent="0.25">
      <c r="A77" t="s">
        <v>79</v>
      </c>
      <c r="B77">
        <f t="shared" si="3"/>
        <v>25</v>
      </c>
      <c r="C77">
        <f t="shared" si="3"/>
        <v>3</v>
      </c>
      <c r="D77">
        <f t="shared" si="3"/>
        <v>2</v>
      </c>
      <c r="E77" t="s">
        <v>128</v>
      </c>
      <c r="F77" t="s">
        <v>18</v>
      </c>
      <c r="G77">
        <v>27643.200000000001</v>
      </c>
      <c r="H77">
        <v>27643.200000000001</v>
      </c>
      <c r="I77" s="3">
        <v>0</v>
      </c>
      <c r="J77">
        <v>4.2698307037353498</v>
      </c>
      <c r="K77" t="s">
        <v>95</v>
      </c>
      <c r="L77">
        <v>283</v>
      </c>
      <c r="N77">
        <v>3</v>
      </c>
      <c r="O77">
        <v>3000</v>
      </c>
      <c r="P77">
        <v>14340</v>
      </c>
      <c r="Q77">
        <v>5901</v>
      </c>
      <c r="R77">
        <v>2865</v>
      </c>
      <c r="S77">
        <v>0</v>
      </c>
      <c r="T77">
        <v>0</v>
      </c>
      <c r="U77">
        <v>0</v>
      </c>
      <c r="V77">
        <v>2</v>
      </c>
      <c r="W77">
        <v>48</v>
      </c>
      <c r="X77">
        <v>0</v>
      </c>
      <c r="Y77">
        <v>36</v>
      </c>
      <c r="Z77">
        <v>0</v>
      </c>
      <c r="AA77">
        <v>1.2859792420358401E-4</v>
      </c>
      <c r="AB77">
        <v>2.69068048355427E-4</v>
      </c>
      <c r="AC77">
        <v>6.2916556070017303E-3</v>
      </c>
      <c r="AD77">
        <v>1.01038659772565E-2</v>
      </c>
      <c r="AE77">
        <v>0.18952945300511001</v>
      </c>
      <c r="AL77" t="str" cm="1">
        <f t="array" ref="AL77:AP77">_xlfn.TEXTSPLIT(A77,"_")</f>
        <v>MVPRP</v>
      </c>
      <c r="AM77" t="str">
        <v>C25</v>
      </c>
      <c r="AN77" t="str">
        <v>P3</v>
      </c>
      <c r="AO77" t="str">
        <v>V2</v>
      </c>
      <c r="AP77" t="str">
        <v>I1</v>
      </c>
    </row>
    <row r="78" spans="1:42" x14ac:dyDescent="0.25">
      <c r="A78" t="s">
        <v>81</v>
      </c>
      <c r="B78">
        <f t="shared" si="3"/>
        <v>20</v>
      </c>
      <c r="C78">
        <f t="shared" si="3"/>
        <v>9</v>
      </c>
      <c r="D78">
        <f t="shared" si="3"/>
        <v>3</v>
      </c>
      <c r="E78" t="s">
        <v>128</v>
      </c>
      <c r="F78" t="s">
        <v>37</v>
      </c>
      <c r="G78">
        <v>83219.099738329198</v>
      </c>
      <c r="H78">
        <v>82659.829730170604</v>
      </c>
      <c r="I78" s="3">
        <v>6.7204525153135002E-3</v>
      </c>
      <c r="J78">
        <v>3602.5016038417798</v>
      </c>
      <c r="K78" t="s">
        <v>95</v>
      </c>
      <c r="L78">
        <v>189</v>
      </c>
      <c r="N78">
        <v>3</v>
      </c>
      <c r="O78">
        <v>9000</v>
      </c>
      <c r="P78">
        <v>48120</v>
      </c>
      <c r="Q78">
        <v>15253.002149148</v>
      </c>
      <c r="R78">
        <v>10319.997887436301</v>
      </c>
      <c r="S78">
        <v>0</v>
      </c>
      <c r="T78">
        <v>0</v>
      </c>
      <c r="U78">
        <v>0</v>
      </c>
      <c r="V78">
        <v>306</v>
      </c>
      <c r="W78">
        <v>1353</v>
      </c>
      <c r="X78">
        <v>0</v>
      </c>
      <c r="Y78">
        <v>178</v>
      </c>
      <c r="Z78">
        <v>0</v>
      </c>
      <c r="AA78">
        <v>9.7994716923171E-5</v>
      </c>
      <c r="AB78">
        <v>2.3390686041430399E-4</v>
      </c>
      <c r="AC78">
        <v>5.6458314259847002E-3</v>
      </c>
      <c r="AD78">
        <v>9.0586020311162595E-3</v>
      </c>
      <c r="AE78">
        <v>0.21844279247781501</v>
      </c>
      <c r="AL78" t="str" cm="1">
        <f t="array" ref="AL78:AP78">_xlfn.TEXTSPLIT(A78,"_")</f>
        <v>MVPRP</v>
      </c>
      <c r="AM78" t="str">
        <v>C20</v>
      </c>
      <c r="AN78" t="str">
        <v>P9</v>
      </c>
      <c r="AO78" t="str">
        <v>V3</v>
      </c>
      <c r="AP78" t="str">
        <v>I1</v>
      </c>
    </row>
    <row r="79" spans="1:42" x14ac:dyDescent="0.25">
      <c r="A79" t="s">
        <v>83</v>
      </c>
      <c r="B79">
        <f t="shared" si="3"/>
        <v>40</v>
      </c>
      <c r="C79">
        <f t="shared" si="3"/>
        <v>6</v>
      </c>
      <c r="D79">
        <f t="shared" si="3"/>
        <v>4</v>
      </c>
      <c r="E79" t="s">
        <v>128</v>
      </c>
      <c r="F79" t="s">
        <v>37</v>
      </c>
      <c r="G79">
        <v>96769</v>
      </c>
      <c r="H79">
        <v>96486.7000959164</v>
      </c>
      <c r="I79" s="3">
        <v>2.9172555682458801E-3</v>
      </c>
      <c r="J79">
        <v>3605.2593135833699</v>
      </c>
      <c r="K79" t="s">
        <v>95</v>
      </c>
      <c r="L79">
        <v>270</v>
      </c>
      <c r="N79">
        <v>3</v>
      </c>
      <c r="O79">
        <v>6000</v>
      </c>
      <c r="P79">
        <v>55170</v>
      </c>
      <c r="Q79">
        <v>25943</v>
      </c>
      <c r="R79">
        <v>9656</v>
      </c>
      <c r="S79">
        <v>0</v>
      </c>
      <c r="T79">
        <v>0</v>
      </c>
      <c r="U79">
        <v>0</v>
      </c>
      <c r="V79">
        <v>35</v>
      </c>
      <c r="W79">
        <v>2865</v>
      </c>
      <c r="X79">
        <v>0</v>
      </c>
      <c r="Y79">
        <v>699</v>
      </c>
      <c r="Z79">
        <v>0</v>
      </c>
      <c r="AA79">
        <v>1.52584613393672E-4</v>
      </c>
      <c r="AB79">
        <v>4.4257151614276601E-4</v>
      </c>
      <c r="AC79">
        <v>5.6236171965873801E-3</v>
      </c>
      <c r="AD79">
        <v>1.22337066239179E-2</v>
      </c>
      <c r="AE79">
        <v>1.15586694193558</v>
      </c>
      <c r="AL79" t="str" cm="1">
        <f t="array" ref="AL79:AP79">_xlfn.TEXTSPLIT(A79,"_")</f>
        <v>MVPRP</v>
      </c>
      <c r="AM79" t="str">
        <v>C40</v>
      </c>
      <c r="AN79" t="str">
        <v>P6</v>
      </c>
      <c r="AO79" t="str">
        <v>V4</v>
      </c>
      <c r="AP79" t="str">
        <v>I1</v>
      </c>
    </row>
    <row r="80" spans="1:42" x14ac:dyDescent="0.25">
      <c r="A80" t="s">
        <v>84</v>
      </c>
      <c r="B80">
        <f t="shared" si="3"/>
        <v>30</v>
      </c>
      <c r="C80">
        <f t="shared" si="3"/>
        <v>9</v>
      </c>
      <c r="D80">
        <f t="shared" si="3"/>
        <v>3</v>
      </c>
      <c r="E80" t="s">
        <v>128</v>
      </c>
      <c r="F80" t="s">
        <v>37</v>
      </c>
      <c r="G80">
        <v>113541.099999</v>
      </c>
      <c r="H80">
        <v>109393.659699412</v>
      </c>
      <c r="I80" s="3">
        <v>3.6528096870864599E-2</v>
      </c>
      <c r="J80">
        <v>3603.53273749352</v>
      </c>
      <c r="K80" t="s">
        <v>95</v>
      </c>
      <c r="L80">
        <v>228</v>
      </c>
      <c r="N80">
        <v>3</v>
      </c>
      <c r="O80">
        <v>12000</v>
      </c>
      <c r="P80">
        <v>67710</v>
      </c>
      <c r="Q80">
        <v>19493</v>
      </c>
      <c r="R80">
        <v>13075</v>
      </c>
      <c r="S80">
        <v>0</v>
      </c>
      <c r="T80">
        <v>0</v>
      </c>
      <c r="U80">
        <v>0</v>
      </c>
      <c r="V80">
        <v>147</v>
      </c>
      <c r="W80">
        <v>4211</v>
      </c>
      <c r="X80">
        <v>0</v>
      </c>
      <c r="Y80">
        <v>1086</v>
      </c>
      <c r="Z80">
        <v>0</v>
      </c>
      <c r="AA80">
        <v>1.3095529971829799E-4</v>
      </c>
      <c r="AB80">
        <v>3.3854729704545699E-4</v>
      </c>
      <c r="AC80">
        <v>5.4410369013520301E-3</v>
      </c>
      <c r="AD80">
        <v>1.10390014724097E-2</v>
      </c>
      <c r="AE80">
        <v>0.899196382931301</v>
      </c>
      <c r="AL80" t="str" cm="1">
        <f t="array" ref="AL80:AP80">_xlfn.TEXTSPLIT(A80,"_")</f>
        <v>MVPRP</v>
      </c>
      <c r="AM80" t="str">
        <v>C30</v>
      </c>
      <c r="AN80" t="str">
        <v>P9</v>
      </c>
      <c r="AO80" t="str">
        <v>V3</v>
      </c>
      <c r="AP80" t="str">
        <v>I1</v>
      </c>
    </row>
    <row r="81" spans="1:42" x14ac:dyDescent="0.25">
      <c r="A81" t="s">
        <v>86</v>
      </c>
      <c r="B81">
        <f t="shared" si="3"/>
        <v>25</v>
      </c>
      <c r="C81">
        <f t="shared" si="3"/>
        <v>6</v>
      </c>
      <c r="D81">
        <f t="shared" si="3"/>
        <v>2</v>
      </c>
      <c r="E81" t="s">
        <v>128</v>
      </c>
      <c r="F81" t="s">
        <v>18</v>
      </c>
      <c r="G81">
        <v>59073.299969156003</v>
      </c>
      <c r="H81">
        <v>59068.313424416701</v>
      </c>
      <c r="I81" s="3">
        <v>8.44128352713165E-5</v>
      </c>
      <c r="J81">
        <v>2449.0446071624801</v>
      </c>
      <c r="K81" t="s">
        <v>95</v>
      </c>
      <c r="L81">
        <v>283</v>
      </c>
      <c r="N81">
        <v>3</v>
      </c>
      <c r="O81">
        <v>6000</v>
      </c>
      <c r="P81">
        <v>28379.999976794599</v>
      </c>
      <c r="Q81">
        <v>17066.999992361401</v>
      </c>
      <c r="R81">
        <v>5583</v>
      </c>
      <c r="S81">
        <v>0</v>
      </c>
      <c r="T81">
        <v>0</v>
      </c>
      <c r="U81">
        <v>0</v>
      </c>
      <c r="V81">
        <v>479</v>
      </c>
      <c r="W81">
        <v>931</v>
      </c>
      <c r="X81">
        <v>0</v>
      </c>
      <c r="Y81">
        <v>123</v>
      </c>
      <c r="Z81">
        <v>0</v>
      </c>
      <c r="AA81">
        <v>8.3171992405060101E-5</v>
      </c>
      <c r="AB81">
        <v>1.79458620413294E-4</v>
      </c>
      <c r="AC81">
        <v>4.1657141661032701E-3</v>
      </c>
      <c r="AD81">
        <v>6.8045707871267304E-3</v>
      </c>
      <c r="AE81">
        <v>0.15234612652575599</v>
      </c>
      <c r="AL81" t="str" cm="1">
        <f t="array" ref="AL81:AP81">_xlfn.TEXTSPLIT(A81,"_")</f>
        <v>MVPRP</v>
      </c>
      <c r="AM81" t="str">
        <v>C25</v>
      </c>
      <c r="AN81" t="str">
        <v>P6</v>
      </c>
      <c r="AO81" t="str">
        <v>V2</v>
      </c>
      <c r="AP81" t="str">
        <v>I1</v>
      </c>
    </row>
    <row r="82" spans="1:42" x14ac:dyDescent="0.25">
      <c r="A82" t="s">
        <v>88</v>
      </c>
      <c r="B82">
        <f t="shared" si="3"/>
        <v>10</v>
      </c>
      <c r="C82">
        <f t="shared" si="3"/>
        <v>9</v>
      </c>
      <c r="D82">
        <f t="shared" si="3"/>
        <v>3</v>
      </c>
      <c r="E82" t="s">
        <v>128</v>
      </c>
      <c r="F82" t="s">
        <v>37</v>
      </c>
      <c r="G82">
        <v>52070.599797793999</v>
      </c>
      <c r="H82">
        <v>51892.335884326501</v>
      </c>
      <c r="I82" s="3">
        <v>3.42350413015653E-3</v>
      </c>
      <c r="J82">
        <v>3600.03935003281</v>
      </c>
      <c r="K82" t="s">
        <v>95</v>
      </c>
      <c r="L82">
        <v>132</v>
      </c>
      <c r="N82">
        <v>3</v>
      </c>
      <c r="O82">
        <v>9000</v>
      </c>
      <c r="P82">
        <v>26369.999884662298</v>
      </c>
      <c r="Q82">
        <v>9789.9999141317094</v>
      </c>
      <c r="R82">
        <v>6581</v>
      </c>
      <c r="S82">
        <v>0</v>
      </c>
      <c r="T82">
        <v>0</v>
      </c>
      <c r="U82">
        <v>0</v>
      </c>
      <c r="V82">
        <v>551</v>
      </c>
      <c r="W82">
        <v>339</v>
      </c>
      <c r="X82">
        <v>0</v>
      </c>
      <c r="Y82">
        <v>30</v>
      </c>
      <c r="Z82">
        <v>0</v>
      </c>
      <c r="AA82">
        <v>7.9756270227112903E-5</v>
      </c>
      <c r="AB82">
        <v>1.6726018941179199E-4</v>
      </c>
      <c r="AC82">
        <v>5.7139444320118502E-3</v>
      </c>
      <c r="AD82">
        <v>7.0635970468563101E-3</v>
      </c>
      <c r="AE82">
        <v>5.7904706281774201E-2</v>
      </c>
      <c r="AL82" t="str" cm="1">
        <f t="array" ref="AL82:AP82">_xlfn.TEXTSPLIT(A82,"_")</f>
        <v>MVPRP</v>
      </c>
      <c r="AM82" t="str">
        <v>C10</v>
      </c>
      <c r="AN82" t="str">
        <v>P9</v>
      </c>
      <c r="AO82" t="str">
        <v>V3</v>
      </c>
      <c r="AP82" t="str">
        <v>I1</v>
      </c>
    </row>
    <row r="83" spans="1:42" x14ac:dyDescent="0.25">
      <c r="A83" t="s">
        <v>90</v>
      </c>
      <c r="B83">
        <f t="shared" si="3"/>
        <v>20</v>
      </c>
      <c r="C83">
        <f t="shared" si="3"/>
        <v>9</v>
      </c>
      <c r="D83">
        <f t="shared" si="3"/>
        <v>2</v>
      </c>
      <c r="E83" t="s">
        <v>128</v>
      </c>
      <c r="F83" t="s">
        <v>37</v>
      </c>
      <c r="G83">
        <v>86842.599502899393</v>
      </c>
      <c r="H83">
        <v>85165.929717784704</v>
      </c>
      <c r="I83" s="3">
        <v>1.9306996735613698E-2</v>
      </c>
      <c r="J83">
        <v>3600.31934165955</v>
      </c>
      <c r="K83" t="s">
        <v>95</v>
      </c>
      <c r="L83">
        <v>283</v>
      </c>
      <c r="N83">
        <v>3</v>
      </c>
      <c r="O83">
        <v>9000</v>
      </c>
      <c r="P83">
        <v>48120</v>
      </c>
      <c r="Q83">
        <v>17895.000008870498</v>
      </c>
      <c r="R83">
        <v>7368.0000329983004</v>
      </c>
      <c r="S83">
        <v>0</v>
      </c>
      <c r="T83">
        <v>0</v>
      </c>
      <c r="U83">
        <v>0</v>
      </c>
      <c r="V83">
        <v>1497</v>
      </c>
      <c r="W83">
        <v>2979</v>
      </c>
      <c r="X83">
        <v>0</v>
      </c>
      <c r="Y83">
        <v>473</v>
      </c>
      <c r="Z83">
        <v>0</v>
      </c>
      <c r="AA83">
        <v>8.1005515486202201E-5</v>
      </c>
      <c r="AB83">
        <v>1.8309196905841199E-4</v>
      </c>
      <c r="AC83">
        <v>3.8179803150268999E-3</v>
      </c>
      <c r="AD83">
        <v>6.7337469076417097E-3</v>
      </c>
      <c r="AE83">
        <v>0.141338941066568</v>
      </c>
      <c r="AL83" t="str" cm="1">
        <f t="array" ref="AL83:AP83">_xlfn.TEXTSPLIT(A83,"_")</f>
        <v>MVPRP</v>
      </c>
      <c r="AM83" t="str">
        <v>C20</v>
      </c>
      <c r="AN83" t="str">
        <v>P9</v>
      </c>
      <c r="AO83" t="str">
        <v>V2</v>
      </c>
      <c r="AP83" t="str">
        <v>I1</v>
      </c>
    </row>
    <row r="84" spans="1:42" x14ac:dyDescent="0.25">
      <c r="A84" t="s">
        <v>92</v>
      </c>
      <c r="B84">
        <f t="shared" ref="B84:D99" si="4">_xlfn.NUMBERVALUE(REPLACE(AM84,1,1,""))</f>
        <v>30</v>
      </c>
      <c r="C84">
        <f t="shared" si="4"/>
        <v>3</v>
      </c>
      <c r="D84">
        <f t="shared" si="4"/>
        <v>3</v>
      </c>
      <c r="E84" t="s">
        <v>128</v>
      </c>
      <c r="F84" t="s">
        <v>18</v>
      </c>
      <c r="G84">
        <v>28872</v>
      </c>
      <c r="H84">
        <v>28872</v>
      </c>
      <c r="I84" s="3">
        <v>0</v>
      </c>
      <c r="J84">
        <v>52.805698633193998</v>
      </c>
      <c r="K84" t="s">
        <v>95</v>
      </c>
      <c r="L84">
        <v>228</v>
      </c>
      <c r="N84">
        <v>3</v>
      </c>
      <c r="O84">
        <v>3000</v>
      </c>
      <c r="P84">
        <v>16680</v>
      </c>
      <c r="Q84">
        <v>5721</v>
      </c>
      <c r="R84">
        <v>3471</v>
      </c>
      <c r="S84">
        <v>0</v>
      </c>
      <c r="T84">
        <v>0</v>
      </c>
      <c r="U84">
        <v>0</v>
      </c>
      <c r="V84">
        <v>2</v>
      </c>
      <c r="W84">
        <v>222</v>
      </c>
      <c r="X84">
        <v>0</v>
      </c>
      <c r="Y84">
        <v>65</v>
      </c>
      <c r="Z84">
        <v>0</v>
      </c>
      <c r="AA84">
        <v>2.1997769673665399E-4</v>
      </c>
      <c r="AB84">
        <v>4.81080868251204E-4</v>
      </c>
      <c r="AC84">
        <v>8.1232732480710692E-3</v>
      </c>
      <c r="AD84">
        <v>1.6497721321332801E-2</v>
      </c>
      <c r="AE84">
        <v>0.42382907867431602</v>
      </c>
      <c r="AL84" t="str" cm="1">
        <f t="array" ref="AL84:AP84">_xlfn.TEXTSPLIT(A84,"_")</f>
        <v>MVPRP</v>
      </c>
      <c r="AM84" t="str">
        <v>C30</v>
      </c>
      <c r="AN84" t="str">
        <v>P3</v>
      </c>
      <c r="AO84" t="str">
        <v>V3</v>
      </c>
      <c r="AP84" t="str">
        <v>I1</v>
      </c>
    </row>
    <row r="85" spans="1:42" x14ac:dyDescent="0.25">
      <c r="A85" t="s">
        <v>94</v>
      </c>
      <c r="B85">
        <f t="shared" si="4"/>
        <v>50</v>
      </c>
      <c r="C85">
        <f t="shared" si="4"/>
        <v>3</v>
      </c>
      <c r="D85">
        <f t="shared" si="4"/>
        <v>4</v>
      </c>
      <c r="E85" t="s">
        <v>128</v>
      </c>
      <c r="F85" t="s">
        <v>37</v>
      </c>
      <c r="G85">
        <v>47343.9</v>
      </c>
      <c r="H85">
        <v>46932.914779389299</v>
      </c>
      <c r="I85" s="3">
        <v>8.6808484432154102E-3</v>
      </c>
      <c r="J85">
        <v>3605.4062564372998</v>
      </c>
      <c r="K85" t="s">
        <v>95</v>
      </c>
      <c r="L85">
        <v>270</v>
      </c>
      <c r="N85">
        <v>3</v>
      </c>
      <c r="O85">
        <v>6000</v>
      </c>
      <c r="P85">
        <v>29580</v>
      </c>
      <c r="Q85">
        <v>5211</v>
      </c>
      <c r="R85">
        <v>6488</v>
      </c>
      <c r="S85">
        <v>0</v>
      </c>
      <c r="T85">
        <v>0</v>
      </c>
      <c r="U85">
        <v>0</v>
      </c>
      <c r="V85">
        <v>111</v>
      </c>
      <c r="W85">
        <v>1645</v>
      </c>
      <c r="X85">
        <v>0</v>
      </c>
      <c r="Y85">
        <v>376</v>
      </c>
      <c r="Z85">
        <v>0</v>
      </c>
      <c r="AA85">
        <v>2.4028383437078E-4</v>
      </c>
      <c r="AB85">
        <v>8.1995870552810997E-4</v>
      </c>
      <c r="AC85">
        <v>8.6313894532185093E-3</v>
      </c>
      <c r="AD85">
        <v>2.05705197448404E-2</v>
      </c>
      <c r="AE85">
        <v>0.83253533912427502</v>
      </c>
      <c r="AL85" t="str" cm="1">
        <f t="array" ref="AL85:AP85">_xlfn.TEXTSPLIT(A85,"_")</f>
        <v>MVPRP</v>
      </c>
      <c r="AM85" t="str">
        <v>C50</v>
      </c>
      <c r="AN85" t="str">
        <v>P3</v>
      </c>
      <c r="AO85" t="str">
        <v>V4</v>
      </c>
      <c r="AP85" t="str">
        <v>I1</v>
      </c>
    </row>
    <row r="86" spans="1:42" x14ac:dyDescent="0.25">
      <c r="A86" t="s">
        <v>17</v>
      </c>
      <c r="B86">
        <f t="shared" si="4"/>
        <v>15</v>
      </c>
      <c r="C86">
        <f t="shared" si="4"/>
        <v>9</v>
      </c>
      <c r="D86">
        <f t="shared" si="4"/>
        <v>3</v>
      </c>
      <c r="E86" t="s">
        <v>129</v>
      </c>
      <c r="F86" t="s">
        <v>37</v>
      </c>
      <c r="G86">
        <v>75839.300000000105</v>
      </c>
      <c r="H86">
        <v>74220.190473161798</v>
      </c>
      <c r="I86" s="3">
        <v>2.1349215075011099E-2</v>
      </c>
      <c r="J86">
        <v>3600.0586309433002</v>
      </c>
      <c r="K86" t="s">
        <v>95</v>
      </c>
      <c r="L86">
        <v>132</v>
      </c>
      <c r="N86">
        <v>3</v>
      </c>
      <c r="O86">
        <v>9000</v>
      </c>
      <c r="P86">
        <v>40950</v>
      </c>
      <c r="Q86">
        <v>14562</v>
      </c>
      <c r="R86">
        <v>10597</v>
      </c>
      <c r="S86">
        <v>1168.5</v>
      </c>
      <c r="T86">
        <v>438.2</v>
      </c>
      <c r="U86">
        <v>730.29999999999802</v>
      </c>
      <c r="V86">
        <v>1994</v>
      </c>
      <c r="W86">
        <v>0</v>
      </c>
      <c r="X86">
        <v>108</v>
      </c>
      <c r="Y86">
        <v>0</v>
      </c>
      <c r="AL86" t="str" cm="1">
        <f t="array" ref="AL86:AP86">_xlfn.TEXTSPLIT(A86,"_")</f>
        <v>MVPRP</v>
      </c>
      <c r="AM86" t="str">
        <v>C15</v>
      </c>
      <c r="AN86" t="str">
        <v>P9</v>
      </c>
      <c r="AO86" t="str">
        <v>V3</v>
      </c>
      <c r="AP86" t="str">
        <v>I1</v>
      </c>
    </row>
    <row r="87" spans="1:42" x14ac:dyDescent="0.25">
      <c r="A87" t="s">
        <v>20</v>
      </c>
      <c r="B87">
        <f t="shared" si="4"/>
        <v>20</v>
      </c>
      <c r="C87">
        <f t="shared" si="4"/>
        <v>3</v>
      </c>
      <c r="D87">
        <f t="shared" si="4"/>
        <v>2</v>
      </c>
      <c r="E87" t="s">
        <v>129</v>
      </c>
      <c r="F87" t="s">
        <v>37</v>
      </c>
      <c r="G87">
        <v>23484.899442000002</v>
      </c>
      <c r="H87">
        <v>22689.540004838502</v>
      </c>
      <c r="I87" s="3">
        <v>3.3866844485570001E-2</v>
      </c>
      <c r="J87">
        <v>3600.55140566826</v>
      </c>
      <c r="K87" t="s">
        <v>95</v>
      </c>
      <c r="L87">
        <v>283</v>
      </c>
      <c r="N87">
        <v>3</v>
      </c>
      <c r="O87">
        <v>3000</v>
      </c>
      <c r="P87">
        <v>12030</v>
      </c>
      <c r="Q87">
        <v>4509</v>
      </c>
      <c r="R87">
        <v>2671</v>
      </c>
      <c r="S87">
        <v>1541.99944199999</v>
      </c>
      <c r="T87">
        <v>267.10000000000002</v>
      </c>
      <c r="U87">
        <v>1274.8994419999899</v>
      </c>
      <c r="V87">
        <v>304</v>
      </c>
      <c r="W87">
        <v>0</v>
      </c>
      <c r="X87">
        <v>4954</v>
      </c>
      <c r="Y87">
        <v>0</v>
      </c>
      <c r="AL87" t="str" cm="1">
        <f t="array" ref="AL87:AP87">_xlfn.TEXTSPLIT(A87,"_")</f>
        <v>MVPRP</v>
      </c>
      <c r="AM87" t="str">
        <v>C20</v>
      </c>
      <c r="AN87" t="str">
        <v>P3</v>
      </c>
      <c r="AO87" t="str">
        <v>V2</v>
      </c>
      <c r="AP87" t="str">
        <v>I1</v>
      </c>
    </row>
    <row r="88" spans="1:42" x14ac:dyDescent="0.25">
      <c r="A88" t="s">
        <v>22</v>
      </c>
      <c r="B88">
        <f t="shared" si="4"/>
        <v>40</v>
      </c>
      <c r="C88">
        <f t="shared" si="4"/>
        <v>3</v>
      </c>
      <c r="D88">
        <f t="shared" si="4"/>
        <v>4</v>
      </c>
      <c r="E88" t="s">
        <v>129</v>
      </c>
      <c r="F88" t="s">
        <v>18</v>
      </c>
      <c r="G88">
        <v>44461</v>
      </c>
      <c r="H88">
        <v>44461</v>
      </c>
      <c r="I88" s="3">
        <v>0</v>
      </c>
      <c r="J88">
        <v>801.19248342514004</v>
      </c>
      <c r="K88" t="s">
        <v>95</v>
      </c>
      <c r="L88">
        <v>270</v>
      </c>
      <c r="N88">
        <v>3</v>
      </c>
      <c r="O88">
        <v>6000</v>
      </c>
      <c r="P88">
        <v>27660</v>
      </c>
      <c r="Q88">
        <v>5013</v>
      </c>
      <c r="R88">
        <v>5788</v>
      </c>
      <c r="S88">
        <v>0</v>
      </c>
      <c r="T88">
        <v>0</v>
      </c>
      <c r="U88">
        <v>0</v>
      </c>
      <c r="V88">
        <v>298</v>
      </c>
      <c r="W88">
        <v>0</v>
      </c>
      <c r="X88">
        <v>359</v>
      </c>
      <c r="Y88">
        <v>0</v>
      </c>
      <c r="AL88" t="str" cm="1">
        <f t="array" ref="AL88:AP88">_xlfn.TEXTSPLIT(A88,"_")</f>
        <v>MVPRP</v>
      </c>
      <c r="AM88" t="str">
        <v>C40</v>
      </c>
      <c r="AN88" t="str">
        <v>P3</v>
      </c>
      <c r="AO88" t="str">
        <v>V4</v>
      </c>
      <c r="AP88" t="str">
        <v>I1</v>
      </c>
    </row>
    <row r="89" spans="1:42" x14ac:dyDescent="0.25">
      <c r="A89" t="s">
        <v>23</v>
      </c>
      <c r="B89">
        <f t="shared" si="4"/>
        <v>10</v>
      </c>
      <c r="C89">
        <f t="shared" si="4"/>
        <v>9</v>
      </c>
      <c r="D89">
        <f t="shared" si="4"/>
        <v>2</v>
      </c>
      <c r="E89" t="s">
        <v>129</v>
      </c>
      <c r="F89" t="s">
        <v>37</v>
      </c>
      <c r="G89">
        <v>52882.899649097701</v>
      </c>
      <c r="H89">
        <v>51942.701621373599</v>
      </c>
      <c r="I89" s="3">
        <v>1.7778866778536399E-2</v>
      </c>
      <c r="J89">
        <v>3600.0614750385298</v>
      </c>
      <c r="K89" t="s">
        <v>95</v>
      </c>
      <c r="L89">
        <v>198</v>
      </c>
      <c r="N89">
        <v>3</v>
      </c>
      <c r="O89">
        <v>9000</v>
      </c>
      <c r="P89">
        <v>26370</v>
      </c>
      <c r="Q89">
        <v>10336</v>
      </c>
      <c r="R89">
        <v>5223</v>
      </c>
      <c r="S89">
        <v>2608.199562153</v>
      </c>
      <c r="T89">
        <v>654.29991305533304</v>
      </c>
      <c r="U89">
        <v>1953.8996490976699</v>
      </c>
      <c r="V89">
        <v>251</v>
      </c>
      <c r="W89">
        <v>0</v>
      </c>
      <c r="X89">
        <v>146</v>
      </c>
      <c r="Y89">
        <v>0</v>
      </c>
      <c r="AL89" t="str" cm="1">
        <f t="array" ref="AL89:AP89">_xlfn.TEXTSPLIT(A89,"_")</f>
        <v>MVPRP</v>
      </c>
      <c r="AM89" t="str">
        <v>C10</v>
      </c>
      <c r="AN89" t="str">
        <v>P9</v>
      </c>
      <c r="AO89" t="str">
        <v>V2</v>
      </c>
      <c r="AP89" t="str">
        <v>I1</v>
      </c>
    </row>
    <row r="90" spans="1:42" x14ac:dyDescent="0.25">
      <c r="A90" t="s">
        <v>25</v>
      </c>
      <c r="B90">
        <f t="shared" si="4"/>
        <v>15</v>
      </c>
      <c r="C90">
        <f t="shared" si="4"/>
        <v>3</v>
      </c>
      <c r="D90">
        <f t="shared" si="4"/>
        <v>2</v>
      </c>
      <c r="E90" t="s">
        <v>129</v>
      </c>
      <c r="F90" t="s">
        <v>37</v>
      </c>
      <c r="G90">
        <v>20511.4998049327</v>
      </c>
      <c r="H90">
        <v>20113.700000000099</v>
      </c>
      <c r="I90" s="3">
        <v>1.9393989162947101E-2</v>
      </c>
      <c r="J90">
        <v>3600.6111724376701</v>
      </c>
      <c r="K90" t="s">
        <v>95</v>
      </c>
      <c r="L90">
        <v>198</v>
      </c>
      <c r="N90">
        <v>3</v>
      </c>
      <c r="O90">
        <v>3000</v>
      </c>
      <c r="P90">
        <v>9960</v>
      </c>
      <c r="Q90">
        <v>3896</v>
      </c>
      <c r="R90">
        <v>2762</v>
      </c>
      <c r="S90">
        <v>1169.6997491028801</v>
      </c>
      <c r="T90">
        <v>276.19994417017</v>
      </c>
      <c r="U90">
        <v>893.49980493271403</v>
      </c>
      <c r="V90">
        <v>530</v>
      </c>
      <c r="W90">
        <v>0</v>
      </c>
      <c r="X90">
        <v>1037</v>
      </c>
      <c r="Y90">
        <v>0</v>
      </c>
      <c r="AL90" t="str" cm="1">
        <f t="array" ref="AL90:AP90">_xlfn.TEXTSPLIT(A90,"_")</f>
        <v>MVPRP</v>
      </c>
      <c r="AM90" t="str">
        <v>C15</v>
      </c>
      <c r="AN90" t="str">
        <v>P3</v>
      </c>
      <c r="AO90" t="str">
        <v>V2</v>
      </c>
      <c r="AP90" t="str">
        <v>I1</v>
      </c>
    </row>
    <row r="91" spans="1:42" x14ac:dyDescent="0.25">
      <c r="A91" t="s">
        <v>27</v>
      </c>
      <c r="B91">
        <f t="shared" si="4"/>
        <v>40</v>
      </c>
      <c r="C91">
        <f t="shared" si="4"/>
        <v>3</v>
      </c>
      <c r="D91">
        <f t="shared" si="4"/>
        <v>3</v>
      </c>
      <c r="E91" t="s">
        <v>129</v>
      </c>
      <c r="F91" t="s">
        <v>37</v>
      </c>
      <c r="G91">
        <v>44578</v>
      </c>
      <c r="H91">
        <v>44420.725570989503</v>
      </c>
      <c r="I91" s="3">
        <v>3.5280727939912102E-3</v>
      </c>
      <c r="J91">
        <v>3607.2660670280502</v>
      </c>
      <c r="K91" t="s">
        <v>95</v>
      </c>
      <c r="L91">
        <v>360</v>
      </c>
      <c r="N91">
        <v>3</v>
      </c>
      <c r="O91">
        <v>3000</v>
      </c>
      <c r="P91">
        <v>27660</v>
      </c>
      <c r="Q91">
        <v>9403</v>
      </c>
      <c r="R91">
        <v>4515</v>
      </c>
      <c r="S91">
        <v>0</v>
      </c>
      <c r="T91">
        <v>0</v>
      </c>
      <c r="U91">
        <v>0</v>
      </c>
      <c r="V91">
        <v>343</v>
      </c>
      <c r="W91">
        <v>0</v>
      </c>
      <c r="X91">
        <v>451</v>
      </c>
      <c r="Y91">
        <v>0</v>
      </c>
      <c r="AL91" t="str" cm="1">
        <f t="array" ref="AL91:AP91">_xlfn.TEXTSPLIT(A91,"_")</f>
        <v>MVPRP</v>
      </c>
      <c r="AM91" t="str">
        <v>C40</v>
      </c>
      <c r="AN91" t="str">
        <v>P3</v>
      </c>
      <c r="AO91" t="str">
        <v>V3</v>
      </c>
      <c r="AP91" t="str">
        <v>I1</v>
      </c>
    </row>
    <row r="92" spans="1:42" x14ac:dyDescent="0.25">
      <c r="A92" t="s">
        <v>29</v>
      </c>
      <c r="B92">
        <f t="shared" si="4"/>
        <v>20</v>
      </c>
      <c r="C92">
        <f t="shared" si="4"/>
        <v>6</v>
      </c>
      <c r="D92">
        <f t="shared" si="4"/>
        <v>3</v>
      </c>
      <c r="E92" t="s">
        <v>129</v>
      </c>
      <c r="F92" t="s">
        <v>18</v>
      </c>
      <c r="G92">
        <v>47744.299966971201</v>
      </c>
      <c r="H92">
        <v>47744.299966971201</v>
      </c>
      <c r="I92" s="3">
        <v>0</v>
      </c>
      <c r="J92">
        <v>211.493075370789</v>
      </c>
      <c r="K92" t="s">
        <v>95</v>
      </c>
      <c r="L92">
        <v>189</v>
      </c>
      <c r="N92">
        <v>3</v>
      </c>
      <c r="O92">
        <v>6000</v>
      </c>
      <c r="P92">
        <v>23819.999983376299</v>
      </c>
      <c r="Q92">
        <v>12551.9999835949</v>
      </c>
      <c r="R92">
        <v>5309</v>
      </c>
      <c r="S92">
        <v>107.4</v>
      </c>
      <c r="T92">
        <v>44.1</v>
      </c>
      <c r="U92">
        <v>63.299999999999798</v>
      </c>
      <c r="V92">
        <v>172</v>
      </c>
      <c r="W92">
        <v>0</v>
      </c>
      <c r="X92">
        <v>115</v>
      </c>
      <c r="Y92">
        <v>0</v>
      </c>
      <c r="AL92" t="str" cm="1">
        <f t="array" ref="AL92:AP92">_xlfn.TEXTSPLIT(A92,"_")</f>
        <v>MVPRP</v>
      </c>
      <c r="AM92" t="str">
        <v>C20</v>
      </c>
      <c r="AN92" t="str">
        <v>P6</v>
      </c>
      <c r="AO92" t="str">
        <v>V3</v>
      </c>
      <c r="AP92" t="str">
        <v>I1</v>
      </c>
    </row>
    <row r="93" spans="1:42" x14ac:dyDescent="0.25">
      <c r="A93" t="s">
        <v>31</v>
      </c>
      <c r="B93">
        <f t="shared" si="4"/>
        <v>30</v>
      </c>
      <c r="C93">
        <f t="shared" si="4"/>
        <v>3</v>
      </c>
      <c r="D93">
        <f t="shared" si="4"/>
        <v>4</v>
      </c>
      <c r="E93" t="s">
        <v>129</v>
      </c>
      <c r="F93" t="s">
        <v>18</v>
      </c>
      <c r="G93">
        <v>29156.9999086147</v>
      </c>
      <c r="H93">
        <v>29156.9999086147</v>
      </c>
      <c r="I93" s="3">
        <v>0</v>
      </c>
      <c r="J93">
        <v>579.86675643920898</v>
      </c>
      <c r="K93" t="s">
        <v>95</v>
      </c>
      <c r="L93">
        <v>171</v>
      </c>
      <c r="N93">
        <v>3</v>
      </c>
      <c r="O93">
        <v>3000</v>
      </c>
      <c r="P93">
        <v>16679.999940384201</v>
      </c>
      <c r="Q93">
        <v>5463.9999682304597</v>
      </c>
      <c r="R93">
        <v>4013</v>
      </c>
      <c r="S93">
        <v>0</v>
      </c>
      <c r="T93">
        <v>0</v>
      </c>
      <c r="U93">
        <v>0</v>
      </c>
      <c r="V93">
        <v>376</v>
      </c>
      <c r="W93">
        <v>0</v>
      </c>
      <c r="X93">
        <v>90</v>
      </c>
      <c r="Y93">
        <v>0</v>
      </c>
      <c r="AL93" t="str" cm="1">
        <f t="array" ref="AL93:AP93">_xlfn.TEXTSPLIT(A93,"_")</f>
        <v>MVPRP</v>
      </c>
      <c r="AM93" t="str">
        <v>C30</v>
      </c>
      <c r="AN93" t="str">
        <v>P3</v>
      </c>
      <c r="AO93" t="str">
        <v>V4</v>
      </c>
      <c r="AP93" t="str">
        <v>I1</v>
      </c>
    </row>
    <row r="94" spans="1:42" x14ac:dyDescent="0.25">
      <c r="A94" t="s">
        <v>32</v>
      </c>
      <c r="B94">
        <f t="shared" si="4"/>
        <v>10</v>
      </c>
      <c r="C94">
        <f t="shared" si="4"/>
        <v>3</v>
      </c>
      <c r="D94">
        <f t="shared" si="4"/>
        <v>3</v>
      </c>
      <c r="E94" t="s">
        <v>129</v>
      </c>
      <c r="F94" t="s">
        <v>18</v>
      </c>
      <c r="G94">
        <v>14002</v>
      </c>
      <c r="H94">
        <v>14002</v>
      </c>
      <c r="I94" s="3">
        <v>0</v>
      </c>
      <c r="J94">
        <v>3.9076161384582502</v>
      </c>
      <c r="K94" t="s">
        <v>95</v>
      </c>
      <c r="L94">
        <v>132</v>
      </c>
      <c r="N94">
        <v>3</v>
      </c>
      <c r="O94">
        <v>3000</v>
      </c>
      <c r="P94">
        <v>6390</v>
      </c>
      <c r="Q94">
        <v>2681</v>
      </c>
      <c r="R94">
        <v>1931</v>
      </c>
      <c r="S94">
        <v>0</v>
      </c>
      <c r="T94">
        <v>0</v>
      </c>
      <c r="U94">
        <v>0</v>
      </c>
      <c r="V94">
        <v>22</v>
      </c>
      <c r="W94">
        <v>0</v>
      </c>
      <c r="X94">
        <v>10</v>
      </c>
      <c r="Y94">
        <v>0</v>
      </c>
      <c r="AL94" t="str" cm="1">
        <f t="array" ref="AL94:AP94">_xlfn.TEXTSPLIT(A94,"_")</f>
        <v>MVPRP</v>
      </c>
      <c r="AM94" t="str">
        <v>C10</v>
      </c>
      <c r="AN94" t="str">
        <v>P3</v>
      </c>
      <c r="AO94" t="str">
        <v>V3</v>
      </c>
      <c r="AP94" t="str">
        <v>I1</v>
      </c>
    </row>
    <row r="95" spans="1:42" x14ac:dyDescent="0.25">
      <c r="A95" t="s">
        <v>34</v>
      </c>
      <c r="B95">
        <f t="shared" si="4"/>
        <v>10</v>
      </c>
      <c r="C95">
        <f t="shared" si="4"/>
        <v>3</v>
      </c>
      <c r="D95">
        <f t="shared" si="4"/>
        <v>2</v>
      </c>
      <c r="E95" t="s">
        <v>129</v>
      </c>
      <c r="F95" t="s">
        <v>18</v>
      </c>
      <c r="G95">
        <v>14480.9</v>
      </c>
      <c r="H95">
        <v>14480.9</v>
      </c>
      <c r="I95" s="3">
        <v>0</v>
      </c>
      <c r="J95">
        <v>19.458320140838602</v>
      </c>
      <c r="K95" t="s">
        <v>95</v>
      </c>
      <c r="L95">
        <v>198</v>
      </c>
      <c r="N95">
        <v>3</v>
      </c>
      <c r="O95">
        <v>3000</v>
      </c>
      <c r="P95">
        <v>6390</v>
      </c>
      <c r="Q95">
        <v>2999</v>
      </c>
      <c r="R95">
        <v>1535</v>
      </c>
      <c r="S95">
        <v>710.4</v>
      </c>
      <c r="T95">
        <v>153.5</v>
      </c>
      <c r="U95">
        <v>556.9</v>
      </c>
      <c r="V95">
        <v>49</v>
      </c>
      <c r="W95">
        <v>0</v>
      </c>
      <c r="X95">
        <v>71</v>
      </c>
      <c r="Y95">
        <v>0</v>
      </c>
      <c r="AL95" t="str" cm="1">
        <f t="array" ref="AL95:AP95">_xlfn.TEXTSPLIT(A95,"_")</f>
        <v>MVPRP</v>
      </c>
      <c r="AM95" t="str">
        <v>C10</v>
      </c>
      <c r="AN95" t="str">
        <v>P3</v>
      </c>
      <c r="AO95" t="str">
        <v>V2</v>
      </c>
      <c r="AP95" t="str">
        <v>I1</v>
      </c>
    </row>
    <row r="96" spans="1:42" x14ac:dyDescent="0.25">
      <c r="A96" t="s">
        <v>36</v>
      </c>
      <c r="B96">
        <f t="shared" si="4"/>
        <v>30</v>
      </c>
      <c r="C96">
        <f t="shared" si="4"/>
        <v>9</v>
      </c>
      <c r="D96">
        <f t="shared" si="4"/>
        <v>4</v>
      </c>
      <c r="E96" t="s">
        <v>129</v>
      </c>
      <c r="F96" t="s">
        <v>37</v>
      </c>
      <c r="G96">
        <v>115530.6</v>
      </c>
      <c r="H96">
        <v>110094.249689542</v>
      </c>
      <c r="I96" s="3">
        <v>4.7055501403594699E-2</v>
      </c>
      <c r="J96">
        <v>3603.5610988140102</v>
      </c>
      <c r="K96" t="s">
        <v>95</v>
      </c>
      <c r="L96">
        <v>171</v>
      </c>
      <c r="N96">
        <v>3</v>
      </c>
      <c r="O96">
        <v>12000</v>
      </c>
      <c r="P96">
        <v>67710</v>
      </c>
      <c r="Q96">
        <v>19913</v>
      </c>
      <c r="R96">
        <v>15552</v>
      </c>
      <c r="S96">
        <v>501.00000000000199</v>
      </c>
      <c r="T96">
        <v>145.4</v>
      </c>
      <c r="U96">
        <v>355.60000000000201</v>
      </c>
      <c r="V96">
        <v>2016</v>
      </c>
      <c r="W96">
        <v>0</v>
      </c>
      <c r="X96">
        <v>423</v>
      </c>
      <c r="Y96">
        <v>0</v>
      </c>
      <c r="AL96" t="str" cm="1">
        <f t="array" ref="AL96:AP96">_xlfn.TEXTSPLIT(A96,"_")</f>
        <v>MVPRP</v>
      </c>
      <c r="AM96" t="str">
        <v>C30</v>
      </c>
      <c r="AN96" t="str">
        <v>P9</v>
      </c>
      <c r="AO96" t="str">
        <v>V4</v>
      </c>
      <c r="AP96" t="str">
        <v>I1</v>
      </c>
    </row>
    <row r="97" spans="1:42" x14ac:dyDescent="0.25">
      <c r="A97" t="s">
        <v>38</v>
      </c>
      <c r="B97">
        <f t="shared" si="4"/>
        <v>20</v>
      </c>
      <c r="C97">
        <f t="shared" si="4"/>
        <v>3</v>
      </c>
      <c r="D97">
        <f t="shared" si="4"/>
        <v>3</v>
      </c>
      <c r="E97" t="s">
        <v>129</v>
      </c>
      <c r="F97" t="s">
        <v>18</v>
      </c>
      <c r="G97">
        <v>22438.299972406101</v>
      </c>
      <c r="H97">
        <v>22438.299972406101</v>
      </c>
      <c r="I97" s="3">
        <v>0</v>
      </c>
      <c r="J97">
        <v>28.222637653350802</v>
      </c>
      <c r="K97" t="s">
        <v>95</v>
      </c>
      <c r="L97">
        <v>189</v>
      </c>
      <c r="N97">
        <v>3</v>
      </c>
      <c r="O97">
        <v>3000</v>
      </c>
      <c r="P97">
        <v>12030</v>
      </c>
      <c r="Q97">
        <v>4455</v>
      </c>
      <c r="R97">
        <v>2890</v>
      </c>
      <c r="S97">
        <v>107.399961507011</v>
      </c>
      <c r="T97">
        <v>44.0999891009184</v>
      </c>
      <c r="U97">
        <v>63.299972406093097</v>
      </c>
      <c r="V97">
        <v>216</v>
      </c>
      <c r="W97">
        <v>0</v>
      </c>
      <c r="X97">
        <v>34</v>
      </c>
      <c r="Y97">
        <v>0</v>
      </c>
      <c r="AL97" t="str" cm="1">
        <f t="array" ref="AL97:AP97">_xlfn.TEXTSPLIT(A97,"_")</f>
        <v>MVPRP</v>
      </c>
      <c r="AM97" t="str">
        <v>C20</v>
      </c>
      <c r="AN97" t="str">
        <v>P3</v>
      </c>
      <c r="AO97" t="str">
        <v>V3</v>
      </c>
      <c r="AP97" t="str">
        <v>I1</v>
      </c>
    </row>
    <row r="98" spans="1:42" x14ac:dyDescent="0.25">
      <c r="A98" t="s">
        <v>40</v>
      </c>
      <c r="B98">
        <f t="shared" si="4"/>
        <v>40</v>
      </c>
      <c r="C98">
        <f t="shared" si="4"/>
        <v>6</v>
      </c>
      <c r="D98">
        <f t="shared" si="4"/>
        <v>3</v>
      </c>
      <c r="E98" t="s">
        <v>129</v>
      </c>
      <c r="F98" t="s">
        <v>37</v>
      </c>
      <c r="G98">
        <v>98467.6</v>
      </c>
      <c r="H98">
        <v>96156.119972014407</v>
      </c>
      <c r="I98" s="3">
        <v>2.3474523883852402E-2</v>
      </c>
      <c r="J98">
        <v>3611.9726634025601</v>
      </c>
      <c r="K98" t="s">
        <v>95</v>
      </c>
      <c r="L98">
        <v>360</v>
      </c>
      <c r="N98">
        <v>3</v>
      </c>
      <c r="O98">
        <v>6000</v>
      </c>
      <c r="P98">
        <v>55170</v>
      </c>
      <c r="Q98">
        <v>27721</v>
      </c>
      <c r="R98">
        <v>9251</v>
      </c>
      <c r="S98">
        <v>438</v>
      </c>
      <c r="T98">
        <v>112.4</v>
      </c>
      <c r="U98">
        <v>325.60000000000002</v>
      </c>
      <c r="V98">
        <v>926</v>
      </c>
      <c r="W98">
        <v>0</v>
      </c>
      <c r="X98">
        <v>1047</v>
      </c>
      <c r="Y98">
        <v>0</v>
      </c>
      <c r="AL98" t="str" cm="1">
        <f t="array" ref="AL98:AP98">_xlfn.TEXTSPLIT(A98,"_")</f>
        <v>MVPRP</v>
      </c>
      <c r="AM98" t="str">
        <v>C40</v>
      </c>
      <c r="AN98" t="str">
        <v>P6</v>
      </c>
      <c r="AO98" t="str">
        <v>V3</v>
      </c>
      <c r="AP98" t="str">
        <v>I1</v>
      </c>
    </row>
    <row r="99" spans="1:42" x14ac:dyDescent="0.25">
      <c r="A99" t="s">
        <v>42</v>
      </c>
      <c r="B99">
        <f t="shared" si="4"/>
        <v>15</v>
      </c>
      <c r="C99">
        <f t="shared" si="4"/>
        <v>9</v>
      </c>
      <c r="D99">
        <f t="shared" si="4"/>
        <v>2</v>
      </c>
      <c r="E99" t="s">
        <v>129</v>
      </c>
      <c r="F99" t="s">
        <v>37</v>
      </c>
      <c r="G99">
        <v>78698.899989750906</v>
      </c>
      <c r="H99">
        <v>73446.218331827404</v>
      </c>
      <c r="I99" s="3">
        <v>6.6744028933156105E-2</v>
      </c>
      <c r="J99">
        <v>3602.6990602016499</v>
      </c>
      <c r="K99" t="s">
        <v>95</v>
      </c>
      <c r="L99">
        <v>198</v>
      </c>
      <c r="N99">
        <v>3</v>
      </c>
      <c r="O99">
        <v>12000</v>
      </c>
      <c r="P99">
        <v>40950</v>
      </c>
      <c r="Q99">
        <v>13427</v>
      </c>
      <c r="R99">
        <v>8803.9999935881406</v>
      </c>
      <c r="S99">
        <v>4518.2999960508996</v>
      </c>
      <c r="T99">
        <v>1000.39999988814</v>
      </c>
      <c r="U99">
        <v>3517.8999961627701</v>
      </c>
      <c r="V99">
        <v>1345</v>
      </c>
      <c r="W99">
        <v>0</v>
      </c>
      <c r="X99">
        <v>1317</v>
      </c>
      <c r="Y99">
        <v>0</v>
      </c>
      <c r="AL99" t="str" cm="1">
        <f t="array" ref="AL99:AP99">_xlfn.TEXTSPLIT(A99,"_")</f>
        <v>MVPRP</v>
      </c>
      <c r="AM99" t="str">
        <v>C15</v>
      </c>
      <c r="AN99" t="str">
        <v>P9</v>
      </c>
      <c r="AO99" t="str">
        <v>V2</v>
      </c>
      <c r="AP99" t="str">
        <v>I1</v>
      </c>
    </row>
    <row r="100" spans="1:42" x14ac:dyDescent="0.25">
      <c r="A100" t="s">
        <v>44</v>
      </c>
      <c r="B100">
        <f t="shared" ref="B100:D127" si="5">_xlfn.NUMBERVALUE(REPLACE(AM100,1,1,""))</f>
        <v>35</v>
      </c>
      <c r="C100">
        <f t="shared" si="5"/>
        <v>6</v>
      </c>
      <c r="D100">
        <f t="shared" si="5"/>
        <v>4</v>
      </c>
      <c r="E100" t="s">
        <v>129</v>
      </c>
      <c r="F100" t="s">
        <v>37</v>
      </c>
      <c r="G100">
        <v>76171.499958041706</v>
      </c>
      <c r="H100">
        <v>75170.230192212504</v>
      </c>
      <c r="I100" s="3">
        <v>1.3144939595265401E-2</v>
      </c>
      <c r="J100">
        <v>3601.5114545822098</v>
      </c>
      <c r="K100" t="s">
        <v>95</v>
      </c>
      <c r="L100">
        <v>207</v>
      </c>
      <c r="N100">
        <v>3</v>
      </c>
      <c r="O100">
        <v>6000</v>
      </c>
      <c r="P100">
        <v>42900</v>
      </c>
      <c r="Q100">
        <v>17891</v>
      </c>
      <c r="R100">
        <v>9230</v>
      </c>
      <c r="S100">
        <v>189.89995468174999</v>
      </c>
      <c r="T100">
        <v>39.399996639999998</v>
      </c>
      <c r="U100">
        <v>150.49995804175001</v>
      </c>
      <c r="V100">
        <v>1655</v>
      </c>
      <c r="W100">
        <v>0</v>
      </c>
      <c r="X100">
        <v>403</v>
      </c>
      <c r="Y100">
        <v>0</v>
      </c>
      <c r="AL100" t="str" cm="1">
        <f t="array" ref="AL100:AP100">_xlfn.TEXTSPLIT(A100,"_")</f>
        <v>MVPRP</v>
      </c>
      <c r="AM100" t="str">
        <v>C35</v>
      </c>
      <c r="AN100" t="str">
        <v>P6</v>
      </c>
      <c r="AO100" t="str">
        <v>V4</v>
      </c>
      <c r="AP100" t="str">
        <v>I1</v>
      </c>
    </row>
    <row r="101" spans="1:42" x14ac:dyDescent="0.25">
      <c r="A101" t="s">
        <v>45</v>
      </c>
      <c r="B101">
        <f t="shared" si="5"/>
        <v>45</v>
      </c>
      <c r="C101">
        <f t="shared" si="5"/>
        <v>3</v>
      </c>
      <c r="D101">
        <f t="shared" si="5"/>
        <v>3</v>
      </c>
      <c r="E101" t="s">
        <v>129</v>
      </c>
      <c r="F101" t="s">
        <v>37</v>
      </c>
      <c r="G101">
        <v>51751.8</v>
      </c>
      <c r="H101">
        <v>50343.396810542799</v>
      </c>
      <c r="I101" s="3">
        <v>2.7214573975343801E-2</v>
      </c>
      <c r="J101">
        <v>3605.4018700122801</v>
      </c>
      <c r="K101" t="s">
        <v>95</v>
      </c>
      <c r="L101">
        <v>360</v>
      </c>
      <c r="N101">
        <v>3</v>
      </c>
      <c r="O101">
        <v>6000</v>
      </c>
      <c r="P101">
        <v>33060</v>
      </c>
      <c r="Q101">
        <v>6217</v>
      </c>
      <c r="R101">
        <v>5914</v>
      </c>
      <c r="S101">
        <v>642.6</v>
      </c>
      <c r="T101">
        <v>81.8</v>
      </c>
      <c r="U101">
        <v>560.79999999999995</v>
      </c>
      <c r="V101">
        <v>716</v>
      </c>
      <c r="W101">
        <v>0</v>
      </c>
      <c r="X101">
        <v>2252</v>
      </c>
      <c r="Y101">
        <v>0</v>
      </c>
      <c r="AL101" t="str" cm="1">
        <f t="array" ref="AL101:AP101">_xlfn.TEXTSPLIT(A101,"_")</f>
        <v>MVPRP</v>
      </c>
      <c r="AM101" t="str">
        <v>C45</v>
      </c>
      <c r="AN101" t="str">
        <v>P3</v>
      </c>
      <c r="AO101" t="str">
        <v>V3</v>
      </c>
      <c r="AP101" t="str">
        <v>I1</v>
      </c>
    </row>
    <row r="102" spans="1:42" x14ac:dyDescent="0.25">
      <c r="A102" t="s">
        <v>47</v>
      </c>
      <c r="B102">
        <f t="shared" si="5"/>
        <v>10</v>
      </c>
      <c r="C102">
        <f t="shared" si="5"/>
        <v>6</v>
      </c>
      <c r="D102">
        <f t="shared" si="5"/>
        <v>2</v>
      </c>
      <c r="E102" t="s">
        <v>129</v>
      </c>
      <c r="F102" t="s">
        <v>18</v>
      </c>
      <c r="G102">
        <v>30459.899674495198</v>
      </c>
      <c r="H102">
        <v>30459.899674495198</v>
      </c>
      <c r="I102" s="3">
        <v>0</v>
      </c>
      <c r="J102">
        <v>225.05325078964199</v>
      </c>
      <c r="K102" t="s">
        <v>95</v>
      </c>
      <c r="L102">
        <v>198</v>
      </c>
      <c r="N102">
        <v>3</v>
      </c>
      <c r="O102">
        <v>6000</v>
      </c>
      <c r="P102">
        <v>12690</v>
      </c>
      <c r="Q102">
        <v>8163</v>
      </c>
      <c r="R102">
        <v>2706</v>
      </c>
      <c r="S102">
        <v>1171.4995509221999</v>
      </c>
      <c r="T102">
        <v>270.59987642704402</v>
      </c>
      <c r="U102">
        <v>900.89967449515996</v>
      </c>
      <c r="V102">
        <v>94</v>
      </c>
      <c r="W102">
        <v>0</v>
      </c>
      <c r="X102">
        <v>76</v>
      </c>
      <c r="Y102">
        <v>0</v>
      </c>
      <c r="AL102" t="str" cm="1">
        <f t="array" ref="AL102:AP102">_xlfn.TEXTSPLIT(A102,"_")</f>
        <v>MVPRP</v>
      </c>
      <c r="AM102" t="str">
        <v>C10</v>
      </c>
      <c r="AN102" t="str">
        <v>P6</v>
      </c>
      <c r="AO102" t="str">
        <v>V2</v>
      </c>
      <c r="AP102" t="str">
        <v>I1</v>
      </c>
    </row>
    <row r="103" spans="1:42" x14ac:dyDescent="0.25">
      <c r="A103" t="s">
        <v>49</v>
      </c>
      <c r="B103">
        <f t="shared" si="5"/>
        <v>45</v>
      </c>
      <c r="C103">
        <f t="shared" si="5"/>
        <v>3</v>
      </c>
      <c r="D103">
        <f t="shared" si="5"/>
        <v>4</v>
      </c>
      <c r="E103" t="s">
        <v>129</v>
      </c>
      <c r="F103" t="s">
        <v>37</v>
      </c>
      <c r="G103">
        <v>51091.6</v>
      </c>
      <c r="H103">
        <v>50782.814504575101</v>
      </c>
      <c r="I103" s="3">
        <v>6.0437624859066598E-3</v>
      </c>
      <c r="J103">
        <v>3610.2350118160298</v>
      </c>
      <c r="K103" t="s">
        <v>95</v>
      </c>
      <c r="L103">
        <v>270</v>
      </c>
      <c r="N103">
        <v>3</v>
      </c>
      <c r="O103">
        <v>6000</v>
      </c>
      <c r="P103">
        <v>33060</v>
      </c>
      <c r="Q103">
        <v>6179</v>
      </c>
      <c r="R103">
        <v>5837</v>
      </c>
      <c r="S103">
        <v>28.500000000000099</v>
      </c>
      <c r="T103">
        <v>12.9</v>
      </c>
      <c r="U103">
        <v>15.600000000000099</v>
      </c>
      <c r="V103">
        <v>872</v>
      </c>
      <c r="W103">
        <v>0</v>
      </c>
      <c r="X103">
        <v>721</v>
      </c>
      <c r="Y103">
        <v>0</v>
      </c>
      <c r="AL103" t="str" cm="1">
        <f t="array" ref="AL103:AP103">_xlfn.TEXTSPLIT(A103,"_")</f>
        <v>MVPRP</v>
      </c>
      <c r="AM103" t="str">
        <v>C45</v>
      </c>
      <c r="AN103" t="str">
        <v>P3</v>
      </c>
      <c r="AO103" t="str">
        <v>V4</v>
      </c>
      <c r="AP103" t="str">
        <v>I1</v>
      </c>
    </row>
    <row r="104" spans="1:42" x14ac:dyDescent="0.25">
      <c r="A104" t="s">
        <v>50</v>
      </c>
      <c r="B104">
        <f t="shared" si="5"/>
        <v>25</v>
      </c>
      <c r="C104">
        <f t="shared" si="5"/>
        <v>6</v>
      </c>
      <c r="D104">
        <f t="shared" si="5"/>
        <v>3</v>
      </c>
      <c r="E104" t="s">
        <v>129</v>
      </c>
      <c r="F104" t="s">
        <v>37</v>
      </c>
      <c r="G104">
        <v>57446.699415966701</v>
      </c>
      <c r="H104">
        <v>57118.558520489001</v>
      </c>
      <c r="I104" s="3">
        <v>5.7120931021936603E-3</v>
      </c>
      <c r="J104">
        <v>3603.6086571216601</v>
      </c>
      <c r="K104" t="s">
        <v>95</v>
      </c>
      <c r="L104">
        <v>189</v>
      </c>
      <c r="N104">
        <v>3</v>
      </c>
      <c r="O104">
        <v>6000</v>
      </c>
      <c r="P104">
        <v>28380</v>
      </c>
      <c r="Q104">
        <v>17248</v>
      </c>
      <c r="R104">
        <v>5449</v>
      </c>
      <c r="S104">
        <v>517.49932689212403</v>
      </c>
      <c r="T104">
        <v>147.799910925391</v>
      </c>
      <c r="U104">
        <v>369.699415966733</v>
      </c>
      <c r="V104">
        <v>1182</v>
      </c>
      <c r="W104">
        <v>0</v>
      </c>
      <c r="X104">
        <v>186</v>
      </c>
      <c r="Y104">
        <v>0</v>
      </c>
      <c r="AL104" t="str" cm="1">
        <f t="array" ref="AL104:AP104">_xlfn.TEXTSPLIT(A104,"_")</f>
        <v>MVPRP</v>
      </c>
      <c r="AM104" t="str">
        <v>C25</v>
      </c>
      <c r="AN104" t="str">
        <v>P6</v>
      </c>
      <c r="AO104" t="str">
        <v>V3</v>
      </c>
      <c r="AP104" t="str">
        <v>I1</v>
      </c>
    </row>
    <row r="105" spans="1:42" x14ac:dyDescent="0.25">
      <c r="A105" t="s">
        <v>52</v>
      </c>
      <c r="B105">
        <f t="shared" si="5"/>
        <v>15</v>
      </c>
      <c r="C105">
        <f t="shared" si="5"/>
        <v>6</v>
      </c>
      <c r="D105">
        <f t="shared" si="5"/>
        <v>2</v>
      </c>
      <c r="E105" t="s">
        <v>129</v>
      </c>
      <c r="F105" t="s">
        <v>37</v>
      </c>
      <c r="G105">
        <v>43341.7</v>
      </c>
      <c r="H105">
        <v>42137.305735571303</v>
      </c>
      <c r="I105" s="3">
        <v>2.7788348505682001E-2</v>
      </c>
      <c r="J105">
        <v>3600.89121341705</v>
      </c>
      <c r="K105" t="s">
        <v>95</v>
      </c>
      <c r="L105">
        <v>198</v>
      </c>
      <c r="N105">
        <v>3</v>
      </c>
      <c r="O105">
        <v>6000</v>
      </c>
      <c r="P105">
        <v>19800</v>
      </c>
      <c r="Q105">
        <v>10877</v>
      </c>
      <c r="R105">
        <v>5067</v>
      </c>
      <c r="S105">
        <v>2132.4</v>
      </c>
      <c r="T105">
        <v>534.70000000000005</v>
      </c>
      <c r="U105">
        <v>1597.7</v>
      </c>
      <c r="V105">
        <v>764</v>
      </c>
      <c r="W105">
        <v>0</v>
      </c>
      <c r="X105">
        <v>1133</v>
      </c>
      <c r="Y105">
        <v>0</v>
      </c>
      <c r="AL105" t="str" cm="1">
        <f t="array" ref="AL105:AP105">_xlfn.TEXTSPLIT(A105,"_")</f>
        <v>MVPRP</v>
      </c>
      <c r="AM105" t="str">
        <v>C15</v>
      </c>
      <c r="AN105" t="str">
        <v>P6</v>
      </c>
      <c r="AO105" t="str">
        <v>V2</v>
      </c>
      <c r="AP105" t="str">
        <v>I1</v>
      </c>
    </row>
    <row r="106" spans="1:42" x14ac:dyDescent="0.25">
      <c r="A106" t="s">
        <v>54</v>
      </c>
      <c r="B106">
        <f t="shared" si="5"/>
        <v>35</v>
      </c>
      <c r="C106">
        <f t="shared" si="5"/>
        <v>6</v>
      </c>
      <c r="D106">
        <f t="shared" si="5"/>
        <v>3</v>
      </c>
      <c r="E106" t="s">
        <v>129</v>
      </c>
      <c r="F106" t="s">
        <v>37</v>
      </c>
      <c r="G106">
        <v>75781.2</v>
      </c>
      <c r="H106">
        <v>74786.352613219104</v>
      </c>
      <c r="I106" s="3">
        <v>1.3127891703759701E-2</v>
      </c>
      <c r="J106">
        <v>3605.5364844799001</v>
      </c>
      <c r="K106" t="s">
        <v>95</v>
      </c>
      <c r="L106">
        <v>276</v>
      </c>
      <c r="N106">
        <v>3</v>
      </c>
      <c r="O106">
        <v>6000</v>
      </c>
      <c r="P106">
        <v>42900</v>
      </c>
      <c r="Q106">
        <v>18687</v>
      </c>
      <c r="R106">
        <v>7844</v>
      </c>
      <c r="S106">
        <v>429.900000000001</v>
      </c>
      <c r="T106">
        <v>79.7</v>
      </c>
      <c r="U106">
        <v>350.20000000000101</v>
      </c>
      <c r="V106">
        <v>1595</v>
      </c>
      <c r="W106">
        <v>0</v>
      </c>
      <c r="X106">
        <v>456</v>
      </c>
      <c r="Y106">
        <v>0</v>
      </c>
      <c r="AL106" t="str" cm="1">
        <f t="array" ref="AL106:AP106">_xlfn.TEXTSPLIT(A106,"_")</f>
        <v>MVPRP</v>
      </c>
      <c r="AM106" t="str">
        <v>C35</v>
      </c>
      <c r="AN106" t="str">
        <v>P6</v>
      </c>
      <c r="AO106" t="str">
        <v>V3</v>
      </c>
      <c r="AP106" t="str">
        <v>I1</v>
      </c>
    </row>
    <row r="107" spans="1:42" x14ac:dyDescent="0.25">
      <c r="A107" t="s">
        <v>56</v>
      </c>
      <c r="B107">
        <f t="shared" si="5"/>
        <v>25</v>
      </c>
      <c r="C107">
        <f t="shared" si="5"/>
        <v>3</v>
      </c>
      <c r="D107">
        <f t="shared" si="5"/>
        <v>3</v>
      </c>
      <c r="E107" t="s">
        <v>129</v>
      </c>
      <c r="F107" t="s">
        <v>18</v>
      </c>
      <c r="G107">
        <v>26269</v>
      </c>
      <c r="H107">
        <v>26269</v>
      </c>
      <c r="I107" s="3">
        <v>0</v>
      </c>
      <c r="J107">
        <v>121.00718545913701</v>
      </c>
      <c r="K107" t="s">
        <v>95</v>
      </c>
      <c r="L107">
        <v>189</v>
      </c>
      <c r="N107">
        <v>3</v>
      </c>
      <c r="O107">
        <v>3000</v>
      </c>
      <c r="P107">
        <v>14340</v>
      </c>
      <c r="Q107">
        <v>5405</v>
      </c>
      <c r="R107">
        <v>3524</v>
      </c>
      <c r="S107">
        <v>0</v>
      </c>
      <c r="T107">
        <v>0</v>
      </c>
      <c r="U107">
        <v>0</v>
      </c>
      <c r="V107">
        <v>63</v>
      </c>
      <c r="W107">
        <v>0</v>
      </c>
      <c r="X107">
        <v>42</v>
      </c>
      <c r="Y107">
        <v>0</v>
      </c>
      <c r="AL107" t="str" cm="1">
        <f t="array" ref="AL107:AP107">_xlfn.TEXTSPLIT(A107,"_")</f>
        <v>MVPRP</v>
      </c>
      <c r="AM107" t="str">
        <v>C25</v>
      </c>
      <c r="AN107" t="str">
        <v>P3</v>
      </c>
      <c r="AO107" t="str">
        <v>V3</v>
      </c>
      <c r="AP107" t="str">
        <v>I1</v>
      </c>
    </row>
    <row r="108" spans="1:42" x14ac:dyDescent="0.25">
      <c r="A108" t="s">
        <v>58</v>
      </c>
      <c r="B108">
        <f t="shared" si="5"/>
        <v>10</v>
      </c>
      <c r="C108">
        <f t="shared" si="5"/>
        <v>6</v>
      </c>
      <c r="D108">
        <f t="shared" si="5"/>
        <v>3</v>
      </c>
      <c r="E108" t="s">
        <v>129</v>
      </c>
      <c r="F108" t="s">
        <v>18</v>
      </c>
      <c r="G108">
        <v>29940</v>
      </c>
      <c r="H108">
        <v>29940</v>
      </c>
      <c r="I108" s="3">
        <v>0</v>
      </c>
      <c r="J108">
        <v>10.1968817710876</v>
      </c>
      <c r="K108" t="s">
        <v>95</v>
      </c>
      <c r="L108">
        <v>132</v>
      </c>
      <c r="N108">
        <v>3</v>
      </c>
      <c r="O108">
        <v>6000</v>
      </c>
      <c r="P108">
        <v>12690</v>
      </c>
      <c r="Q108">
        <v>7572</v>
      </c>
      <c r="R108">
        <v>3678</v>
      </c>
      <c r="S108">
        <v>0</v>
      </c>
      <c r="T108">
        <v>0</v>
      </c>
      <c r="U108">
        <v>0</v>
      </c>
      <c r="V108">
        <v>53</v>
      </c>
      <c r="W108">
        <v>0</v>
      </c>
      <c r="X108">
        <v>14</v>
      </c>
      <c r="Y108">
        <v>0</v>
      </c>
      <c r="AL108" t="str" cm="1">
        <f t="array" ref="AL108:AP108">_xlfn.TEXTSPLIT(A108,"_")</f>
        <v>MVPRP</v>
      </c>
      <c r="AM108" t="str">
        <v>C10</v>
      </c>
      <c r="AN108" t="str">
        <v>P6</v>
      </c>
      <c r="AO108" t="str">
        <v>V3</v>
      </c>
      <c r="AP108" t="str">
        <v>I1</v>
      </c>
    </row>
    <row r="109" spans="1:42" x14ac:dyDescent="0.25">
      <c r="A109" t="s">
        <v>60</v>
      </c>
      <c r="B109">
        <f t="shared" si="5"/>
        <v>35</v>
      </c>
      <c r="C109">
        <f t="shared" si="5"/>
        <v>3</v>
      </c>
      <c r="D109">
        <f t="shared" si="5"/>
        <v>3</v>
      </c>
      <c r="E109" t="s">
        <v>129</v>
      </c>
      <c r="F109" t="s">
        <v>18</v>
      </c>
      <c r="G109">
        <v>35503</v>
      </c>
      <c r="H109">
        <v>35503</v>
      </c>
      <c r="I109" s="3">
        <v>0</v>
      </c>
      <c r="J109">
        <v>431.32239484786999</v>
      </c>
      <c r="K109" t="s">
        <v>95</v>
      </c>
      <c r="L109">
        <v>276</v>
      </c>
      <c r="N109">
        <v>3</v>
      </c>
      <c r="O109">
        <v>3000</v>
      </c>
      <c r="P109">
        <v>21600</v>
      </c>
      <c r="Q109">
        <v>6964</v>
      </c>
      <c r="R109">
        <v>3939</v>
      </c>
      <c r="S109">
        <v>0</v>
      </c>
      <c r="T109">
        <v>0</v>
      </c>
      <c r="U109">
        <v>0</v>
      </c>
      <c r="V109">
        <v>260</v>
      </c>
      <c r="W109">
        <v>0</v>
      </c>
      <c r="X109">
        <v>189</v>
      </c>
      <c r="Y109">
        <v>0</v>
      </c>
      <c r="AL109" t="str" cm="1">
        <f t="array" ref="AL109:AP109">_xlfn.TEXTSPLIT(A109,"_")</f>
        <v>MVPRP</v>
      </c>
      <c r="AM109" t="str">
        <v>C35</v>
      </c>
      <c r="AN109" t="str">
        <v>P3</v>
      </c>
      <c r="AO109" t="str">
        <v>V3</v>
      </c>
      <c r="AP109" t="str">
        <v>I1</v>
      </c>
    </row>
    <row r="110" spans="1:42" x14ac:dyDescent="0.25">
      <c r="A110" t="s">
        <v>63</v>
      </c>
      <c r="B110">
        <f t="shared" si="5"/>
        <v>50</v>
      </c>
      <c r="C110">
        <f t="shared" si="5"/>
        <v>3</v>
      </c>
      <c r="D110">
        <f t="shared" si="5"/>
        <v>3</v>
      </c>
      <c r="E110" t="s">
        <v>129</v>
      </c>
      <c r="F110" t="s">
        <v>37</v>
      </c>
      <c r="G110">
        <v>47819</v>
      </c>
      <c r="H110">
        <v>46730.9625691377</v>
      </c>
      <c r="I110" s="3">
        <v>2.2753245171632502E-2</v>
      </c>
      <c r="J110">
        <v>3602.0288889408098</v>
      </c>
      <c r="K110" t="s">
        <v>95</v>
      </c>
      <c r="L110">
        <v>360</v>
      </c>
      <c r="N110">
        <v>3</v>
      </c>
      <c r="O110">
        <v>3000</v>
      </c>
      <c r="P110">
        <v>29580</v>
      </c>
      <c r="Q110">
        <v>10124</v>
      </c>
      <c r="R110">
        <v>5115</v>
      </c>
      <c r="S110">
        <v>0</v>
      </c>
      <c r="T110">
        <v>0</v>
      </c>
      <c r="U110">
        <v>0</v>
      </c>
      <c r="V110">
        <v>1072</v>
      </c>
      <c r="W110">
        <v>0</v>
      </c>
      <c r="X110">
        <v>1199</v>
      </c>
      <c r="Y110">
        <v>0</v>
      </c>
      <c r="AL110" t="str" cm="1">
        <f t="array" ref="AL110:AP110">_xlfn.TEXTSPLIT(A110,"_")</f>
        <v>MVPRP</v>
      </c>
      <c r="AM110" t="str">
        <v>C50</v>
      </c>
      <c r="AN110" t="str">
        <v>P3</v>
      </c>
      <c r="AO110" t="str">
        <v>V3</v>
      </c>
      <c r="AP110" t="str">
        <v>I1</v>
      </c>
    </row>
    <row r="111" spans="1:42" x14ac:dyDescent="0.25">
      <c r="A111" t="s">
        <v>65</v>
      </c>
      <c r="B111">
        <f t="shared" si="5"/>
        <v>30</v>
      </c>
      <c r="C111">
        <f t="shared" si="5"/>
        <v>6</v>
      </c>
      <c r="D111">
        <f t="shared" si="5"/>
        <v>3</v>
      </c>
      <c r="E111" t="s">
        <v>129</v>
      </c>
      <c r="F111" t="s">
        <v>37</v>
      </c>
      <c r="G111">
        <v>61769.3</v>
      </c>
      <c r="H111">
        <v>61204.720722223799</v>
      </c>
      <c r="I111" s="3">
        <v>9.1401275030829603E-3</v>
      </c>
      <c r="J111">
        <v>3602.3533334732101</v>
      </c>
      <c r="K111" t="s">
        <v>95</v>
      </c>
      <c r="L111">
        <v>228</v>
      </c>
      <c r="N111">
        <v>3</v>
      </c>
      <c r="O111">
        <v>6000</v>
      </c>
      <c r="P111">
        <v>33150</v>
      </c>
      <c r="Q111">
        <v>16445</v>
      </c>
      <c r="R111">
        <v>5771</v>
      </c>
      <c r="S111">
        <v>492.9</v>
      </c>
      <c r="T111">
        <v>89.6</v>
      </c>
      <c r="U111">
        <v>403.3</v>
      </c>
      <c r="V111">
        <v>1561</v>
      </c>
      <c r="W111">
        <v>0</v>
      </c>
      <c r="X111">
        <v>636</v>
      </c>
      <c r="Y111">
        <v>0</v>
      </c>
      <c r="AL111" t="str" cm="1">
        <f t="array" ref="AL111:AP111">_xlfn.TEXTSPLIT(A111,"_")</f>
        <v>MVPRP</v>
      </c>
      <c r="AM111" t="str">
        <v>C30</v>
      </c>
      <c r="AN111" t="str">
        <v>P6</v>
      </c>
      <c r="AO111" t="str">
        <v>V3</v>
      </c>
      <c r="AP111" t="str">
        <v>I1</v>
      </c>
    </row>
    <row r="112" spans="1:42" x14ac:dyDescent="0.25">
      <c r="A112" t="s">
        <v>67</v>
      </c>
      <c r="B112">
        <f t="shared" si="5"/>
        <v>30</v>
      </c>
      <c r="C112">
        <f t="shared" si="5"/>
        <v>6</v>
      </c>
      <c r="D112">
        <f t="shared" si="5"/>
        <v>4</v>
      </c>
      <c r="E112" t="s">
        <v>129</v>
      </c>
      <c r="F112" t="s">
        <v>37</v>
      </c>
      <c r="G112">
        <v>62234.099831407599</v>
      </c>
      <c r="H112">
        <v>61607.548572870197</v>
      </c>
      <c r="I112" s="3">
        <v>1.0067651982350099E-2</v>
      </c>
      <c r="J112">
        <v>3600.1999900341002</v>
      </c>
      <c r="K112" t="s">
        <v>95</v>
      </c>
      <c r="L112">
        <v>171</v>
      </c>
      <c r="N112">
        <v>3</v>
      </c>
      <c r="O112">
        <v>6000</v>
      </c>
      <c r="P112">
        <v>33150</v>
      </c>
      <c r="Q112">
        <v>15758</v>
      </c>
      <c r="R112">
        <v>7294</v>
      </c>
      <c r="S112">
        <v>54.899898188873301</v>
      </c>
      <c r="T112">
        <v>22.800066781237501</v>
      </c>
      <c r="U112">
        <v>32.099831407635797</v>
      </c>
      <c r="V112">
        <v>1741</v>
      </c>
      <c r="W112">
        <v>0</v>
      </c>
      <c r="X112">
        <v>333</v>
      </c>
      <c r="Y112">
        <v>0</v>
      </c>
      <c r="AL112" t="str" cm="1">
        <f t="array" ref="AL112:AP112">_xlfn.TEXTSPLIT(A112,"_")</f>
        <v>MVPRP</v>
      </c>
      <c r="AM112" t="str">
        <v>C30</v>
      </c>
      <c r="AN112" t="str">
        <v>P6</v>
      </c>
      <c r="AO112" t="str">
        <v>V4</v>
      </c>
      <c r="AP112" t="str">
        <v>I1</v>
      </c>
    </row>
    <row r="113" spans="1:42" x14ac:dyDescent="0.25">
      <c r="A113" t="s">
        <v>68</v>
      </c>
      <c r="B113">
        <f t="shared" si="5"/>
        <v>25</v>
      </c>
      <c r="C113">
        <f t="shared" si="5"/>
        <v>9</v>
      </c>
      <c r="D113">
        <f t="shared" si="5"/>
        <v>3</v>
      </c>
      <c r="E113" t="s">
        <v>129</v>
      </c>
      <c r="F113" t="s">
        <v>37</v>
      </c>
      <c r="G113">
        <v>102500.4999888</v>
      </c>
      <c r="H113">
        <v>100508.666869379</v>
      </c>
      <c r="I113" s="3">
        <v>1.9432423448071001E-2</v>
      </c>
      <c r="J113">
        <v>3602.94170713425</v>
      </c>
      <c r="K113" t="s">
        <v>95</v>
      </c>
      <c r="L113">
        <v>189</v>
      </c>
      <c r="N113">
        <v>3</v>
      </c>
      <c r="O113">
        <v>9000</v>
      </c>
      <c r="P113">
        <v>59880</v>
      </c>
      <c r="Q113">
        <v>20656</v>
      </c>
      <c r="R113">
        <v>11220.000000145599</v>
      </c>
      <c r="S113">
        <v>2329.7999812500002</v>
      </c>
      <c r="T113">
        <v>585.29999259557201</v>
      </c>
      <c r="U113">
        <v>1744.4999886544299</v>
      </c>
      <c r="V113">
        <v>2103</v>
      </c>
      <c r="W113">
        <v>0</v>
      </c>
      <c r="X113">
        <v>260</v>
      </c>
      <c r="Y113">
        <v>0</v>
      </c>
      <c r="AL113" t="str" cm="1">
        <f t="array" ref="AL113:AP113">_xlfn.TEXTSPLIT(A113,"_")</f>
        <v>MVPRP</v>
      </c>
      <c r="AM113" t="str">
        <v>C25</v>
      </c>
      <c r="AN113" t="str">
        <v>P9</v>
      </c>
      <c r="AO113" t="str">
        <v>V3</v>
      </c>
      <c r="AP113" t="str">
        <v>I1</v>
      </c>
    </row>
    <row r="114" spans="1:42" x14ac:dyDescent="0.25">
      <c r="A114" t="s">
        <v>70</v>
      </c>
      <c r="B114">
        <f t="shared" si="5"/>
        <v>20</v>
      </c>
      <c r="C114">
        <f t="shared" si="5"/>
        <v>6</v>
      </c>
      <c r="D114">
        <f t="shared" si="5"/>
        <v>2</v>
      </c>
      <c r="E114" t="s">
        <v>129</v>
      </c>
      <c r="F114" t="s">
        <v>37</v>
      </c>
      <c r="G114">
        <v>49276.699981350001</v>
      </c>
      <c r="H114">
        <v>47860.486993590603</v>
      </c>
      <c r="I114" s="3">
        <v>2.8740012790941301E-2</v>
      </c>
      <c r="J114">
        <v>3602.7101559639</v>
      </c>
      <c r="K114" t="s">
        <v>95</v>
      </c>
      <c r="L114">
        <v>283</v>
      </c>
      <c r="N114">
        <v>3</v>
      </c>
      <c r="O114">
        <v>6000</v>
      </c>
      <c r="P114">
        <v>23820</v>
      </c>
      <c r="Q114">
        <v>12905</v>
      </c>
      <c r="R114">
        <v>4842.0000573635898</v>
      </c>
      <c r="S114">
        <v>2193.8999162999999</v>
      </c>
      <c r="T114">
        <v>484.19999231359498</v>
      </c>
      <c r="U114">
        <v>1709.6999239864101</v>
      </c>
      <c r="V114">
        <v>822</v>
      </c>
      <c r="W114">
        <v>0</v>
      </c>
      <c r="X114">
        <v>3296</v>
      </c>
      <c r="Y114">
        <v>0</v>
      </c>
      <c r="AL114" t="str" cm="1">
        <f t="array" ref="AL114:AP114">_xlfn.TEXTSPLIT(A114,"_")</f>
        <v>MVPRP</v>
      </c>
      <c r="AM114" t="str">
        <v>C20</v>
      </c>
      <c r="AN114" t="str">
        <v>P6</v>
      </c>
      <c r="AO114" t="str">
        <v>V2</v>
      </c>
      <c r="AP114" t="str">
        <v>I1</v>
      </c>
    </row>
    <row r="115" spans="1:42" x14ac:dyDescent="0.25">
      <c r="A115" t="s">
        <v>72</v>
      </c>
      <c r="B115">
        <f t="shared" si="5"/>
        <v>15</v>
      </c>
      <c r="C115">
        <f t="shared" si="5"/>
        <v>6</v>
      </c>
      <c r="D115">
        <f t="shared" si="5"/>
        <v>3</v>
      </c>
      <c r="E115" t="s">
        <v>129</v>
      </c>
      <c r="F115" t="s">
        <v>18</v>
      </c>
      <c r="G115">
        <v>42282.199867142001</v>
      </c>
      <c r="H115">
        <v>42282.199867142001</v>
      </c>
      <c r="I115" s="3">
        <v>0</v>
      </c>
      <c r="J115">
        <v>177.28049039840701</v>
      </c>
      <c r="K115" t="s">
        <v>95</v>
      </c>
      <c r="L115">
        <v>132</v>
      </c>
      <c r="N115">
        <v>3</v>
      </c>
      <c r="O115">
        <v>6000</v>
      </c>
      <c r="P115">
        <v>19800</v>
      </c>
      <c r="Q115">
        <v>11075</v>
      </c>
      <c r="R115">
        <v>5325</v>
      </c>
      <c r="S115">
        <v>150.29982834782399</v>
      </c>
      <c r="T115">
        <v>68.099961205796603</v>
      </c>
      <c r="U115">
        <v>82.199867142027401</v>
      </c>
      <c r="V115">
        <v>260</v>
      </c>
      <c r="W115">
        <v>0</v>
      </c>
      <c r="X115">
        <v>39</v>
      </c>
      <c r="Y115">
        <v>0</v>
      </c>
      <c r="AL115" t="str" cm="1">
        <f t="array" ref="AL115:AP115">_xlfn.TEXTSPLIT(A115,"_")</f>
        <v>MVPRP</v>
      </c>
      <c r="AM115" t="str">
        <v>C15</v>
      </c>
      <c r="AN115" t="str">
        <v>P6</v>
      </c>
      <c r="AO115" t="str">
        <v>V3</v>
      </c>
      <c r="AP115" t="str">
        <v>I1</v>
      </c>
    </row>
    <row r="116" spans="1:42" x14ac:dyDescent="0.25">
      <c r="A116" t="s">
        <v>74</v>
      </c>
      <c r="B116">
        <f t="shared" si="5"/>
        <v>15</v>
      </c>
      <c r="C116">
        <f t="shared" si="5"/>
        <v>3</v>
      </c>
      <c r="D116">
        <f t="shared" si="5"/>
        <v>3</v>
      </c>
      <c r="E116" t="s">
        <v>129</v>
      </c>
      <c r="F116" t="s">
        <v>18</v>
      </c>
      <c r="G116">
        <v>19687</v>
      </c>
      <c r="H116">
        <v>19687</v>
      </c>
      <c r="I116" s="3">
        <v>0</v>
      </c>
      <c r="J116">
        <v>15.240428686142</v>
      </c>
      <c r="K116" t="s">
        <v>95</v>
      </c>
      <c r="L116">
        <v>132</v>
      </c>
      <c r="N116">
        <v>3</v>
      </c>
      <c r="O116">
        <v>3000</v>
      </c>
      <c r="P116">
        <v>9960</v>
      </c>
      <c r="Q116">
        <v>3896</v>
      </c>
      <c r="R116">
        <v>2824</v>
      </c>
      <c r="S116">
        <v>21.000000000000099</v>
      </c>
      <c r="T116">
        <v>14</v>
      </c>
      <c r="U116">
        <v>7.0000000000001101</v>
      </c>
      <c r="V116">
        <v>197</v>
      </c>
      <c r="W116">
        <v>0</v>
      </c>
      <c r="X116">
        <v>23</v>
      </c>
      <c r="Y116">
        <v>0</v>
      </c>
      <c r="AL116" t="str" cm="1">
        <f t="array" ref="AL116:AP116">_xlfn.TEXTSPLIT(A116,"_")</f>
        <v>MVPRP</v>
      </c>
      <c r="AM116" t="str">
        <v>C15</v>
      </c>
      <c r="AN116" t="str">
        <v>P3</v>
      </c>
      <c r="AO116" t="str">
        <v>V3</v>
      </c>
      <c r="AP116" t="str">
        <v>I1</v>
      </c>
    </row>
    <row r="117" spans="1:42" x14ac:dyDescent="0.25">
      <c r="A117" t="s">
        <v>76</v>
      </c>
      <c r="B117">
        <f t="shared" si="5"/>
        <v>25</v>
      </c>
      <c r="C117">
        <f t="shared" si="5"/>
        <v>9</v>
      </c>
      <c r="D117">
        <f t="shared" si="5"/>
        <v>2</v>
      </c>
      <c r="E117" t="s">
        <v>129</v>
      </c>
      <c r="F117" t="s">
        <v>37</v>
      </c>
      <c r="G117">
        <v>106987.6</v>
      </c>
      <c r="H117">
        <v>100145.273763308</v>
      </c>
      <c r="I117" s="3">
        <v>6.3954385710984302E-2</v>
      </c>
      <c r="J117">
        <v>3602.4596095085099</v>
      </c>
      <c r="K117" t="s">
        <v>95</v>
      </c>
      <c r="L117">
        <v>283</v>
      </c>
      <c r="N117">
        <v>3</v>
      </c>
      <c r="O117">
        <v>9000</v>
      </c>
      <c r="P117">
        <v>59880</v>
      </c>
      <c r="Q117">
        <v>20926</v>
      </c>
      <c r="R117">
        <v>10615</v>
      </c>
      <c r="S117">
        <v>8226.2999999999993</v>
      </c>
      <c r="T117">
        <v>1659.7</v>
      </c>
      <c r="U117">
        <v>6566.6</v>
      </c>
      <c r="V117">
        <v>1296</v>
      </c>
      <c r="W117">
        <v>0</v>
      </c>
      <c r="X117">
        <v>3033</v>
      </c>
      <c r="Y117">
        <v>0</v>
      </c>
      <c r="AL117" t="str" cm="1">
        <f t="array" ref="AL117:AP117">_xlfn.TEXTSPLIT(A117,"_")</f>
        <v>MVPRP</v>
      </c>
      <c r="AM117" t="str">
        <v>C25</v>
      </c>
      <c r="AN117" t="str">
        <v>P9</v>
      </c>
      <c r="AO117" t="str">
        <v>V2</v>
      </c>
      <c r="AP117" t="str">
        <v>I1</v>
      </c>
    </row>
    <row r="118" spans="1:42" x14ac:dyDescent="0.25">
      <c r="A118" t="s">
        <v>78</v>
      </c>
      <c r="B118">
        <f t="shared" si="5"/>
        <v>35</v>
      </c>
      <c r="C118">
        <f t="shared" si="5"/>
        <v>3</v>
      </c>
      <c r="D118">
        <f t="shared" si="5"/>
        <v>4</v>
      </c>
      <c r="E118" t="s">
        <v>129</v>
      </c>
      <c r="F118" t="s">
        <v>18</v>
      </c>
      <c r="G118">
        <v>35854</v>
      </c>
      <c r="H118">
        <v>35853.782782048896</v>
      </c>
      <c r="I118" s="3">
        <v>6.0584021604246503E-6</v>
      </c>
      <c r="J118">
        <v>2019.16862368584</v>
      </c>
      <c r="K118" t="s">
        <v>95</v>
      </c>
      <c r="L118">
        <v>207</v>
      </c>
      <c r="N118">
        <v>3</v>
      </c>
      <c r="O118">
        <v>3000</v>
      </c>
      <c r="P118">
        <v>21600</v>
      </c>
      <c r="Q118">
        <v>6531</v>
      </c>
      <c r="R118">
        <v>4723</v>
      </c>
      <c r="S118">
        <v>0</v>
      </c>
      <c r="T118">
        <v>0</v>
      </c>
      <c r="U118">
        <v>0</v>
      </c>
      <c r="V118">
        <v>682</v>
      </c>
      <c r="W118">
        <v>0</v>
      </c>
      <c r="X118">
        <v>181</v>
      </c>
      <c r="Y118">
        <v>0</v>
      </c>
      <c r="AL118" t="str" cm="1">
        <f t="array" ref="AL118:AP118">_xlfn.TEXTSPLIT(A118,"_")</f>
        <v>MVPRP</v>
      </c>
      <c r="AM118" t="str">
        <v>C35</v>
      </c>
      <c r="AN118" t="str">
        <v>P3</v>
      </c>
      <c r="AO118" t="str">
        <v>V4</v>
      </c>
      <c r="AP118" t="str">
        <v>I1</v>
      </c>
    </row>
    <row r="119" spans="1:42" x14ac:dyDescent="0.25">
      <c r="A119" t="s">
        <v>79</v>
      </c>
      <c r="B119">
        <f t="shared" si="5"/>
        <v>25</v>
      </c>
      <c r="C119">
        <f t="shared" si="5"/>
        <v>3</v>
      </c>
      <c r="D119">
        <f t="shared" si="5"/>
        <v>2</v>
      </c>
      <c r="E119" t="s">
        <v>129</v>
      </c>
      <c r="F119" t="s">
        <v>37</v>
      </c>
      <c r="G119">
        <v>27643.200000000001</v>
      </c>
      <c r="H119">
        <v>26372.2209100092</v>
      </c>
      <c r="I119" s="3">
        <v>4.5978001461145702E-2</v>
      </c>
      <c r="J119">
        <v>3601.3317141532898</v>
      </c>
      <c r="K119" t="s">
        <v>95</v>
      </c>
      <c r="L119">
        <v>283</v>
      </c>
      <c r="N119">
        <v>3</v>
      </c>
      <c r="O119">
        <v>3000</v>
      </c>
      <c r="P119">
        <v>14340</v>
      </c>
      <c r="Q119">
        <v>5901</v>
      </c>
      <c r="R119">
        <v>2865</v>
      </c>
      <c r="S119">
        <v>1823.7</v>
      </c>
      <c r="T119">
        <v>286.5</v>
      </c>
      <c r="U119">
        <v>1537.2</v>
      </c>
      <c r="V119">
        <v>516</v>
      </c>
      <c r="W119">
        <v>0</v>
      </c>
      <c r="X119">
        <v>7296</v>
      </c>
      <c r="Y119">
        <v>0</v>
      </c>
      <c r="AL119" t="str" cm="1">
        <f t="array" ref="AL119:AP119">_xlfn.TEXTSPLIT(A119,"_")</f>
        <v>MVPRP</v>
      </c>
      <c r="AM119" t="str">
        <v>C25</v>
      </c>
      <c r="AN119" t="str">
        <v>P3</v>
      </c>
      <c r="AO119" t="str">
        <v>V2</v>
      </c>
      <c r="AP119" t="str">
        <v>I1</v>
      </c>
    </row>
    <row r="120" spans="1:42" x14ac:dyDescent="0.25">
      <c r="A120" t="s">
        <v>81</v>
      </c>
      <c r="B120">
        <f t="shared" si="5"/>
        <v>20</v>
      </c>
      <c r="C120">
        <f t="shared" si="5"/>
        <v>9</v>
      </c>
      <c r="D120">
        <f t="shared" si="5"/>
        <v>3</v>
      </c>
      <c r="E120" t="s">
        <v>129</v>
      </c>
      <c r="F120" t="s">
        <v>37</v>
      </c>
      <c r="G120">
        <v>83219.099774922302</v>
      </c>
      <c r="H120">
        <v>82765.358873147605</v>
      </c>
      <c r="I120" s="3">
        <v>5.4523649378796901E-3</v>
      </c>
      <c r="J120">
        <v>3600.1061892509501</v>
      </c>
      <c r="K120" t="s">
        <v>95</v>
      </c>
      <c r="L120">
        <v>189</v>
      </c>
      <c r="N120">
        <v>3</v>
      </c>
      <c r="O120">
        <v>9000</v>
      </c>
      <c r="P120">
        <v>48120</v>
      </c>
      <c r="Q120">
        <v>15253</v>
      </c>
      <c r="R120">
        <v>10320</v>
      </c>
      <c r="S120">
        <v>786.599669736441</v>
      </c>
      <c r="T120">
        <v>260.49989481414599</v>
      </c>
      <c r="U120">
        <v>526.09977492229598</v>
      </c>
      <c r="V120">
        <v>830</v>
      </c>
      <c r="W120">
        <v>0</v>
      </c>
      <c r="X120">
        <v>156</v>
      </c>
      <c r="Y120">
        <v>0</v>
      </c>
      <c r="AL120" t="str" cm="1">
        <f t="array" ref="AL120:AP120">_xlfn.TEXTSPLIT(A120,"_")</f>
        <v>MVPRP</v>
      </c>
      <c r="AM120" t="str">
        <v>C20</v>
      </c>
      <c r="AN120" t="str">
        <v>P9</v>
      </c>
      <c r="AO120" t="str">
        <v>V3</v>
      </c>
      <c r="AP120" t="str">
        <v>I1</v>
      </c>
    </row>
    <row r="121" spans="1:42" x14ac:dyDescent="0.25">
      <c r="A121" t="s">
        <v>83</v>
      </c>
      <c r="B121">
        <f t="shared" si="5"/>
        <v>40</v>
      </c>
      <c r="C121">
        <f t="shared" si="5"/>
        <v>6</v>
      </c>
      <c r="D121">
        <f t="shared" si="5"/>
        <v>4</v>
      </c>
      <c r="E121" t="s">
        <v>129</v>
      </c>
      <c r="F121" t="s">
        <v>37</v>
      </c>
      <c r="G121">
        <v>101747.3</v>
      </c>
      <c r="H121">
        <v>96437.347775296294</v>
      </c>
      <c r="I121" s="3">
        <v>5.2187647482574498E-2</v>
      </c>
      <c r="J121">
        <v>3601.0539298057602</v>
      </c>
      <c r="K121" t="s">
        <v>95</v>
      </c>
      <c r="L121">
        <v>270</v>
      </c>
      <c r="N121">
        <v>3</v>
      </c>
      <c r="O121">
        <v>6000</v>
      </c>
      <c r="P121">
        <v>55170</v>
      </c>
      <c r="Q121">
        <v>29098</v>
      </c>
      <c r="R121">
        <v>11135</v>
      </c>
      <c r="S121">
        <v>468.3</v>
      </c>
      <c r="T121">
        <v>124</v>
      </c>
      <c r="U121">
        <v>344.3</v>
      </c>
      <c r="V121">
        <v>1882</v>
      </c>
      <c r="W121">
        <v>0</v>
      </c>
      <c r="X121">
        <v>1335</v>
      </c>
      <c r="Y121">
        <v>0</v>
      </c>
      <c r="AL121" t="str" cm="1">
        <f t="array" ref="AL121:AP121">_xlfn.TEXTSPLIT(A121,"_")</f>
        <v>MVPRP</v>
      </c>
      <c r="AM121" t="str">
        <v>C40</v>
      </c>
      <c r="AN121" t="str">
        <v>P6</v>
      </c>
      <c r="AO121" t="str">
        <v>V4</v>
      </c>
      <c r="AP121" t="str">
        <v>I1</v>
      </c>
    </row>
    <row r="122" spans="1:42" x14ac:dyDescent="0.25">
      <c r="A122" t="s">
        <v>84</v>
      </c>
      <c r="B122">
        <f t="shared" si="5"/>
        <v>30</v>
      </c>
      <c r="C122">
        <f t="shared" si="5"/>
        <v>9</v>
      </c>
      <c r="D122">
        <f t="shared" si="5"/>
        <v>3</v>
      </c>
      <c r="E122" t="s">
        <v>129</v>
      </c>
      <c r="F122" t="s">
        <v>37</v>
      </c>
      <c r="G122">
        <v>118623.5</v>
      </c>
      <c r="H122">
        <v>109536.309917355</v>
      </c>
      <c r="I122" s="3">
        <v>7.6605310774384899E-2</v>
      </c>
      <c r="J122">
        <v>3613.1220371723198</v>
      </c>
      <c r="K122" t="s">
        <v>95</v>
      </c>
      <c r="L122">
        <v>228</v>
      </c>
      <c r="N122">
        <v>3</v>
      </c>
      <c r="O122">
        <v>12000</v>
      </c>
      <c r="P122">
        <v>67710</v>
      </c>
      <c r="Q122">
        <v>25563</v>
      </c>
      <c r="R122">
        <v>11867</v>
      </c>
      <c r="S122">
        <v>1999.5</v>
      </c>
      <c r="T122">
        <v>516</v>
      </c>
      <c r="U122">
        <v>1483.5</v>
      </c>
      <c r="V122">
        <v>2410</v>
      </c>
      <c r="W122">
        <v>0</v>
      </c>
      <c r="X122">
        <v>1215</v>
      </c>
      <c r="Y122">
        <v>0</v>
      </c>
      <c r="AL122" t="str" cm="1">
        <f t="array" ref="AL122:AP122">_xlfn.TEXTSPLIT(A122,"_")</f>
        <v>MVPRP</v>
      </c>
      <c r="AM122" t="str">
        <v>C30</v>
      </c>
      <c r="AN122" t="str">
        <v>P9</v>
      </c>
      <c r="AO122" t="str">
        <v>V3</v>
      </c>
      <c r="AP122" t="str">
        <v>I1</v>
      </c>
    </row>
    <row r="123" spans="1:42" x14ac:dyDescent="0.25">
      <c r="A123" t="s">
        <v>86</v>
      </c>
      <c r="B123">
        <f t="shared" si="5"/>
        <v>25</v>
      </c>
      <c r="C123">
        <f t="shared" si="5"/>
        <v>6</v>
      </c>
      <c r="D123">
        <f t="shared" si="5"/>
        <v>2</v>
      </c>
      <c r="E123" t="s">
        <v>129</v>
      </c>
      <c r="F123" t="s">
        <v>37</v>
      </c>
      <c r="G123">
        <v>59110.8</v>
      </c>
      <c r="H123">
        <v>57090.784477235597</v>
      </c>
      <c r="I123" s="3">
        <v>3.4173374793851498E-2</v>
      </c>
      <c r="J123">
        <v>3604.51747965813</v>
      </c>
      <c r="K123" t="s">
        <v>95</v>
      </c>
      <c r="L123">
        <v>283</v>
      </c>
      <c r="N123">
        <v>3</v>
      </c>
      <c r="O123">
        <v>6000</v>
      </c>
      <c r="P123">
        <v>28380</v>
      </c>
      <c r="Q123">
        <v>17037</v>
      </c>
      <c r="R123">
        <v>5582</v>
      </c>
      <c r="S123">
        <v>2670</v>
      </c>
      <c r="T123">
        <v>558.20000000000005</v>
      </c>
      <c r="U123">
        <v>2111.8000000000002</v>
      </c>
      <c r="V123">
        <v>1113</v>
      </c>
      <c r="W123">
        <v>0</v>
      </c>
      <c r="X123">
        <v>4794</v>
      </c>
      <c r="Y123">
        <v>0</v>
      </c>
      <c r="AL123" t="str" cm="1">
        <f t="array" ref="AL123:AP123">_xlfn.TEXTSPLIT(A123,"_")</f>
        <v>MVPRP</v>
      </c>
      <c r="AM123" t="str">
        <v>C25</v>
      </c>
      <c r="AN123" t="str">
        <v>P6</v>
      </c>
      <c r="AO123" t="str">
        <v>V2</v>
      </c>
      <c r="AP123" t="str">
        <v>I1</v>
      </c>
    </row>
    <row r="124" spans="1:42" x14ac:dyDescent="0.25">
      <c r="A124" t="s">
        <v>88</v>
      </c>
      <c r="B124">
        <f t="shared" si="5"/>
        <v>10</v>
      </c>
      <c r="C124">
        <f t="shared" si="5"/>
        <v>9</v>
      </c>
      <c r="D124">
        <f t="shared" si="5"/>
        <v>3</v>
      </c>
      <c r="E124" t="s">
        <v>129</v>
      </c>
      <c r="F124" t="s">
        <v>18</v>
      </c>
      <c r="G124">
        <v>52070.599859785798</v>
      </c>
      <c r="H124">
        <v>52066.0824331767</v>
      </c>
      <c r="I124" s="3">
        <v>8.6755801186373205E-5</v>
      </c>
      <c r="J124">
        <v>2824.7591290473902</v>
      </c>
      <c r="K124" t="s">
        <v>95</v>
      </c>
      <c r="L124">
        <v>132</v>
      </c>
      <c r="N124">
        <v>3</v>
      </c>
      <c r="O124">
        <v>9000</v>
      </c>
      <c r="P124">
        <v>26370</v>
      </c>
      <c r="Q124">
        <v>9790</v>
      </c>
      <c r="R124">
        <v>6581</v>
      </c>
      <c r="S124">
        <v>476.99981364898798</v>
      </c>
      <c r="T124">
        <v>147.39995386323901</v>
      </c>
      <c r="U124">
        <v>329.59985978575003</v>
      </c>
      <c r="V124">
        <v>281</v>
      </c>
      <c r="W124">
        <v>0</v>
      </c>
      <c r="X124">
        <v>22</v>
      </c>
      <c r="Y124">
        <v>0</v>
      </c>
      <c r="AL124" t="str" cm="1">
        <f t="array" ref="AL124:AP124">_xlfn.TEXTSPLIT(A124,"_")</f>
        <v>MVPRP</v>
      </c>
      <c r="AM124" t="str">
        <v>C10</v>
      </c>
      <c r="AN124" t="str">
        <v>P9</v>
      </c>
      <c r="AO124" t="str">
        <v>V3</v>
      </c>
      <c r="AP124" t="str">
        <v>I1</v>
      </c>
    </row>
    <row r="125" spans="1:42" x14ac:dyDescent="0.25">
      <c r="A125" t="s">
        <v>90</v>
      </c>
      <c r="B125">
        <f t="shared" si="5"/>
        <v>20</v>
      </c>
      <c r="C125">
        <f t="shared" si="5"/>
        <v>9</v>
      </c>
      <c r="D125">
        <f t="shared" si="5"/>
        <v>2</v>
      </c>
      <c r="E125" t="s">
        <v>129</v>
      </c>
      <c r="F125" t="s">
        <v>37</v>
      </c>
      <c r="G125">
        <v>87104</v>
      </c>
      <c r="H125">
        <v>82506.194051709899</v>
      </c>
      <c r="I125" s="3">
        <v>5.2785244630442901E-2</v>
      </c>
      <c r="J125">
        <v>3606.7503988742801</v>
      </c>
      <c r="K125" t="s">
        <v>95</v>
      </c>
      <c r="L125">
        <v>283</v>
      </c>
      <c r="N125">
        <v>3</v>
      </c>
      <c r="O125">
        <v>9000</v>
      </c>
      <c r="P125">
        <v>48120</v>
      </c>
      <c r="Q125">
        <v>17069</v>
      </c>
      <c r="R125">
        <v>8278</v>
      </c>
      <c r="S125">
        <v>5803.2</v>
      </c>
      <c r="T125">
        <v>1166.2</v>
      </c>
      <c r="U125">
        <v>4637</v>
      </c>
      <c r="V125">
        <v>1097</v>
      </c>
      <c r="W125">
        <v>0</v>
      </c>
      <c r="X125">
        <v>3775</v>
      </c>
      <c r="Y125">
        <v>0</v>
      </c>
      <c r="AL125" t="str" cm="1">
        <f t="array" ref="AL125:AP125">_xlfn.TEXTSPLIT(A125,"_")</f>
        <v>MVPRP</v>
      </c>
      <c r="AM125" t="str">
        <v>C20</v>
      </c>
      <c r="AN125" t="str">
        <v>P9</v>
      </c>
      <c r="AO125" t="str">
        <v>V2</v>
      </c>
      <c r="AP125" t="str">
        <v>I1</v>
      </c>
    </row>
    <row r="126" spans="1:42" x14ac:dyDescent="0.25">
      <c r="A126" t="s">
        <v>92</v>
      </c>
      <c r="B126">
        <f t="shared" si="5"/>
        <v>30</v>
      </c>
      <c r="C126">
        <f t="shared" si="5"/>
        <v>3</v>
      </c>
      <c r="D126">
        <f t="shared" si="5"/>
        <v>3</v>
      </c>
      <c r="E126" t="s">
        <v>129</v>
      </c>
      <c r="F126" t="s">
        <v>18</v>
      </c>
      <c r="G126">
        <v>28872</v>
      </c>
      <c r="H126">
        <v>28872</v>
      </c>
      <c r="I126" s="3">
        <v>0</v>
      </c>
      <c r="J126">
        <v>90.209461927413898</v>
      </c>
      <c r="K126" t="s">
        <v>95</v>
      </c>
      <c r="L126">
        <v>228</v>
      </c>
      <c r="N126">
        <v>3</v>
      </c>
      <c r="O126">
        <v>3000</v>
      </c>
      <c r="P126">
        <v>16680</v>
      </c>
      <c r="Q126">
        <v>5721</v>
      </c>
      <c r="R126">
        <v>3471</v>
      </c>
      <c r="S126">
        <v>0</v>
      </c>
      <c r="T126">
        <v>0</v>
      </c>
      <c r="U126">
        <v>0</v>
      </c>
      <c r="V126">
        <v>208</v>
      </c>
      <c r="W126">
        <v>0</v>
      </c>
      <c r="X126">
        <v>86</v>
      </c>
      <c r="Y126">
        <v>0</v>
      </c>
      <c r="AL126" t="str" cm="1">
        <f t="array" ref="AL126:AP126">_xlfn.TEXTSPLIT(A126,"_")</f>
        <v>MVPRP</v>
      </c>
      <c r="AM126" t="str">
        <v>C30</v>
      </c>
      <c r="AN126" t="str">
        <v>P3</v>
      </c>
      <c r="AO126" t="str">
        <v>V3</v>
      </c>
      <c r="AP126" t="str">
        <v>I1</v>
      </c>
    </row>
    <row r="127" spans="1:42" x14ac:dyDescent="0.25">
      <c r="A127" t="s">
        <v>94</v>
      </c>
      <c r="B127">
        <f t="shared" si="5"/>
        <v>50</v>
      </c>
      <c r="C127">
        <f t="shared" si="5"/>
        <v>3</v>
      </c>
      <c r="D127">
        <f t="shared" si="5"/>
        <v>4</v>
      </c>
      <c r="E127" t="s">
        <v>129</v>
      </c>
      <c r="F127" t="s">
        <v>37</v>
      </c>
      <c r="G127">
        <v>47624</v>
      </c>
      <c r="H127">
        <v>46982.604110295499</v>
      </c>
      <c r="I127" s="3">
        <v>1.3467913020841099E-2</v>
      </c>
      <c r="J127">
        <v>3602.2696363925902</v>
      </c>
      <c r="K127" t="s">
        <v>95</v>
      </c>
      <c r="L127">
        <v>270</v>
      </c>
      <c r="N127">
        <v>3</v>
      </c>
      <c r="O127">
        <v>6000</v>
      </c>
      <c r="P127">
        <v>29580</v>
      </c>
      <c r="Q127">
        <v>5945</v>
      </c>
      <c r="R127">
        <v>6099</v>
      </c>
      <c r="S127">
        <v>0</v>
      </c>
      <c r="T127">
        <v>0</v>
      </c>
      <c r="U127">
        <v>0</v>
      </c>
      <c r="V127">
        <v>1323</v>
      </c>
      <c r="W127">
        <v>0</v>
      </c>
      <c r="X127">
        <v>1062</v>
      </c>
      <c r="Y127">
        <v>0</v>
      </c>
      <c r="AL127" t="str" cm="1">
        <f t="array" ref="AL127:AP127">_xlfn.TEXTSPLIT(A127,"_")</f>
        <v>MVPRP</v>
      </c>
      <c r="AM127" t="str">
        <v>C50</v>
      </c>
      <c r="AN127" t="str">
        <v>P3</v>
      </c>
      <c r="AO127" t="str">
        <v>V4</v>
      </c>
      <c r="AP127" t="str">
        <v>I1</v>
      </c>
    </row>
    <row r="128" spans="1:42" x14ac:dyDescent="0.25">
      <c r="AL128" t="e" cm="1">
        <f t="array" ref="AL128">_xlfn.TEXTSPLIT(A128,"_")</f>
        <v>#VALUE!</v>
      </c>
    </row>
    <row r="129" spans="1:42" x14ac:dyDescent="0.25">
      <c r="AL129" t="e" cm="1">
        <f t="array" ref="AL129">_xlfn.TEXTSPLIT(A129,"_")</f>
        <v>#VALUE!</v>
      </c>
    </row>
    <row r="130" spans="1:42" x14ac:dyDescent="0.25">
      <c r="AL130" t="e" cm="1">
        <f t="array" ref="AL130">_xlfn.TEXTSPLIT(A130,"_")</f>
        <v>#VALUE!</v>
      </c>
    </row>
    <row r="131" spans="1:42" x14ac:dyDescent="0.25">
      <c r="AL131" t="e" cm="1">
        <f t="array" ref="AL131">_xlfn.TEXTSPLIT(A131,"_")</f>
        <v>#VALUE!</v>
      </c>
    </row>
    <row r="132" spans="1:42" x14ac:dyDescent="0.25">
      <c r="A132" t="s">
        <v>22</v>
      </c>
      <c r="B132">
        <f t="shared" ref="B132" si="6">_xlfn.NUMBERVALUE(REPLACE(AM132,1,1,""))</f>
        <v>40</v>
      </c>
      <c r="C132">
        <f t="shared" ref="C132" si="7">_xlfn.NUMBERVALUE(REPLACE(AN132,1,1,""))</f>
        <v>3</v>
      </c>
      <c r="D132">
        <f t="shared" ref="D132" si="8">_xlfn.NUMBERVALUE(REPLACE(AO132,1,1,""))</f>
        <v>4</v>
      </c>
      <c r="E132" t="s">
        <v>117</v>
      </c>
      <c r="F132" t="s">
        <v>18</v>
      </c>
      <c r="G132">
        <v>44460.999987607902</v>
      </c>
      <c r="H132">
        <v>44460.999987607902</v>
      </c>
      <c r="I132" s="3">
        <v>0</v>
      </c>
      <c r="J132">
        <v>908.68261003494297</v>
      </c>
      <c r="K132" t="s">
        <v>118</v>
      </c>
      <c r="L132">
        <v>270</v>
      </c>
      <c r="N132">
        <v>3</v>
      </c>
      <c r="O132">
        <v>6000</v>
      </c>
      <c r="P132">
        <v>27659.999984699502</v>
      </c>
      <c r="Q132">
        <v>5013.0000029084504</v>
      </c>
      <c r="R132">
        <v>5788</v>
      </c>
      <c r="S132">
        <v>-1</v>
      </c>
      <c r="T132">
        <v>-1</v>
      </c>
      <c r="U132">
        <v>-1</v>
      </c>
      <c r="AL132" t="str" cm="1">
        <f t="array" ref="AL132:AP132">_xlfn.TEXTSPLIT(A132,"_")</f>
        <v>MVPRP</v>
      </c>
      <c r="AM132" t="str">
        <v>C40</v>
      </c>
      <c r="AN132" t="str">
        <v>P3</v>
      </c>
      <c r="AO132" t="str">
        <v>V4</v>
      </c>
      <c r="AP132" t="str">
        <v>I1</v>
      </c>
    </row>
    <row r="133" spans="1:42" x14ac:dyDescent="0.25">
      <c r="A133" t="s">
        <v>31</v>
      </c>
      <c r="B133">
        <f t="shared" ref="B133:B140" si="9">_xlfn.NUMBERVALUE(REPLACE(AM133,1,1,""))</f>
        <v>30</v>
      </c>
      <c r="C133">
        <f t="shared" ref="C133:C140" si="10">_xlfn.NUMBERVALUE(REPLACE(AN133,1,1,""))</f>
        <v>3</v>
      </c>
      <c r="D133">
        <f t="shared" ref="D133:D140" si="11">_xlfn.NUMBERVALUE(REPLACE(AO133,1,1,""))</f>
        <v>4</v>
      </c>
      <c r="E133" t="s">
        <v>117</v>
      </c>
      <c r="F133" t="s">
        <v>18</v>
      </c>
      <c r="G133">
        <v>29156.999780910799</v>
      </c>
      <c r="H133">
        <v>29156.999780910799</v>
      </c>
      <c r="I133" s="3">
        <v>0</v>
      </c>
      <c r="J133">
        <v>3496.32595610619</v>
      </c>
      <c r="K133" t="s">
        <v>119</v>
      </c>
      <c r="L133">
        <v>171</v>
      </c>
      <c r="N133">
        <v>3</v>
      </c>
      <c r="O133">
        <v>3000</v>
      </c>
      <c r="P133">
        <v>16679.999872380398</v>
      </c>
      <c r="Q133">
        <v>5463.9999085303998</v>
      </c>
      <c r="R133">
        <v>4013</v>
      </c>
      <c r="S133">
        <v>-1</v>
      </c>
      <c r="T133">
        <v>-1</v>
      </c>
      <c r="U133">
        <v>-1</v>
      </c>
      <c r="AL133" t="str" cm="1">
        <f t="array" ref="AL133:AP133">_xlfn.TEXTSPLIT(A133,"_")</f>
        <v>MVPRP</v>
      </c>
      <c r="AM133" t="str">
        <v>C30</v>
      </c>
      <c r="AN133" t="str">
        <v>P3</v>
      </c>
      <c r="AO133" t="str">
        <v>V4</v>
      </c>
      <c r="AP133" t="str">
        <v>I1</v>
      </c>
    </row>
    <row r="134" spans="1:42" x14ac:dyDescent="0.25">
      <c r="A134" t="s">
        <v>36</v>
      </c>
      <c r="B134">
        <f t="shared" si="9"/>
        <v>30</v>
      </c>
      <c r="C134">
        <f t="shared" si="10"/>
        <v>9</v>
      </c>
      <c r="D134">
        <f t="shared" si="11"/>
        <v>4</v>
      </c>
      <c r="E134" t="s">
        <v>117</v>
      </c>
      <c r="F134" t="s">
        <v>37</v>
      </c>
      <c r="G134">
        <v>111905.8</v>
      </c>
      <c r="H134">
        <v>110443.29471604701</v>
      </c>
      <c r="I134" s="3">
        <v>1.30690749179471E-2</v>
      </c>
      <c r="J134">
        <v>3599.0183930397002</v>
      </c>
      <c r="K134" t="s">
        <v>120</v>
      </c>
      <c r="L134">
        <v>171</v>
      </c>
      <c r="N134">
        <v>3</v>
      </c>
      <c r="O134">
        <v>12000</v>
      </c>
      <c r="P134">
        <v>67710</v>
      </c>
      <c r="Q134">
        <v>18515</v>
      </c>
      <c r="R134">
        <v>13680.8</v>
      </c>
      <c r="S134">
        <v>-1</v>
      </c>
      <c r="T134">
        <v>-1</v>
      </c>
      <c r="U134">
        <v>-1</v>
      </c>
      <c r="AL134" t="str" cm="1">
        <f t="array" ref="AL134:AP134">_xlfn.TEXTSPLIT(A134,"_")</f>
        <v>MVPRP</v>
      </c>
      <c r="AM134" t="str">
        <v>C30</v>
      </c>
      <c r="AN134" t="str">
        <v>P9</v>
      </c>
      <c r="AO134" t="str">
        <v>V4</v>
      </c>
      <c r="AP134" t="str">
        <v>I1</v>
      </c>
    </row>
    <row r="135" spans="1:42" x14ac:dyDescent="0.25">
      <c r="A135" t="s">
        <v>44</v>
      </c>
      <c r="B135">
        <f t="shared" si="9"/>
        <v>35</v>
      </c>
      <c r="C135">
        <f t="shared" si="10"/>
        <v>6</v>
      </c>
      <c r="D135">
        <f t="shared" si="11"/>
        <v>4</v>
      </c>
      <c r="E135" t="s">
        <v>117</v>
      </c>
      <c r="F135" t="s">
        <v>37</v>
      </c>
      <c r="G135">
        <v>75695</v>
      </c>
      <c r="H135">
        <v>75072.074352549695</v>
      </c>
      <c r="I135" s="3">
        <v>8.22941604399695E-3</v>
      </c>
      <c r="J135">
        <v>3599.4356110096001</v>
      </c>
      <c r="K135" t="s">
        <v>121</v>
      </c>
      <c r="L135">
        <v>207</v>
      </c>
      <c r="N135">
        <v>3</v>
      </c>
      <c r="O135">
        <v>6000</v>
      </c>
      <c r="P135">
        <v>42900</v>
      </c>
      <c r="Q135">
        <v>18671</v>
      </c>
      <c r="R135">
        <v>8124</v>
      </c>
      <c r="S135">
        <v>-1</v>
      </c>
      <c r="T135">
        <v>-1</v>
      </c>
      <c r="U135">
        <v>-1</v>
      </c>
      <c r="AL135" t="str" cm="1">
        <f t="array" ref="AL135:AP135">_xlfn.TEXTSPLIT(A135,"_")</f>
        <v>MVPRP</v>
      </c>
      <c r="AM135" t="str">
        <v>C35</v>
      </c>
      <c r="AN135" t="str">
        <v>P6</v>
      </c>
      <c r="AO135" t="str">
        <v>V4</v>
      </c>
      <c r="AP135" t="str">
        <v>I1</v>
      </c>
    </row>
    <row r="136" spans="1:42" x14ac:dyDescent="0.25">
      <c r="A136" t="s">
        <v>49</v>
      </c>
      <c r="B136">
        <f t="shared" si="9"/>
        <v>45</v>
      </c>
      <c r="C136">
        <f t="shared" si="10"/>
        <v>3</v>
      </c>
      <c r="D136">
        <f t="shared" si="11"/>
        <v>4</v>
      </c>
      <c r="E136" t="s">
        <v>117</v>
      </c>
      <c r="F136" t="s">
        <v>37</v>
      </c>
      <c r="G136">
        <v>51041.299882235202</v>
      </c>
      <c r="H136">
        <v>50846.733842312897</v>
      </c>
      <c r="I136" s="3">
        <v>3.8119334807531599E-3</v>
      </c>
      <c r="J136">
        <v>3600</v>
      </c>
      <c r="K136" t="s">
        <v>122</v>
      </c>
      <c r="L136">
        <v>270</v>
      </c>
      <c r="N136">
        <v>3</v>
      </c>
      <c r="O136">
        <v>6000</v>
      </c>
      <c r="P136">
        <v>33060</v>
      </c>
      <c r="Q136">
        <v>5611</v>
      </c>
      <c r="R136">
        <v>6370.2998822351601</v>
      </c>
      <c r="S136">
        <v>-1</v>
      </c>
      <c r="T136">
        <v>-1</v>
      </c>
      <c r="U136">
        <v>-1</v>
      </c>
      <c r="AL136" t="str" cm="1">
        <f t="array" ref="AL136:AP136">_xlfn.TEXTSPLIT(A136,"_")</f>
        <v>MVPRP</v>
      </c>
      <c r="AM136" t="str">
        <v>C45</v>
      </c>
      <c r="AN136" t="str">
        <v>P3</v>
      </c>
      <c r="AO136" t="str">
        <v>V4</v>
      </c>
      <c r="AP136" t="str">
        <v>I1</v>
      </c>
    </row>
    <row r="137" spans="1:42" x14ac:dyDescent="0.25">
      <c r="A137" t="s">
        <v>67</v>
      </c>
      <c r="B137">
        <f t="shared" si="9"/>
        <v>30</v>
      </c>
      <c r="C137">
        <f t="shared" si="10"/>
        <v>6</v>
      </c>
      <c r="D137">
        <f t="shared" si="11"/>
        <v>4</v>
      </c>
      <c r="E137" t="s">
        <v>117</v>
      </c>
      <c r="F137" t="s">
        <v>37</v>
      </c>
      <c r="G137">
        <v>62059</v>
      </c>
      <c r="H137">
        <v>61694.591091853603</v>
      </c>
      <c r="I137" s="3">
        <v>5.87197518726404E-3</v>
      </c>
      <c r="J137">
        <v>3600</v>
      </c>
      <c r="K137" t="s">
        <v>123</v>
      </c>
      <c r="L137">
        <v>171</v>
      </c>
      <c r="N137">
        <v>3</v>
      </c>
      <c r="O137">
        <v>6000</v>
      </c>
      <c r="P137">
        <v>33150</v>
      </c>
      <c r="Q137">
        <v>15589</v>
      </c>
      <c r="R137">
        <v>7320</v>
      </c>
      <c r="S137">
        <v>-1</v>
      </c>
      <c r="T137">
        <v>-1</v>
      </c>
      <c r="U137">
        <v>-1</v>
      </c>
      <c r="AL137" t="str" cm="1">
        <f t="array" ref="AL137:AP137">_xlfn.TEXTSPLIT(A137,"_")</f>
        <v>MVPRP</v>
      </c>
      <c r="AM137" t="str">
        <v>C30</v>
      </c>
      <c r="AN137" t="str">
        <v>P6</v>
      </c>
      <c r="AO137" t="str">
        <v>V4</v>
      </c>
      <c r="AP137" t="str">
        <v>I1</v>
      </c>
    </row>
    <row r="138" spans="1:42" x14ac:dyDescent="0.25">
      <c r="A138" t="s">
        <v>78</v>
      </c>
      <c r="B138">
        <f t="shared" si="9"/>
        <v>35</v>
      </c>
      <c r="C138">
        <f t="shared" si="10"/>
        <v>3</v>
      </c>
      <c r="D138">
        <f t="shared" si="11"/>
        <v>4</v>
      </c>
      <c r="E138" t="s">
        <v>117</v>
      </c>
      <c r="F138" t="s">
        <v>18</v>
      </c>
      <c r="G138">
        <v>35853.999808658598</v>
      </c>
      <c r="H138">
        <v>35850.549641031699</v>
      </c>
      <c r="I138" s="3">
        <v>9.6228249156599596E-5</v>
      </c>
      <c r="J138">
        <v>1605.97722697258</v>
      </c>
      <c r="K138" t="s">
        <v>124</v>
      </c>
      <c r="L138">
        <v>207</v>
      </c>
      <c r="N138">
        <v>3</v>
      </c>
      <c r="O138">
        <v>3000</v>
      </c>
      <c r="P138">
        <v>21600</v>
      </c>
      <c r="Q138">
        <v>6531</v>
      </c>
      <c r="R138">
        <v>4722.9998086585601</v>
      </c>
      <c r="S138">
        <v>-1</v>
      </c>
      <c r="T138">
        <v>-1</v>
      </c>
      <c r="U138">
        <v>-1</v>
      </c>
      <c r="AL138" t="str" cm="1">
        <f t="array" ref="AL138:AP138">_xlfn.TEXTSPLIT(A138,"_")</f>
        <v>MVPRP</v>
      </c>
      <c r="AM138" t="str">
        <v>C35</v>
      </c>
      <c r="AN138" t="str">
        <v>P3</v>
      </c>
      <c r="AO138" t="str">
        <v>V4</v>
      </c>
      <c r="AP138" t="str">
        <v>I1</v>
      </c>
    </row>
    <row r="139" spans="1:42" x14ac:dyDescent="0.25">
      <c r="A139" t="s">
        <v>83</v>
      </c>
      <c r="B139">
        <f t="shared" si="9"/>
        <v>40</v>
      </c>
      <c r="C139">
        <f t="shared" si="10"/>
        <v>6</v>
      </c>
      <c r="D139">
        <f t="shared" si="11"/>
        <v>4</v>
      </c>
      <c r="E139" t="s">
        <v>117</v>
      </c>
      <c r="F139" t="s">
        <v>37</v>
      </c>
      <c r="G139">
        <v>96710</v>
      </c>
      <c r="H139">
        <v>96453.312137460103</v>
      </c>
      <c r="I139" s="3">
        <v>2.6542018668177102E-3</v>
      </c>
      <c r="J139">
        <v>3600</v>
      </c>
      <c r="K139" t="s">
        <v>125</v>
      </c>
      <c r="L139">
        <v>270</v>
      </c>
      <c r="N139">
        <v>3</v>
      </c>
      <c r="O139">
        <v>6000</v>
      </c>
      <c r="P139">
        <v>55170</v>
      </c>
      <c r="Q139">
        <v>25747</v>
      </c>
      <c r="R139">
        <v>9793</v>
      </c>
      <c r="S139">
        <v>-1</v>
      </c>
      <c r="T139">
        <v>-1</v>
      </c>
      <c r="U139">
        <v>-1</v>
      </c>
      <c r="AL139" t="str" cm="1">
        <f t="array" ref="AL139:AP139">_xlfn.TEXTSPLIT(A139,"_")</f>
        <v>MVPRP</v>
      </c>
      <c r="AM139" t="str">
        <v>C40</v>
      </c>
      <c r="AN139" t="str">
        <v>P6</v>
      </c>
      <c r="AO139" t="str">
        <v>V4</v>
      </c>
      <c r="AP139" t="str">
        <v>I1</v>
      </c>
    </row>
    <row r="140" spans="1:42" x14ac:dyDescent="0.25">
      <c r="A140" t="s">
        <v>94</v>
      </c>
      <c r="B140">
        <f t="shared" si="9"/>
        <v>50</v>
      </c>
      <c r="C140">
        <f t="shared" si="10"/>
        <v>3</v>
      </c>
      <c r="D140">
        <f t="shared" si="11"/>
        <v>4</v>
      </c>
      <c r="E140" t="s">
        <v>117</v>
      </c>
      <c r="F140" t="s">
        <v>37</v>
      </c>
      <c r="G140">
        <v>47266.999966712203</v>
      </c>
      <c r="H140">
        <v>47057.317635382104</v>
      </c>
      <c r="I140" s="3">
        <v>4.4361252348937901E-3</v>
      </c>
      <c r="J140">
        <v>3600</v>
      </c>
      <c r="K140" t="s">
        <v>126</v>
      </c>
      <c r="L140">
        <v>270</v>
      </c>
      <c r="N140">
        <v>3</v>
      </c>
      <c r="O140">
        <v>6000</v>
      </c>
      <c r="P140">
        <v>29579.9999770838</v>
      </c>
      <c r="Q140">
        <v>5666.9999896284098</v>
      </c>
      <c r="R140">
        <v>6020</v>
      </c>
      <c r="S140">
        <v>-1</v>
      </c>
      <c r="T140">
        <v>-1</v>
      </c>
      <c r="U140">
        <v>-1</v>
      </c>
      <c r="AL140" t="str" cm="1">
        <f t="array" ref="AL140:AP140">_xlfn.TEXTSPLIT(A140,"_")</f>
        <v>MVPRP</v>
      </c>
      <c r="AM140" t="str">
        <v>C50</v>
      </c>
      <c r="AN140" t="str">
        <v>P3</v>
      </c>
      <c r="AO140" t="str">
        <v>V4</v>
      </c>
      <c r="AP140" t="str">
        <v>I1</v>
      </c>
    </row>
    <row r="141" spans="1:42" x14ac:dyDescent="0.25">
      <c r="AL141" t="e" cm="1">
        <f t="array" ref="AL141">_xlfn.TEXTSPLIT(A141,"_")</f>
        <v>#VALUE!</v>
      </c>
    </row>
    <row r="142" spans="1:42" x14ac:dyDescent="0.25">
      <c r="AL142" t="e" cm="1">
        <f t="array" ref="AL142">_xlfn.TEXTSPLIT(A142,"_")</f>
        <v>#VALUE!</v>
      </c>
    </row>
    <row r="143" spans="1:42" x14ac:dyDescent="0.25">
      <c r="AL143" t="e" cm="1">
        <f t="array" ref="AL143">_xlfn.TEXTSPLIT(A143,"_")</f>
        <v>#VALUE!</v>
      </c>
    </row>
    <row r="144" spans="1:42" x14ac:dyDescent="0.25">
      <c r="AL144" t="e" cm="1">
        <f t="array" ref="AL144">_xlfn.TEXTSPLIT(A144,"_")</f>
        <v>#VALUE!</v>
      </c>
    </row>
    <row r="145" spans="38:38" x14ac:dyDescent="0.25">
      <c r="AL145" t="e" cm="1">
        <f t="array" ref="AL145">_xlfn.TEXTSPLIT(A145,"_")</f>
        <v>#VALUE!</v>
      </c>
    </row>
    <row r="146" spans="38:38" x14ac:dyDescent="0.25">
      <c r="AL146" t="e" cm="1">
        <f t="array" ref="AL146">_xlfn.TEXTSPLIT(A146,"_")</f>
        <v>#VALUE!</v>
      </c>
    </row>
    <row r="147" spans="38:38" x14ac:dyDescent="0.25">
      <c r="AL147" t="e" cm="1">
        <f t="array" ref="AL147">_xlfn.TEXTSPLIT(A147,"_")</f>
        <v>#VALUE!</v>
      </c>
    </row>
    <row r="148" spans="38:38" x14ac:dyDescent="0.25">
      <c r="AL148" t="e" cm="1">
        <f t="array" ref="AL148">_xlfn.TEXTSPLIT(A148,"_")</f>
        <v>#VALUE!</v>
      </c>
    </row>
    <row r="149" spans="38:38" x14ac:dyDescent="0.25">
      <c r="AL149" t="e" cm="1">
        <f t="array" ref="AL149">_xlfn.TEXTSPLIT(A149,"_")</f>
        <v>#VALUE!</v>
      </c>
    </row>
    <row r="150" spans="38:38" x14ac:dyDescent="0.25">
      <c r="AL150" t="e" cm="1">
        <f t="array" ref="AL150">_xlfn.TEXTSPLIT(A150,"_")</f>
        <v>#VALUE!</v>
      </c>
    </row>
    <row r="151" spans="38:38" x14ac:dyDescent="0.25">
      <c r="AL151" t="e" cm="1">
        <f t="array" ref="AL151">_xlfn.TEXTSPLIT(A151,"_")</f>
        <v>#VALUE!</v>
      </c>
    </row>
  </sheetData>
  <autoFilter ref="D1:D127" xr:uid="{00000000-0001-0000-0000-000000000000}"/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AveragesOverall</vt:lpstr>
      <vt:lpstr>Solved</vt:lpstr>
      <vt:lpstr>ByMedByPeriod</vt:lpstr>
      <vt:lpstr>model2_16_threads_MIPstart_July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Rocha, Luis</cp:lastModifiedBy>
  <cp:revision>0</cp:revision>
  <dcterms:created xsi:type="dcterms:W3CDTF">2025-07-05T11:04:33Z</dcterms:created>
  <dcterms:modified xsi:type="dcterms:W3CDTF">2026-02-04T15:39:59Z</dcterms:modified>
  <dc:language>en-US</dc:language>
</cp:coreProperties>
</file>