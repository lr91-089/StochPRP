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000_Passau\Research\DataAnalytics\StochPRP\"/>
    </mc:Choice>
  </mc:AlternateContent>
  <xr:revisionPtr revIDLastSave="0" documentId="13_ncr:1_{9568F27F-D509-49DE-9D11-55CE653405F0}" xr6:coauthVersionLast="47" xr6:coauthVersionMax="47" xr10:uidLastSave="{00000000-0000-0000-0000-000000000000}"/>
  <bookViews>
    <workbookView xWindow="-120" yWindow="-120" windowWidth="29040" windowHeight="15720" activeTab="1" xr2:uid="{9C58FB55-E0A3-4106-8821-145FE5D1A7C4}"/>
  </bookViews>
  <sheets>
    <sheet name="Pivot" sheetId="2" r:id="rId1"/>
    <sheet name="vss_calc_tab_I1" sheetId="1" r:id="rId2"/>
  </sheets>
  <definedNames>
    <definedName name="_xlnm._FilterDatabase" localSheetId="1" hidden="1">vss_calc_tab_I1!$A$1:$T$168</definedName>
    <definedName name="_xlchart.v1.0" hidden="1">vss_calc_tab_I1!$M$1</definedName>
    <definedName name="_xlchart.v1.1" hidden="1">vss_calc_tab_I1!$M$2</definedName>
    <definedName name="_xlchart.v1.10" hidden="1">vss_calc_tab_I1!$O$1</definedName>
    <definedName name="_xlchart.v1.11" hidden="1">vss_calc_tab_I1!$O$2:$O$85</definedName>
    <definedName name="_xlchart.v1.12" hidden="1">vss_calc_tab_I1!$T$90</definedName>
    <definedName name="_xlchart.v1.13" hidden="1">vss_calc_tab_I1!$U$1:$U$85</definedName>
    <definedName name="_xlchart.v1.14" hidden="1">vss_calc_tab_I1!$U$2:$U$85</definedName>
    <definedName name="_xlchart.v1.15" hidden="1">vss_calc_tab_I1!$M$1</definedName>
    <definedName name="_xlchart.v1.16" hidden="1">vss_calc_tab_I1!$M$85</definedName>
    <definedName name="_xlchart.v1.17" hidden="1">vss_calc_tab_I1!$U$1:$U$84</definedName>
    <definedName name="_xlchart.v1.18" hidden="1">vss_calc_tab_I1!$U$85</definedName>
    <definedName name="_xlchart.v1.19" hidden="1">vss_calc_tab_I1!$G$2:$G$85</definedName>
    <definedName name="_xlchart.v1.2" hidden="1">vss_calc_tab_I1!$M$2:$M$85</definedName>
    <definedName name="_xlchart.v1.20" hidden="1">vss_calc_tab_I1!$G$5:$G$164</definedName>
    <definedName name="_xlchart.v1.21" hidden="1">vss_calc_tab_I1!$M$1</definedName>
    <definedName name="_xlchart.v1.22" hidden="1">vss_calc_tab_I1!$M$2:$M$164</definedName>
    <definedName name="_xlchart.v1.23" hidden="1">vss_calc_tab_I1!$M$2:$M$85</definedName>
    <definedName name="_xlchart.v1.24" hidden="1">vss_calc_tab_I1!$O$1</definedName>
    <definedName name="_xlchart.v1.25" hidden="1">vss_calc_tab_I1!$O$2:$O$85</definedName>
    <definedName name="_xlchart.v1.26" hidden="1">vss_calc_tab_I1!$O$2:$O$86</definedName>
    <definedName name="_xlchart.v1.27" hidden="1">vss_calc_tab_I1!$O$5:$O$164</definedName>
    <definedName name="_xlchart.v1.28" hidden="1">vss_calc_tab_I1!$D$2:$D$164</definedName>
    <definedName name="_xlchart.v1.29" hidden="1">vss_calc_tab_I1!$D$2:$D$85</definedName>
    <definedName name="_xlchart.v1.3" hidden="1">vss_calc_tab_I1!$T$90</definedName>
    <definedName name="_xlchart.v1.30" hidden="1">vss_calc_tab_I1!$M$1</definedName>
    <definedName name="_xlchart.v1.31" hidden="1">vss_calc_tab_I1!$M$2:$M$164</definedName>
    <definedName name="_xlchart.v1.32" hidden="1">vss_calc_tab_I1!$O$1</definedName>
    <definedName name="_xlchart.v1.33" hidden="1">vss_calc_tab_I1!$O$2:$O$164</definedName>
    <definedName name="_xlchart.v1.34" hidden="1">vss_calc_tab_I1!$C$2:$C$85</definedName>
    <definedName name="_xlchart.v1.35" hidden="1">vss_calc_tab_I1!$C$5:$C$164</definedName>
    <definedName name="_xlchart.v1.36" hidden="1">vss_calc_tab_I1!$M$1</definedName>
    <definedName name="_xlchart.v1.37" hidden="1">vss_calc_tab_I1!$M$2:$M$164</definedName>
    <definedName name="_xlchart.v1.38" hidden="1">vss_calc_tab_I1!$M$2:$M$85</definedName>
    <definedName name="_xlchart.v1.39" hidden="1">vss_calc_tab_I1!$O$1</definedName>
    <definedName name="_xlchart.v1.4" hidden="1">vss_calc_tab_I1!$U$1:$U$85</definedName>
    <definedName name="_xlchart.v1.40" hidden="1">vss_calc_tab_I1!$O$2:$O$164</definedName>
    <definedName name="_xlchart.v1.41" hidden="1">vss_calc_tab_I1!$M$1</definedName>
    <definedName name="_xlchart.v1.42" hidden="1">vss_calc_tab_I1!$M$2</definedName>
    <definedName name="_xlchart.v1.43" hidden="1">vss_calc_tab_I1!$M$2:$M$85</definedName>
    <definedName name="_xlchart.v1.44" hidden="1">vss_calc_tab_I1!$T$90</definedName>
    <definedName name="_xlchart.v1.45" hidden="1">vss_calc_tab_I1!$U$1:$U$85</definedName>
    <definedName name="_xlchart.v1.46" hidden="1">vss_calc_tab_I1!$U$2:$U$85</definedName>
    <definedName name="_xlchart.v1.47" hidden="1">vss_calc_tab_I1!$M$1</definedName>
    <definedName name="_xlchart.v1.48" hidden="1">vss_calc_tab_I1!$M$2</definedName>
    <definedName name="_xlchart.v1.49" hidden="1">vss_calc_tab_I1!$M$2:$M$85</definedName>
    <definedName name="_xlchart.v1.5" hidden="1">vss_calc_tab_I1!$U$2:$U$85</definedName>
    <definedName name="_xlchart.v1.50" hidden="1">vss_calc_tab_I1!$T$90</definedName>
    <definedName name="_xlchart.v1.51" hidden="1">vss_calc_tab_I1!$U$1:$U$85</definedName>
    <definedName name="_xlchart.v1.52" hidden="1">vss_calc_tab_I1!$U$2:$U$85</definedName>
    <definedName name="_xlchart.v1.53" hidden="1">vss_calc_tab_I1!$M$1</definedName>
    <definedName name="_xlchart.v1.54" hidden="1">vss_calc_tab_I1!$M$2</definedName>
    <definedName name="_xlchart.v1.55" hidden="1">vss_calc_tab_I1!$M$2:$M$85</definedName>
    <definedName name="_xlchart.v1.56" hidden="1">vss_calc_tab_I1!$O$1</definedName>
    <definedName name="_xlchart.v1.57" hidden="1">vss_calc_tab_I1!$O$2:$O$85</definedName>
    <definedName name="_xlchart.v1.58" hidden="1">vss_calc_tab_I1!$T$90</definedName>
    <definedName name="_xlchart.v1.59" hidden="1">vss_calc_tab_I1!$U$1:$U$85</definedName>
    <definedName name="_xlchart.v1.6" hidden="1">vss_calc_tab_I1!$T$90</definedName>
    <definedName name="_xlchart.v1.60" hidden="1">vss_calc_tab_I1!$U$2:$U$85</definedName>
    <definedName name="_xlchart.v1.61" hidden="1">vss_calc_tab_I1!$M$1</definedName>
    <definedName name="_xlchart.v1.62" hidden="1">vss_calc_tab_I1!$M$2</definedName>
    <definedName name="_xlchart.v1.63" hidden="1">vss_calc_tab_I1!$M$2:$M$85</definedName>
    <definedName name="_xlchart.v1.64" hidden="1">vss_calc_tab_I1!$O$1</definedName>
    <definedName name="_xlchart.v1.65" hidden="1">vss_calc_tab_I1!$O$2:$O$85</definedName>
    <definedName name="_xlchart.v1.66" hidden="1">vss_calc_tab_I1!$T$90</definedName>
    <definedName name="_xlchart.v1.67" hidden="1">vss_calc_tab_I1!$U$1:$U$85</definedName>
    <definedName name="_xlchart.v1.68" hidden="1">vss_calc_tab_I1!$U$2:$U$85</definedName>
    <definedName name="_xlchart.v1.69" hidden="1">vss_calc_tab_I1!$M$85</definedName>
    <definedName name="_xlchart.v1.7" hidden="1">vss_calc_tab_I1!$M$1</definedName>
    <definedName name="_xlchart.v1.70" hidden="1">vss_calc_tab_I1!$U$1:$U$84</definedName>
    <definedName name="_xlchart.v1.71" hidden="1">vss_calc_tab_I1!$U$85</definedName>
    <definedName name="_xlchart.v1.8" hidden="1">vss_calc_tab_I1!$M$2</definedName>
    <definedName name="_xlchart.v1.9" hidden="1">vss_calc_tab_I1!$M$2:$M$85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2" i="1"/>
  <c r="B2" i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<sst xmlns="http://schemas.openxmlformats.org/spreadsheetml/2006/main" count="118" uniqueCount="54">
  <si>
    <t>instance</t>
  </si>
  <si>
    <t>recoursegamma</t>
  </si>
  <si>
    <t>ub_vss_calc</t>
  </si>
  <si>
    <t>ub_hprp</t>
  </si>
  <si>
    <t>lb_vss_calc</t>
  </si>
  <si>
    <t>lb_hprp</t>
  </si>
  <si>
    <t>vss</t>
  </si>
  <si>
    <t>vss%</t>
  </si>
  <si>
    <t>vss_max</t>
  </si>
  <si>
    <t>vss%_max</t>
  </si>
  <si>
    <t>runtime_vss_calc</t>
  </si>
  <si>
    <t>runtime_hprp</t>
  </si>
  <si>
    <t>gap_vss_calc</t>
  </si>
  <si>
    <t>gap_hprp</t>
  </si>
  <si>
    <t>MVPRP_C10_P3_V3_I1</t>
  </si>
  <si>
    <t>MVPRP_C10_P6_V3_I1</t>
  </si>
  <si>
    <t>MVPRP_C10_P9_V3_I1</t>
  </si>
  <si>
    <t>MVPRP_C15_P3_V3_I1</t>
  </si>
  <si>
    <t>MVPRP_C15_P6_V3_I1</t>
  </si>
  <si>
    <t>MVPRP_C15_P9_V3_I1</t>
  </si>
  <si>
    <t>MVPRP_C20_P3_V3_I1</t>
  </si>
  <si>
    <t>MVPRP_C20_P6_V3_I1</t>
  </si>
  <si>
    <t>MVPRP_C20_P9_V3_I1</t>
  </si>
  <si>
    <t>MVPRP_C25_P3_V3_I1</t>
  </si>
  <si>
    <t>MVPRP_C25_P6_V3_I1</t>
  </si>
  <si>
    <t>MVPRP_C25_P9_V3_I1</t>
  </si>
  <si>
    <t>MVPRP_C30_P3_V3_I1</t>
  </si>
  <si>
    <t>MVPRP_C30_P6_V3_I1</t>
  </si>
  <si>
    <t>MVPRP_C30_P9_V3_I1</t>
  </si>
  <si>
    <t>MVPRP_C35_P3_V3_I1</t>
  </si>
  <si>
    <t>MVPRP_C35_P6_V3_I1</t>
  </si>
  <si>
    <t>MVPRP_C40_P3_V3_I1</t>
  </si>
  <si>
    <t>MVPRP_C40_P6_V3_I1</t>
  </si>
  <si>
    <t>MVPRP_C45_P3_V3_I1</t>
  </si>
  <si>
    <t>MVPRP_C50_P3_V3_I1</t>
  </si>
  <si>
    <t>InsString</t>
  </si>
  <si>
    <t>Customers</t>
  </si>
  <si>
    <t>Periods</t>
  </si>
  <si>
    <t>MED</t>
  </si>
  <si>
    <t>InstType</t>
  </si>
  <si>
    <t>Zeilenbeschriftungen</t>
  </si>
  <si>
    <t>P3</t>
  </si>
  <si>
    <t>P6</t>
  </si>
  <si>
    <t>P9</t>
  </si>
  <si>
    <t>Gesamtergebnis</t>
  </si>
  <si>
    <t>Mittelwert von vss</t>
  </si>
  <si>
    <t>Mittelwert von vss_max</t>
  </si>
  <si>
    <t>Mittelwert von vss%</t>
  </si>
  <si>
    <t>Mittelwert von vss%_max</t>
  </si>
  <si>
    <t>V3</t>
  </si>
  <si>
    <t>Mittelwert von gap_vss_calc</t>
  </si>
  <si>
    <t>Mittelwert von gap_hprp</t>
  </si>
  <si>
    <t>Customer Number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</si>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</sst>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11" fontId="0" fillId="0" borderId="0" xfId="0" quotePrefix="1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4">
    <dxf>
      <numFmt numFmtId="1" formatCode="0"/>
    </dxf>
    <dxf>
      <numFmt numFmtId="2" formatCode="0.00"/>
    </dxf>
    <dxf>
      <numFmt numFmtId="2" formatCode="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[vss_calc_tab_I1_final.xlsx]Pivot!PivotTable1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Mittelwert von vss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Pivot!$A$4:$A$19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Pivot!$B$4:$B$19</c:f>
              <c:numCache>
                <c:formatCode>0</c:formatCode>
                <c:ptCount val="12"/>
                <c:pt idx="0">
                  <c:v>81.355555555555554</c:v>
                </c:pt>
                <c:pt idx="1">
                  <c:v>133</c:v>
                </c:pt>
                <c:pt idx="2">
                  <c:v>202.53888888888889</c:v>
                </c:pt>
                <c:pt idx="3">
                  <c:v>279.13333333333333</c:v>
                </c:pt>
                <c:pt idx="4">
                  <c:v>26.35</c:v>
                </c:pt>
                <c:pt idx="5">
                  <c:v>52.285714285714285</c:v>
                </c:pt>
                <c:pt idx="6">
                  <c:v>90.321428571428569</c:v>
                </c:pt>
                <c:pt idx="7">
                  <c:v>128.55714285714285</c:v>
                </c:pt>
                <c:pt idx="8">
                  <c:v>147.05000000000001</c:v>
                </c:pt>
                <c:pt idx="9">
                  <c:v>192.94</c:v>
                </c:pt>
                <c:pt idx="10">
                  <c:v>267.36</c:v>
                </c:pt>
                <c:pt idx="11">
                  <c:v>350.24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F-42B3-A962-313FA5A0F8CA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Mittelwert von vss_max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Pivot!$A$4:$A$19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Pivot!$C$4:$C$19</c:f>
              <c:numCache>
                <c:formatCode>0</c:formatCode>
                <c:ptCount val="12"/>
                <c:pt idx="0">
                  <c:v>81.688888888888897</c:v>
                </c:pt>
                <c:pt idx="1">
                  <c:v>133.65111111111113</c:v>
                </c:pt>
                <c:pt idx="2">
                  <c:v>202.87222222222223</c:v>
                </c:pt>
                <c:pt idx="3">
                  <c:v>279.66555555555556</c:v>
                </c:pt>
                <c:pt idx="4">
                  <c:v>76.845714285714294</c:v>
                </c:pt>
                <c:pt idx="5">
                  <c:v>82.78857142857143</c:v>
                </c:pt>
                <c:pt idx="6">
                  <c:v>117.15285714285713</c:v>
                </c:pt>
                <c:pt idx="7">
                  <c:v>144.09714285714284</c:v>
                </c:pt>
                <c:pt idx="8">
                  <c:v>381.88</c:v>
                </c:pt>
                <c:pt idx="9">
                  <c:v>345.57400000000001</c:v>
                </c:pt>
                <c:pt idx="10">
                  <c:v>393.94799999999998</c:v>
                </c:pt>
                <c:pt idx="11">
                  <c:v>476.03999999999996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4F-42B3-A962-313FA5A0F8CA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Mittelwert von vss%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Pivot!$A$4:$A$19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Pivot!$D$4:$D$19</c:f>
              <c:numCache>
                <c:formatCode>0.00</c:formatCode>
                <c:ptCount val="12"/>
                <c:pt idx="0">
                  <c:v>0.17185555555555554</c:v>
                </c:pt>
                <c:pt idx="1">
                  <c:v>0.28050000000000003</c:v>
                </c:pt>
                <c:pt idx="2">
                  <c:v>0.4263777777777778</c:v>
                </c:pt>
                <c:pt idx="3">
                  <c:v>0.58661111111111119</c:v>
                </c:pt>
                <c:pt idx="4">
                  <c:v>4.1228571428571434E-2</c:v>
                </c:pt>
                <c:pt idx="5">
                  <c:v>6.9142857142857145E-2</c:v>
                </c:pt>
                <c:pt idx="6">
                  <c:v>0.12465714285714288</c:v>
                </c:pt>
                <c:pt idx="7">
                  <c:v>0.18029999999999999</c:v>
                </c:pt>
                <c:pt idx="8">
                  <c:v>0.15751999999999999</c:v>
                </c:pt>
                <c:pt idx="9">
                  <c:v>0.19656000000000001</c:v>
                </c:pt>
                <c:pt idx="10">
                  <c:v>0.27492</c:v>
                </c:pt>
                <c:pt idx="11">
                  <c:v>0.36087999999999998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4F-42B3-A962-313FA5A0F8CA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Mittelwert von vss%_max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Pivot!$A$4:$A$19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Pivot!$E$4:$E$19</c:f>
              <c:numCache>
                <c:formatCode>0.00</c:formatCode>
                <c:ptCount val="12"/>
                <c:pt idx="0">
                  <c:v>0.17255555555555555</c:v>
                </c:pt>
                <c:pt idx="1">
                  <c:v>0.28184444444444445</c:v>
                </c:pt>
                <c:pt idx="2">
                  <c:v>0.4273777777777778</c:v>
                </c:pt>
                <c:pt idx="3">
                  <c:v>0.58764444444444441</c:v>
                </c:pt>
                <c:pt idx="4">
                  <c:v>9.3457142857142878E-2</c:v>
                </c:pt>
                <c:pt idx="5">
                  <c:v>0.10057142857142855</c:v>
                </c:pt>
                <c:pt idx="6">
                  <c:v>0.15270000000000003</c:v>
                </c:pt>
                <c:pt idx="7">
                  <c:v>0.19627142857142857</c:v>
                </c:pt>
                <c:pt idx="8">
                  <c:v>0.40994000000000003</c:v>
                </c:pt>
                <c:pt idx="9">
                  <c:v>0.35439999999999994</c:v>
                </c:pt>
                <c:pt idx="10">
                  <c:v>0.39451999999999998</c:v>
                </c:pt>
                <c:pt idx="11">
                  <c:v>0.47358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4F-42B3-A962-313FA5A0F8CA}"/>
            </c:ext>
          </c:extLst>
        </c:ser>
        <c:ser>
          <c:idx val="4"/>
          <c:order val="4"/>
          <c:tx>
            <c:strRef>
              <c:f>Pivot!$F$3</c:f>
              <c:strCache>
                <c:ptCount val="1"/>
                <c:pt idx="0">
                  <c:v>Mittelwert von gap_vss_calc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Pivot!$A$4:$A$19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Pivot!$F$4:$F$19</c:f>
              <c:numCache>
                <c:formatCode>0.00%</c:formatCode>
                <c:ptCount val="12"/>
                <c:pt idx="0">
                  <c:v>1.7461522222222223E-5</c:v>
                </c:pt>
                <c:pt idx="1">
                  <c:v>1.7461522222222223E-5</c:v>
                </c:pt>
                <c:pt idx="2">
                  <c:v>1.7461522222222223E-5</c:v>
                </c:pt>
                <c:pt idx="3">
                  <c:v>1.7461522222222223E-5</c:v>
                </c:pt>
                <c:pt idx="4">
                  <c:v>5.908187571428571E-4</c:v>
                </c:pt>
                <c:pt idx="5">
                  <c:v>5.908187571428571E-4</c:v>
                </c:pt>
                <c:pt idx="6">
                  <c:v>5.908187571428571E-4</c:v>
                </c:pt>
                <c:pt idx="7">
                  <c:v>5.908187571428571E-4</c:v>
                </c:pt>
                <c:pt idx="8">
                  <c:v>3.5646646600000003E-3</c:v>
                </c:pt>
                <c:pt idx="9">
                  <c:v>3.5646646600000003E-3</c:v>
                </c:pt>
                <c:pt idx="10">
                  <c:v>3.5646646600000003E-3</c:v>
                </c:pt>
                <c:pt idx="11">
                  <c:v>3.5646646600000003E-3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4F-42B3-A962-313FA5A0F8CA}"/>
            </c:ext>
          </c:extLst>
        </c:ser>
        <c:ser>
          <c:idx val="5"/>
          <c:order val="5"/>
          <c:tx>
            <c:strRef>
              <c:f>Pivot!$G$3</c:f>
              <c:strCache>
                <c:ptCount val="1"/>
                <c:pt idx="0">
                  <c:v>Mittelwert von gap_hprp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Pivot!$A$4:$A$19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Pivot!$G$4:$G$19</c:f>
              <c:numCache>
                <c:formatCode>0.00%</c:formatCode>
                <c:ptCount val="12"/>
                <c:pt idx="0">
                  <c:v>7.0397999999999999E-6</c:v>
                </c:pt>
                <c:pt idx="1">
                  <c:v>1.3383866666666667E-5</c:v>
                </c:pt>
                <c:pt idx="2">
                  <c:v>1.0032944444444444E-5</c:v>
                </c:pt>
                <c:pt idx="3">
                  <c:v>1.0341244444444444E-5</c:v>
                </c:pt>
                <c:pt idx="4">
                  <c:v>5.2217705714285715E-4</c:v>
                </c:pt>
                <c:pt idx="5">
                  <c:v>3.1432257142857142E-4</c:v>
                </c:pt>
                <c:pt idx="6">
                  <c:v>2.8044689999999999E-4</c:v>
                </c:pt>
                <c:pt idx="7">
                  <c:v>1.5973214285714286E-4</c:v>
                </c:pt>
                <c:pt idx="8">
                  <c:v>2.524208E-3</c:v>
                </c:pt>
                <c:pt idx="9">
                  <c:v>1.5782993799999998E-3</c:v>
                </c:pt>
                <c:pt idx="10">
                  <c:v>1.1961289920000002E-3</c:v>
                </c:pt>
                <c:pt idx="11">
                  <c:v>1.1269617999999999E-3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4F-42B3-A962-313FA5A0F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385344"/>
        <c:axId val="445388224"/>
      </c:barChart>
      <c:catAx>
        <c:axId val="4453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388224"/>
        <c:crosses val="autoZero"/>
        <c:auto val="1"/>
        <c:lblAlgn val="ctr"/>
        <c:lblOffset val="100"/>
        <c:noMultiLvlLbl val="0"/>
      </c:catAx>
      <c:valAx>
        <c:axId val="4453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3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</cx:f>
      </cx:strDim>
      <cx:numDim type="val">
        <cx:f>_xlchart.v1.31</cx:f>
      </cx:numDim>
    </cx:data>
    <cx:data id="1">
      <cx:strDim type="cat">
        <cx:f>_xlchart.v1.29</cx:f>
      </cx:strDim>
      <cx:numDim type="val">
        <cx:f>_xlchart.v1.33</cx:f>
      </cx:numDim>
    </cx:data>
  </cx:chartData>
  <cx:chart>
    <cx:plotArea>
      <cx:plotAreaRegion>
        <cx:series layoutId="boxWhisker" uniqueId="{7EC0667D-6C3B-427E-9294-AED88322628B}" formatIdx="0">
          <cx:tx>
            <cx:txData>
              <cx:f>_xlchart.v1.30</cx:f>
              <cx:v>vss%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A0896C5-389D-4EE9-AE2C-AB35CA9B84A8}" formatIdx="1">
          <cx:tx>
            <cx:txData>
              <cx:f>_xlchart.v1.32</cx:f>
              <cx:v>vss%_max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Period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Period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majorTickMarks type="out"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</cx:f>
      </cx:strDim>
      <cx:numDim type="val">
        <cx:f>_xlchart.v1.38</cx:f>
      </cx:numDim>
    </cx:data>
    <cx:data id="1">
      <cx:strDim type="cat">
        <cx:f>_xlchart.v1.34</cx:f>
      </cx:strDim>
      <cx:numDim type="val">
        <cx:f>_xlchart.v1.40</cx:f>
      </cx:numDim>
    </cx:data>
  </cx:chartData>
  <cx:chart>
    <cx:plotArea>
      <cx:plotAreaRegion>
        <cx:series layoutId="boxWhisker" uniqueId="{7EC0667D-6C3B-427E-9294-AED88322628B}" formatIdx="0">
          <cx:tx>
            <cx:txData>
              <cx:f>_xlchart.v1.36</cx:f>
              <cx:v>vss%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A0896C5-389D-4EE9-AE2C-AB35CA9B84A8}" formatIdx="1">
          <cx:tx>
            <cx:txData>
              <cx:f>_xlchart.v1.39</cx:f>
              <cx:v>vss%_max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Retailers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Retailers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majorTickMarks type="out"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_xlchart.v1.23</cx:f>
      </cx:numDim>
    </cx:data>
    <cx:data id="1">
      <cx:strDim type="cat">
        <cx:f>_xlchart.v1.19</cx:f>
      </cx:strDim>
      <cx:numDim type="val">
        <cx:f>_xlchart.v1.25</cx:f>
      </cx:numDim>
    </cx:data>
  </cx:chartData>
  <cx:chart>
    <cx:plotArea>
      <cx:plotAreaRegion>
        <cx:series layoutId="boxWhisker" uniqueId="{40C8A94D-C883-466E-A3B7-ACE97809828C}" formatIdx="1">
          <cx:tx>
            <cx:txData>
              <cx:f>_xlchart.v1.21</cx:f>
              <cx:v>vss%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2-9470-4C3A-A0DA-86DF57D66EC7}">
          <cx:tx>
            <cx:txData>
              <cx:f>_xlchart.v1.24</cx:f>
              <cx:v>vss%_max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tle>
          <cx:tx>
            <cx:txData>
              <cx:v>Gamma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Gamma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majorTickMarks type="out"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_xlchart.v1.9</cx:f>
      </cx:numDim>
    </cx:data>
    <cx:data id="1">
      <cx:strDim type="cat">
        <cx:f>_xlchart.v1.14</cx:f>
      </cx:strDim>
      <cx:numDim type="val">
        <cx:f>_xlchart.v1.11</cx:f>
      </cx:numDim>
    </cx:data>
  </cx:chartData>
  <cx:chart>
    <cx:title pos="t" align="ctr" overlay="0">
      <cx:tx>
        <cx:txData>
          <cx:v>VSS by Instance Size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VSS by Instance Size</a:t>
          </a:r>
        </a:p>
      </cx:txPr>
    </cx:title>
    <cx:plotArea>
      <cx:plotAreaRegion>
        <cx:series layoutId="boxWhisker" uniqueId="{00000001-661C-4FFA-A68D-D3B53C4DBECF}" formatIdx="1">
          <cx:tx>
            <cx:txData>
              <cx:f>_xlchart.v1.7</cx:f>
              <cx:v>vss%</cx:v>
            </cx:txData>
          </cx:tx>
          <cx:dataId val="0"/>
          <cx:layoutPr>
            <cx:statistics quartileMethod="exclusive"/>
          </cx:layoutPr>
        </cx:series>
        <cx:series layoutId="boxWhisker" uniqueId="{00000002-661C-4FFA-A68D-D3B53C4DBECF}">
          <cx:tx>
            <cx:txData>
              <cx:f>_xlchart.v1.10</cx:f>
              <cx:v>vss%_max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Retailer Size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Retailer Size 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20</xdr:row>
      <xdr:rowOff>142875</xdr:rowOff>
    </xdr:from>
    <xdr:to>
      <xdr:col>6</xdr:col>
      <xdr:colOff>257175</xdr:colOff>
      <xdr:row>35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579BF3F-817C-1FFC-B174-44A8DAB0E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85</xdr:row>
      <xdr:rowOff>47625</xdr:rowOff>
    </xdr:from>
    <xdr:to>
      <xdr:col>5</xdr:col>
      <xdr:colOff>666750</xdr:colOff>
      <xdr:row>99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E2C42B19-496E-4AE2-A5AC-012A53617E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16240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6</xdr:col>
      <xdr:colOff>180975</xdr:colOff>
      <xdr:row>86</xdr:row>
      <xdr:rowOff>52388</xdr:rowOff>
    </xdr:from>
    <xdr:to>
      <xdr:col>12</xdr:col>
      <xdr:colOff>180975</xdr:colOff>
      <xdr:row>100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Diagramm 7">
              <a:extLst>
                <a:ext uri="{FF2B5EF4-FFF2-40B4-BE49-F238E27FC236}">
                  <a16:creationId xmlns:a16="http://schemas.microsoft.com/office/drawing/2014/main" id="{059995FA-AE9F-4396-8A84-12C35E6FE5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5" y="1643538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12</xdr:col>
      <xdr:colOff>361950</xdr:colOff>
      <xdr:row>83</xdr:row>
      <xdr:rowOff>171450</xdr:rowOff>
    </xdr:from>
    <xdr:to>
      <xdr:col>18</xdr:col>
      <xdr:colOff>200025</xdr:colOff>
      <xdr:row>98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Diagramm 8">
              <a:extLst>
                <a:ext uri="{FF2B5EF4-FFF2-40B4-BE49-F238E27FC236}">
                  <a16:creationId xmlns:a16="http://schemas.microsoft.com/office/drawing/2014/main" id="{5E46AE89-EF3E-444F-A604-E03CC843A1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20650" y="15982950"/>
              <a:ext cx="44100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104775</xdr:colOff>
      <xdr:row>99</xdr:row>
      <xdr:rowOff>166688</xdr:rowOff>
    </xdr:from>
    <xdr:to>
      <xdr:col>8</xdr:col>
      <xdr:colOff>639196</xdr:colOff>
      <xdr:row>118</xdr:row>
      <xdr:rowOff>176720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33E438D9-007F-4766-B08B-169C75181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3675" y="19026188"/>
          <a:ext cx="7316221" cy="362953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99</xdr:row>
      <xdr:rowOff>185738</xdr:rowOff>
    </xdr:from>
    <xdr:to>
      <xdr:col>18</xdr:col>
      <xdr:colOff>462813</xdr:colOff>
      <xdr:row>119</xdr:row>
      <xdr:rowOff>8435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EAA1405-5F2B-446E-B773-F4E5A7C90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72700" y="19045238"/>
          <a:ext cx="7320813" cy="3632697"/>
        </a:xfrm>
        <a:prstGeom prst="rect">
          <a:avLst/>
        </a:prstGeom>
      </xdr:spPr>
    </xdr:pic>
    <xdr:clientData/>
  </xdr:twoCellAnchor>
  <xdr:twoCellAnchor>
    <xdr:from>
      <xdr:col>2</xdr:col>
      <xdr:colOff>1238250</xdr:colOff>
      <xdr:row>118</xdr:row>
      <xdr:rowOff>90487</xdr:rowOff>
    </xdr:from>
    <xdr:to>
      <xdr:col>6</xdr:col>
      <xdr:colOff>552450</xdr:colOff>
      <xdr:row>132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Diagramm 13">
              <a:extLst>
                <a:ext uri="{FF2B5EF4-FFF2-40B4-BE49-F238E27FC236}">
                  <a16:creationId xmlns:a16="http://schemas.microsoft.com/office/drawing/2014/main" id="{CB6DAF01-DF59-98AB-7F89-64839D039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7150" y="225694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66557060185" createdVersion="8" refreshedVersion="8" minRefreshableVersion="3" recordCount="168" xr:uid="{E81D639E-F2CA-4511-B95B-BE3A0AAFCD2C}">
  <cacheSource type="worksheet">
    <worksheetSource ref="A1:S168" sheet="vss_calc_tab_I1"/>
  </cacheSource>
  <cacheFields count="19">
    <cacheField name="instance" numFmtId="0">
      <sharedItems/>
    </cacheField>
    <cacheField name="InsString" numFmtId="0">
      <sharedItems/>
    </cacheField>
    <cacheField name="Customers" numFmtId="0">
      <sharedItems count="9">
        <s v="C10"/>
        <s v="C15"/>
        <s v="C20"/>
        <s v="C25"/>
        <s v="C30"/>
        <s v="C35"/>
        <s v="C40"/>
        <s v="C45"/>
        <s v="C50"/>
      </sharedItems>
    </cacheField>
    <cacheField name="Periods" numFmtId="0">
      <sharedItems count="3">
        <s v="P3"/>
        <s v="P6"/>
        <s v="P9"/>
      </sharedItems>
    </cacheField>
    <cacheField name="MED" numFmtId="0">
      <sharedItems count="3">
        <s v="V2"/>
        <s v="V3"/>
        <s v="V4"/>
      </sharedItems>
    </cacheField>
    <cacheField name="InstType" numFmtId="0">
      <sharedItems/>
    </cacheField>
    <cacheField name="recoursegamma" numFmtId="0">
      <sharedItems containsSemiMixedTypes="0" containsString="0" containsNumber="1" minValue="1.5" maxValue="3" count="4">
        <n v="1.5"/>
        <n v="2"/>
        <n v="2.5"/>
        <n v="3"/>
      </sharedItems>
    </cacheField>
    <cacheField name="ub_vss_calc" numFmtId="0">
      <sharedItems containsSemiMixedTypes="0" containsString="0" containsNumber="1" minValue="14002" maxValue="112873.9"/>
    </cacheField>
    <cacheField name="ub_hprp" numFmtId="0">
      <sharedItems containsString="0" containsBlank="1" containsNumber="1" minValue="14002" maxValue="114115.8"/>
    </cacheField>
    <cacheField name="lb_vss_calc" numFmtId="0">
      <sharedItems containsSemiMixedTypes="0" containsString="0" containsNumber="1" minValue="14002" maxValue="112872.46189999999"/>
    </cacheField>
    <cacheField name="lb_hprp" numFmtId="0">
      <sharedItems containsString="0" containsBlank="1" containsNumber="1" minValue="14002" maxValue="110998.89810000001"/>
    </cacheField>
    <cacheField name="vss" numFmtId="0">
      <sharedItems containsString="0" containsBlank="1" containsNumber="1" minValue="-1241.9000000000001" maxValue="1255.5"/>
    </cacheField>
    <cacheField name="vss%" numFmtId="0">
      <sharedItems containsString="0" containsBlank="1" containsNumber="1" minValue="-1.0883" maxValue="2.6396999999999999"/>
    </cacheField>
    <cacheField name="vss_max" numFmtId="0">
      <sharedItems containsString="0" containsBlank="1" containsNumber="1" minValue="0" maxValue="2929.79"/>
    </cacheField>
    <cacheField name="vss%_max" numFmtId="0">
      <sharedItems containsString="0" containsBlank="1" containsNumber="1" minValue="0" maxValue="2.6396999999999999"/>
    </cacheField>
    <cacheField name="runtime_vss_calc" numFmtId="0">
      <sharedItems containsSemiMixedTypes="0" containsString="0" containsNumber="1" minValue="0.39829206499999997" maxValue="3605.0870770000001"/>
    </cacheField>
    <cacheField name="runtime_hprp" numFmtId="0">
      <sharedItems containsString="0" containsBlank="1" containsNumber="1" minValue="0.58029508600000002" maxValue="3600.3081309999998"/>
    </cacheField>
    <cacheField name="gap_vss_calc" numFmtId="0">
      <sharedItems containsMixedTypes="1" containsNumber="1" minValue="0" maxValue="1.1427807E-2"/>
    </cacheField>
    <cacheField name="gap_hprp" numFmtId="0">
      <sharedItems containsBlank="1" containsMixedTypes="1" containsNumber="1" minValue="0" maxValue="3.65566640000000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MVPRP_C10_P3_V2_I1"/>
    <s v="MVPRP"/>
    <x v="0"/>
    <x v="0"/>
    <x v="0"/>
    <s v="I1"/>
    <x v="0"/>
    <n v="14125.7"/>
    <m/>
    <n v="14125.7"/>
    <m/>
    <m/>
    <m/>
    <m/>
    <m/>
    <n v="0.39829206499999997"/>
    <m/>
    <n v="0"/>
    <m/>
  </r>
  <r>
    <s v="MVPRP_C10_P3_V2_I1"/>
    <s v="MVPRP"/>
    <x v="0"/>
    <x v="0"/>
    <x v="0"/>
    <s v="I1"/>
    <x v="1"/>
    <n v="14244.1"/>
    <m/>
    <n v="14244.1"/>
    <m/>
    <m/>
    <m/>
    <m/>
    <m/>
    <n v="0.39829206499999997"/>
    <m/>
    <n v="0"/>
    <m/>
  </r>
  <r>
    <s v="MVPRP_C10_P3_V2_I1"/>
    <s v="MVPRP"/>
    <x v="0"/>
    <x v="0"/>
    <x v="0"/>
    <s v="I1"/>
    <x v="2"/>
    <n v="14362.5"/>
    <m/>
    <n v="14362.5"/>
    <m/>
    <m/>
    <m/>
    <m/>
    <m/>
    <n v="0.39829206499999997"/>
    <m/>
    <n v="0"/>
    <m/>
  </r>
  <r>
    <s v="MVPRP_C10_P3_V2_I1"/>
    <s v="MVPRP"/>
    <x v="0"/>
    <x v="0"/>
    <x v="0"/>
    <s v="I1"/>
    <x v="3"/>
    <n v="14480.9"/>
    <n v="14480.9"/>
    <n v="14480.9"/>
    <n v="14480.9"/>
    <n v="0"/>
    <n v="0"/>
    <n v="0"/>
    <n v="0"/>
    <n v="0.39829206499999997"/>
    <n v="0.58029508600000002"/>
    <n v="0"/>
    <n v="0"/>
  </r>
  <r>
    <s v="MVPRP_C10_P3_V3_I1"/>
    <s v="MVPRP"/>
    <x v="0"/>
    <x v="0"/>
    <x v="1"/>
    <s v="I1"/>
    <x v="0"/>
    <n v="14002"/>
    <n v="14002"/>
    <n v="14002"/>
    <n v="14002"/>
    <n v="0"/>
    <n v="0"/>
    <n v="0"/>
    <n v="0"/>
    <n v="0.99974083899999999"/>
    <n v="2.1614651679999999"/>
    <n v="5.8236699999999998E-5"/>
    <n v="0"/>
  </r>
  <r>
    <s v="MVPRP_C10_P3_V3_I1"/>
    <s v="MVPRP"/>
    <x v="0"/>
    <x v="0"/>
    <x v="1"/>
    <s v="I1"/>
    <x v="1"/>
    <n v="14002"/>
    <n v="14002"/>
    <n v="14002"/>
    <n v="14002"/>
    <n v="0"/>
    <n v="0"/>
    <n v="0"/>
    <n v="0"/>
    <n v="0.99974083899999999"/>
    <n v="0.89143776900000005"/>
    <n v="5.8236699999999998E-5"/>
    <n v="0"/>
  </r>
  <r>
    <s v="MVPRP_C10_P3_V3_I1"/>
    <s v="MVPRP"/>
    <x v="0"/>
    <x v="0"/>
    <x v="1"/>
    <s v="I1"/>
    <x v="2"/>
    <n v="14002"/>
    <n v="14002"/>
    <n v="14002"/>
    <n v="14002"/>
    <n v="0"/>
    <n v="0"/>
    <n v="0"/>
    <n v="0"/>
    <n v="0.99974083899999999"/>
    <n v="0.91344809500000002"/>
    <n v="5.8236699999999998E-5"/>
    <n v="0"/>
  </r>
  <r>
    <s v="MVPRP_C10_P3_V3_I1"/>
    <s v="MVPRP"/>
    <x v="0"/>
    <x v="0"/>
    <x v="1"/>
    <s v="I1"/>
    <x v="3"/>
    <n v="14002"/>
    <n v="14002"/>
    <n v="14002"/>
    <n v="14002"/>
    <n v="0"/>
    <n v="0"/>
    <n v="0"/>
    <n v="0"/>
    <n v="0.99974083899999999"/>
    <n v="1.2103564739999999"/>
    <n v="5.8236699999999998E-5"/>
    <n v="0"/>
  </r>
  <r>
    <s v="MVPRP_C10_P6_V2_I1"/>
    <s v="MVPRP"/>
    <x v="0"/>
    <x v="1"/>
    <x v="0"/>
    <s v="I1"/>
    <x v="0"/>
    <n v="29874.15"/>
    <m/>
    <n v="29874.15"/>
    <m/>
    <m/>
    <m/>
    <m/>
    <m/>
    <n v="1.7954726219999999"/>
    <m/>
    <n v="0"/>
    <m/>
  </r>
  <r>
    <s v="MVPRP_C10_P6_V2_I1"/>
    <s v="MVPRP"/>
    <x v="0"/>
    <x v="1"/>
    <x v="0"/>
    <s v="I1"/>
    <x v="1"/>
    <n v="30069.4"/>
    <m/>
    <n v="30069.4"/>
    <m/>
    <m/>
    <m/>
    <m/>
    <m/>
    <n v="1.7954726219999999"/>
    <m/>
    <n v="0"/>
    <m/>
  </r>
  <r>
    <s v="MVPRP_C10_P6_V2_I1"/>
    <s v="MVPRP"/>
    <x v="0"/>
    <x v="1"/>
    <x v="0"/>
    <s v="I1"/>
    <x v="2"/>
    <n v="30264.65"/>
    <m/>
    <n v="30264.65"/>
    <m/>
    <m/>
    <m/>
    <m/>
    <m/>
    <n v="1.7954726219999999"/>
    <m/>
    <n v="0"/>
    <m/>
  </r>
  <r>
    <s v="MVPRP_C10_P6_V2_I1"/>
    <s v="MVPRP"/>
    <x v="0"/>
    <x v="1"/>
    <x v="0"/>
    <s v="I1"/>
    <x v="3"/>
    <n v="30459.9"/>
    <n v="30459.9"/>
    <n v="30459.9"/>
    <n v="30459.9"/>
    <n v="0"/>
    <n v="0"/>
    <n v="0"/>
    <n v="0"/>
    <n v="1.7954726219999999"/>
    <n v="2.017516375"/>
    <n v="0"/>
    <n v="0"/>
  </r>
  <r>
    <s v="MVPRP_C10_P6_V3_I1"/>
    <s v="MVPRP"/>
    <x v="0"/>
    <x v="1"/>
    <x v="1"/>
    <s v="I1"/>
    <x v="0"/>
    <n v="29920.9"/>
    <n v="29907.85"/>
    <n v="29920.9"/>
    <n v="29907.85"/>
    <n v="13.05"/>
    <n v="4.36E-2"/>
    <n v="13.05"/>
    <n v="4.36E-2"/>
    <n v="7.6092712880000004"/>
    <n v="5.1943151949999997"/>
    <n v="0"/>
    <n v="0"/>
  </r>
  <r>
    <s v="MVPRP_C10_P6_V3_I1"/>
    <s v="MVPRP"/>
    <x v="0"/>
    <x v="1"/>
    <x v="1"/>
    <s v="I1"/>
    <x v="1"/>
    <n v="29944.400000000001"/>
    <n v="29940"/>
    <n v="29944.400000000001"/>
    <n v="29940"/>
    <n v="4.4000000000000004"/>
    <n v="1.47E-2"/>
    <n v="4.4000000000000004"/>
    <n v="1.47E-2"/>
    <n v="7.6092712880000004"/>
    <n v="2.6720535760000002"/>
    <n v="0"/>
    <n v="0"/>
  </r>
  <r>
    <s v="MVPRP_C10_P6_V3_I1"/>
    <s v="MVPRP"/>
    <x v="0"/>
    <x v="1"/>
    <x v="1"/>
    <s v="I1"/>
    <x v="2"/>
    <n v="29967.9"/>
    <n v="29940"/>
    <n v="29967.9"/>
    <n v="29940"/>
    <n v="27.9"/>
    <n v="9.3200000000000005E-2"/>
    <n v="27.9"/>
    <n v="9.3200000000000005E-2"/>
    <n v="7.6092712880000004"/>
    <n v="2.666111946"/>
    <n v="0"/>
    <n v="0"/>
  </r>
  <r>
    <s v="MVPRP_C10_P6_V3_I1"/>
    <s v="MVPRP"/>
    <x v="0"/>
    <x v="1"/>
    <x v="1"/>
    <s v="I1"/>
    <x v="3"/>
    <n v="29991.4"/>
    <n v="29940"/>
    <n v="29991.4"/>
    <n v="29940"/>
    <n v="51.4"/>
    <n v="0.17169999999999999"/>
    <n v="51.4"/>
    <n v="0.17169999999999999"/>
    <n v="7.6092712880000004"/>
    <n v="2.9715235230000001"/>
    <n v="0"/>
    <n v="0"/>
  </r>
  <r>
    <s v="MVPRP_C10_P9_V2_I1"/>
    <s v="MVPRP"/>
    <x v="0"/>
    <x v="2"/>
    <x v="0"/>
    <s v="I1"/>
    <x v="0"/>
    <n v="51578.8"/>
    <m/>
    <n v="51578.8"/>
    <m/>
    <m/>
    <m/>
    <m/>
    <m/>
    <n v="19.168308499999998"/>
    <m/>
    <n v="0"/>
    <m/>
  </r>
  <r>
    <s v="MVPRP_C10_P9_V2_I1"/>
    <s v="MVPRP"/>
    <x v="0"/>
    <x v="2"/>
    <x v="0"/>
    <s v="I1"/>
    <x v="1"/>
    <n v="52013.5"/>
    <m/>
    <n v="52013.5"/>
    <m/>
    <m/>
    <m/>
    <m/>
    <m/>
    <n v="19.168308499999998"/>
    <m/>
    <n v="0"/>
    <m/>
  </r>
  <r>
    <s v="MVPRP_C10_P9_V2_I1"/>
    <s v="MVPRP"/>
    <x v="0"/>
    <x v="2"/>
    <x v="0"/>
    <s v="I1"/>
    <x v="2"/>
    <n v="52448.2"/>
    <m/>
    <n v="52448.2"/>
    <m/>
    <m/>
    <m/>
    <m/>
    <m/>
    <n v="19.168308499999998"/>
    <m/>
    <n v="0"/>
    <m/>
  </r>
  <r>
    <s v="MVPRP_C10_P9_V2_I1"/>
    <s v="MVPRP"/>
    <x v="0"/>
    <x v="2"/>
    <x v="0"/>
    <s v="I1"/>
    <x v="3"/>
    <n v="52882.9"/>
    <n v="52882.9"/>
    <n v="52882.9"/>
    <n v="52882.9"/>
    <n v="0"/>
    <n v="0"/>
    <n v="0"/>
    <n v="0"/>
    <n v="19.168308499999998"/>
    <n v="5.2121219639999996"/>
    <n v="0"/>
    <n v="0"/>
  </r>
  <r>
    <s v="MVPRP_C10_P9_V3_I1"/>
    <s v="MVPRP"/>
    <x v="0"/>
    <x v="2"/>
    <x v="1"/>
    <s v="I1"/>
    <x v="0"/>
    <n v="51790.7"/>
    <n v="51790.699910000003"/>
    <n v="51790.7"/>
    <n v="51790.699910000003"/>
    <n v="0"/>
    <n v="0"/>
    <n v="0"/>
    <n v="0"/>
    <n v="71.930509090000001"/>
    <n v="61.38288593"/>
    <n v="0"/>
    <n v="0"/>
  </r>
  <r>
    <s v="MVPRP_C10_P9_V3_I1"/>
    <s v="MVPRP"/>
    <x v="0"/>
    <x v="2"/>
    <x v="1"/>
    <s v="I1"/>
    <x v="1"/>
    <n v="51914.400000000001"/>
    <n v="51911.6"/>
    <n v="51914.400000000001"/>
    <n v="51911.6"/>
    <n v="2.8"/>
    <n v="5.4000000000000003E-3"/>
    <n v="2.8"/>
    <n v="5.4000000000000003E-3"/>
    <n v="71.930509090000001"/>
    <n v="35.950020070000001"/>
    <n v="0"/>
    <n v="0"/>
  </r>
  <r>
    <s v="MVPRP_C10_P9_V3_I1"/>
    <s v="MVPRP"/>
    <x v="0"/>
    <x v="2"/>
    <x v="1"/>
    <s v="I1"/>
    <x v="2"/>
    <n v="51997.599999999999"/>
    <n v="51991.1"/>
    <n v="51997.599999999999"/>
    <n v="51991.1"/>
    <n v="6.5"/>
    <n v="1.2500000000000001E-2"/>
    <n v="6.5"/>
    <n v="1.2500000000000001E-2"/>
    <n v="71.930509090000001"/>
    <n v="33.114485029999997"/>
    <n v="0"/>
    <n v="0"/>
  </r>
  <r>
    <s v="MVPRP_C10_P9_V3_I1"/>
    <s v="MVPRP"/>
    <x v="0"/>
    <x v="2"/>
    <x v="1"/>
    <s v="I1"/>
    <x v="3"/>
    <n v="52080.800000000003"/>
    <n v="52070.6"/>
    <n v="52080.800000000003"/>
    <n v="52070.6"/>
    <n v="10.199999999999999"/>
    <n v="1.9599999999999999E-2"/>
    <n v="10.199999999999999"/>
    <n v="1.9599999999999999E-2"/>
    <n v="71.930509090000001"/>
    <n v="33.002681969999998"/>
    <n v="0"/>
    <n v="0"/>
  </r>
  <r>
    <s v="MVPRP_C15_P3_V2_I1"/>
    <s v="MVPRP"/>
    <x v="1"/>
    <x v="0"/>
    <x v="0"/>
    <s v="I1"/>
    <x v="0"/>
    <n v="19975.849999999999"/>
    <m/>
    <n v="19975.849999999999"/>
    <m/>
    <m/>
    <m/>
    <m/>
    <m/>
    <n v="2.210215807"/>
    <m/>
    <s v="1,81107e-05"/>
    <m/>
  </r>
  <r>
    <s v="MVPRP_C15_P3_V2_I1"/>
    <s v="MVPRP"/>
    <x v="1"/>
    <x v="0"/>
    <x v="0"/>
    <s v="I1"/>
    <x v="1"/>
    <n v="20280.599999999999"/>
    <m/>
    <n v="20280.599999999999"/>
    <m/>
    <m/>
    <m/>
    <m/>
    <m/>
    <n v="2.210215807"/>
    <m/>
    <s v="1,81107e-05"/>
    <m/>
  </r>
  <r>
    <s v="MVPRP_C15_P3_V2_I1"/>
    <s v="MVPRP"/>
    <x v="1"/>
    <x v="0"/>
    <x v="0"/>
    <s v="I1"/>
    <x v="2"/>
    <n v="20553.849999999999"/>
    <m/>
    <n v="20553.849999999999"/>
    <m/>
    <m/>
    <m/>
    <m/>
    <m/>
    <n v="2.210215807"/>
    <m/>
    <s v="1,81107e-05"/>
    <m/>
  </r>
  <r>
    <s v="MVPRP_C15_P3_V2_I1"/>
    <s v="MVPRP"/>
    <x v="1"/>
    <x v="0"/>
    <x v="0"/>
    <s v="I1"/>
    <x v="3"/>
    <n v="20827.099999999999"/>
    <n v="20511.5"/>
    <n v="20827.099999999999"/>
    <n v="20511.5"/>
    <n v="315.60000000000002"/>
    <n v="1.5386"/>
    <n v="315.60000000000002"/>
    <n v="1.5386"/>
    <n v="2.210215807"/>
    <n v="4.4270796780000001"/>
    <s v="1,81107e-05"/>
    <n v="0"/>
  </r>
  <r>
    <s v="MVPRP_C15_P3_V3_I1"/>
    <s v="MVPRP"/>
    <x v="1"/>
    <x v="0"/>
    <x v="1"/>
    <s v="I1"/>
    <x v="0"/>
    <n v="19645"/>
    <n v="19645"/>
    <n v="19645"/>
    <n v="19645"/>
    <n v="0"/>
    <n v="0"/>
    <n v="0"/>
    <n v="0"/>
    <n v="7.2956309319999999"/>
    <n v="6.688954592"/>
    <n v="0"/>
    <n v="0"/>
  </r>
  <r>
    <s v="MVPRP_C15_P3_V3_I1"/>
    <s v="MVPRP"/>
    <x v="1"/>
    <x v="0"/>
    <x v="1"/>
    <s v="I1"/>
    <x v="1"/>
    <n v="19680"/>
    <n v="19680"/>
    <n v="19680"/>
    <n v="19680"/>
    <n v="0"/>
    <n v="0"/>
    <n v="0"/>
    <n v="0"/>
    <n v="7.2956309319999999"/>
    <n v="4.0539736749999999"/>
    <n v="0"/>
    <n v="0"/>
  </r>
  <r>
    <s v="MVPRP_C15_P3_V3_I1"/>
    <s v="MVPRP"/>
    <x v="1"/>
    <x v="0"/>
    <x v="1"/>
    <s v="I1"/>
    <x v="2"/>
    <n v="19683.5"/>
    <n v="19683.5"/>
    <n v="19683.5"/>
    <n v="19683.5"/>
    <n v="0"/>
    <n v="0"/>
    <n v="0"/>
    <n v="0"/>
    <n v="7.2956309319999999"/>
    <n v="3.5577590469999998"/>
    <n v="0"/>
    <n v="0"/>
  </r>
  <r>
    <s v="MVPRP_C15_P3_V3_I1"/>
    <s v="MVPRP"/>
    <x v="1"/>
    <x v="0"/>
    <x v="1"/>
    <s v="I1"/>
    <x v="3"/>
    <n v="19687"/>
    <n v="19687"/>
    <n v="19687"/>
    <n v="19687"/>
    <n v="0"/>
    <n v="0"/>
    <n v="0"/>
    <n v="0"/>
    <n v="7.2956309319999999"/>
    <n v="5.0368688109999997"/>
    <n v="0"/>
    <n v="0"/>
  </r>
  <r>
    <s v="MVPRP_C15_P6_V2_I1"/>
    <s v="MVPRP"/>
    <x v="1"/>
    <x v="1"/>
    <x v="0"/>
    <s v="I1"/>
    <x v="0"/>
    <n v="42322.75"/>
    <m/>
    <n v="42322.75"/>
    <m/>
    <m/>
    <m/>
    <m/>
    <m/>
    <n v="13.121416809999999"/>
    <m/>
    <n v="0"/>
    <m/>
  </r>
  <r>
    <s v="MVPRP_C15_P6_V2_I1"/>
    <s v="MVPRP"/>
    <x v="1"/>
    <x v="1"/>
    <x v="0"/>
    <s v="I1"/>
    <x v="1"/>
    <n v="42724.9"/>
    <m/>
    <n v="42724.9"/>
    <m/>
    <m/>
    <m/>
    <m/>
    <m/>
    <n v="13.121416809999999"/>
    <m/>
    <n v="0"/>
    <m/>
  </r>
  <r>
    <s v="MVPRP_C15_P6_V2_I1"/>
    <s v="MVPRP"/>
    <x v="1"/>
    <x v="1"/>
    <x v="0"/>
    <s v="I1"/>
    <x v="2"/>
    <n v="43127.05"/>
    <m/>
    <n v="43127.05"/>
    <m/>
    <m/>
    <m/>
    <m/>
    <m/>
    <n v="13.121416809999999"/>
    <m/>
    <n v="0"/>
    <m/>
  </r>
  <r>
    <s v="MVPRP_C15_P6_V2_I1"/>
    <s v="MVPRP"/>
    <x v="1"/>
    <x v="1"/>
    <x v="0"/>
    <s v="I1"/>
    <x v="3"/>
    <n v="43529.2"/>
    <n v="43302.1"/>
    <n v="43529.2"/>
    <n v="43302.1"/>
    <n v="227.1"/>
    <n v="0.52449999999999997"/>
    <n v="227.1"/>
    <n v="0.52449999999999997"/>
    <n v="13.121416809999999"/>
    <n v="7.5187520980000002"/>
    <n v="0"/>
    <n v="0"/>
  </r>
  <r>
    <s v="MVPRP_C15_P6_V3_I1"/>
    <s v="MVPRP"/>
    <x v="1"/>
    <x v="1"/>
    <x v="1"/>
    <s v="I1"/>
    <x v="0"/>
    <n v="42179"/>
    <n v="42156.5"/>
    <n v="42179"/>
    <n v="42156.5"/>
    <n v="22.5"/>
    <n v="5.3400000000000003E-2"/>
    <n v="22.5"/>
    <n v="5.3400000000000003E-2"/>
    <n v="252.8129241"/>
    <n v="35.227037430000003"/>
    <n v="7.7013299999999997E-5"/>
    <n v="0"/>
  </r>
  <r>
    <s v="MVPRP_C15_P6_V3_I1"/>
    <s v="MVPRP"/>
    <x v="1"/>
    <x v="1"/>
    <x v="1"/>
    <s v="I1"/>
    <x v="1"/>
    <n v="42247.199999999997"/>
    <n v="42232.1"/>
    <n v="42247.199999999997"/>
    <n v="42232.1"/>
    <n v="15.1"/>
    <n v="3.5799999999999998E-2"/>
    <n v="15.1"/>
    <n v="3.5799999999999998E-2"/>
    <n v="252.8129241"/>
    <n v="12.88883519"/>
    <n v="7.7013299999999997E-5"/>
    <n v="0"/>
  </r>
  <r>
    <s v="MVPRP_C15_P6_V3_I1"/>
    <s v="MVPRP"/>
    <x v="1"/>
    <x v="1"/>
    <x v="1"/>
    <s v="I1"/>
    <x v="2"/>
    <n v="42283.9"/>
    <n v="42257.15"/>
    <n v="42283.9"/>
    <n v="42257.15"/>
    <n v="26.75"/>
    <n v="6.3299999999999995E-2"/>
    <n v="26.75"/>
    <n v="6.3299999999999995E-2"/>
    <n v="252.8129241"/>
    <n v="12.64476657"/>
    <n v="7.7013299999999997E-5"/>
    <n v="0"/>
  </r>
  <r>
    <s v="MVPRP_C15_P6_V3_I1"/>
    <s v="MVPRP"/>
    <x v="1"/>
    <x v="1"/>
    <x v="1"/>
    <s v="I1"/>
    <x v="3"/>
    <n v="42320.6"/>
    <n v="42282.2"/>
    <n v="42320.6"/>
    <n v="42282.2"/>
    <n v="38.4"/>
    <n v="9.0800000000000006E-2"/>
    <n v="38.4"/>
    <n v="9.0800000000000006E-2"/>
    <n v="252.8129241"/>
    <n v="13.22247434"/>
    <n v="7.7013299999999997E-5"/>
    <n v="0"/>
  </r>
  <r>
    <s v="MVPRP_C15_P9_V2_I1"/>
    <s v="MVPRP"/>
    <x v="1"/>
    <x v="2"/>
    <x v="0"/>
    <s v="I1"/>
    <x v="0"/>
    <n v="74827.3"/>
    <m/>
    <n v="74827.3"/>
    <m/>
    <m/>
    <m/>
    <m/>
    <m/>
    <n v="2617.864454"/>
    <m/>
    <s v="4,06081e-05"/>
    <m/>
  </r>
  <r>
    <s v="MVPRP_C15_P9_V2_I1"/>
    <s v="MVPRP"/>
    <x v="1"/>
    <x v="2"/>
    <x v="0"/>
    <s v="I1"/>
    <x v="1"/>
    <n v="75810.100000000006"/>
    <m/>
    <n v="75810.100000000006"/>
    <m/>
    <m/>
    <m/>
    <m/>
    <m/>
    <n v="2617.864454"/>
    <m/>
    <s v="4,06081e-05"/>
    <m/>
  </r>
  <r>
    <s v="MVPRP_C15_P9_V2_I1"/>
    <s v="MVPRP"/>
    <x v="1"/>
    <x v="2"/>
    <x v="0"/>
    <s v="I1"/>
    <x v="2"/>
    <n v="76768.399999999994"/>
    <m/>
    <n v="76768.399999999994"/>
    <m/>
    <m/>
    <m/>
    <m/>
    <m/>
    <n v="2617.864454"/>
    <m/>
    <s v="4,06081e-05"/>
    <m/>
  </r>
  <r>
    <s v="MVPRP_C15_P9_V2_I1"/>
    <s v="MVPRP"/>
    <x v="1"/>
    <x v="2"/>
    <x v="0"/>
    <s v="I1"/>
    <x v="3"/>
    <n v="77726.7"/>
    <n v="77471.7"/>
    <n v="77726.7"/>
    <n v="77471.7"/>
    <n v="255"/>
    <n v="0.32919999999999999"/>
    <n v="255"/>
    <n v="0.32919999999999999"/>
    <n v="2617.864454"/>
    <n v="187.75795890000001"/>
    <s v="4,06081e-05"/>
    <n v="0"/>
  </r>
  <r>
    <s v="MVPRP_C15_P9_V3_I1"/>
    <s v="MVPRP"/>
    <x v="1"/>
    <x v="2"/>
    <x v="1"/>
    <s v="I1"/>
    <x v="0"/>
    <n v="75025.600000000006"/>
    <n v="74827.999849999993"/>
    <n v="75024.261259999999"/>
    <n v="74382.293130000005"/>
    <n v="197.6"/>
    <n v="0.2641"/>
    <n v="643.30999999999995"/>
    <n v="0.85970000000000002"/>
    <n v="3601.2655890000001"/>
    <n v="3600.0747190000002"/>
    <n v="1.0956858E-2"/>
    <n v="5.956416E-3"/>
  </r>
  <r>
    <s v="MVPRP_C15_P9_V3_I1"/>
    <s v="MVPRP"/>
    <x v="1"/>
    <x v="2"/>
    <x v="1"/>
    <s v="I1"/>
    <x v="1"/>
    <n v="75289.3"/>
    <n v="75096.599910000004"/>
    <n v="75287.961259999996"/>
    <n v="74861.929170000003"/>
    <n v="192.7"/>
    <n v="0.25659999999999999"/>
    <n v="427.37"/>
    <n v="0.56910000000000005"/>
    <n v="3601.2655890000001"/>
    <n v="3600.077464"/>
    <n v="1.0956858E-2"/>
    <n v="3.124918E-3"/>
  </r>
  <r>
    <s v="MVPRP_C15_P9_V3_I1"/>
    <s v="MVPRP"/>
    <x v="1"/>
    <x v="2"/>
    <x v="1"/>
    <s v="I1"/>
    <x v="2"/>
    <n v="75540.850000000006"/>
    <n v="75244.049060000005"/>
    <n v="75539.511259999999"/>
    <n v="75175.524170000004"/>
    <n v="296.8"/>
    <n v="0.39450000000000002"/>
    <n v="365.33"/>
    <n v="0.48549999999999999"/>
    <n v="3601.2655890000001"/>
    <n v="3600.0604699999999"/>
    <n v="1.0956858E-2"/>
    <n v="9.10702E-4"/>
  </r>
  <r>
    <s v="MVPRP_C15_P9_V3_I1"/>
    <s v="MVPRP"/>
    <x v="1"/>
    <x v="2"/>
    <x v="1"/>
    <s v="I1"/>
    <x v="3"/>
    <n v="75792.399999999994"/>
    <n v="75387.5"/>
    <n v="75790.961559999996"/>
    <n v="75387.5"/>
    <n v="404.9"/>
    <n v="0.53710000000000002"/>
    <n v="404.9"/>
    <n v="0.53710000000000002"/>
    <n v="3601.2655890000001"/>
    <n v="2016.278219"/>
    <n v="1.0956858E-2"/>
    <n v="0"/>
  </r>
  <r>
    <s v="MVPRP_C20_P3_V2_I1"/>
    <s v="MVPRP"/>
    <x v="2"/>
    <x v="0"/>
    <x v="0"/>
    <s v="I1"/>
    <x v="0"/>
    <n v="22715.1"/>
    <m/>
    <n v="22715.1"/>
    <m/>
    <m/>
    <m/>
    <m/>
    <m/>
    <n v="1.5904505250000001"/>
    <m/>
    <s v="9,48094e-05"/>
    <m/>
  </r>
  <r>
    <s v="MVPRP_C20_P3_V2_I1"/>
    <s v="MVPRP"/>
    <x v="2"/>
    <x v="0"/>
    <x v="0"/>
    <s v="I1"/>
    <x v="1"/>
    <n v="22974.6"/>
    <m/>
    <n v="22974.6"/>
    <m/>
    <m/>
    <m/>
    <m/>
    <m/>
    <n v="1.5904505250000001"/>
    <m/>
    <s v="9,48094e-05"/>
    <m/>
  </r>
  <r>
    <s v="MVPRP_C20_P3_V2_I1"/>
    <s v="MVPRP"/>
    <x v="2"/>
    <x v="0"/>
    <x v="0"/>
    <s v="I1"/>
    <x v="2"/>
    <n v="23234.1"/>
    <m/>
    <n v="23234.1"/>
    <m/>
    <m/>
    <m/>
    <m/>
    <m/>
    <n v="1.5904505250000001"/>
    <m/>
    <s v="9,48094e-05"/>
    <m/>
  </r>
  <r>
    <s v="MVPRP_C20_P3_V2_I1"/>
    <s v="MVPRP"/>
    <x v="2"/>
    <x v="0"/>
    <x v="0"/>
    <s v="I1"/>
    <x v="3"/>
    <n v="23493.599999999999"/>
    <n v="23484.9"/>
    <n v="23493.599999999999"/>
    <n v="23484.9"/>
    <n v="8.6999999999999993"/>
    <n v="3.6999999999999998E-2"/>
    <n v="8.6999999999999993"/>
    <n v="3.6999999999999998E-2"/>
    <n v="1.5904505250000001"/>
    <n v="2.0904636380000001"/>
    <s v="9,48094e-05"/>
    <n v="0"/>
  </r>
  <r>
    <s v="MVPRP_C20_P3_V3_I1"/>
    <s v="MVPRP"/>
    <x v="2"/>
    <x v="0"/>
    <x v="1"/>
    <s v="I1"/>
    <x v="0"/>
    <n v="22384.6"/>
    <n v="22384.6"/>
    <n v="22384.6"/>
    <n v="22384.6"/>
    <n v="0"/>
    <n v="0"/>
    <n v="0"/>
    <n v="0"/>
    <n v="7.5493636129999997"/>
    <n v="5.7958722109999998"/>
    <n v="0"/>
    <n v="0"/>
  </r>
  <r>
    <s v="MVPRP_C20_P3_V3_I1"/>
    <s v="MVPRP"/>
    <x v="2"/>
    <x v="0"/>
    <x v="1"/>
    <s v="I1"/>
    <x v="1"/>
    <n v="22402.5"/>
    <n v="22402.5"/>
    <n v="22402.5"/>
    <n v="22402.5"/>
    <n v="0"/>
    <n v="0"/>
    <n v="0"/>
    <n v="0"/>
    <n v="7.5493636129999997"/>
    <n v="8.3497776990000006"/>
    <n v="0"/>
    <n v="0"/>
  </r>
  <r>
    <s v="MVPRP_C20_P3_V3_I1"/>
    <s v="MVPRP"/>
    <x v="2"/>
    <x v="0"/>
    <x v="1"/>
    <s v="I1"/>
    <x v="2"/>
    <n v="22420.400000000001"/>
    <n v="22420.400000000001"/>
    <n v="22420.400000000001"/>
    <n v="22420.400000000001"/>
    <n v="0"/>
    <n v="0"/>
    <n v="0"/>
    <n v="0"/>
    <n v="7.5493636129999997"/>
    <n v="4.526210785"/>
    <n v="0"/>
    <n v="0"/>
  </r>
  <r>
    <s v="MVPRP_C20_P3_V3_I1"/>
    <s v="MVPRP"/>
    <x v="2"/>
    <x v="0"/>
    <x v="1"/>
    <s v="I1"/>
    <x v="3"/>
    <n v="22438.3"/>
    <n v="22438.3"/>
    <n v="22438.3"/>
    <n v="22438.3"/>
    <n v="0"/>
    <n v="0"/>
    <n v="0"/>
    <n v="0"/>
    <n v="7.5493636129999997"/>
    <n v="3.8837537769999999"/>
    <n v="0"/>
    <n v="0"/>
  </r>
  <r>
    <s v="MVPRP_C20_P6_V2_I1"/>
    <s v="MVPRP"/>
    <x v="2"/>
    <x v="1"/>
    <x v="0"/>
    <s v="I1"/>
    <x v="0"/>
    <n v="48157.15"/>
    <m/>
    <n v="48157.15"/>
    <m/>
    <m/>
    <m/>
    <m/>
    <m/>
    <n v="10.83574891"/>
    <m/>
    <n v="0"/>
    <m/>
  </r>
  <r>
    <s v="MVPRP_C20_P6_V2_I1"/>
    <s v="MVPRP"/>
    <x v="2"/>
    <x v="1"/>
    <x v="0"/>
    <s v="I1"/>
    <x v="1"/>
    <n v="48552.9"/>
    <m/>
    <n v="48552.9"/>
    <m/>
    <m/>
    <m/>
    <m/>
    <m/>
    <n v="10.83574891"/>
    <m/>
    <n v="0"/>
    <m/>
  </r>
  <r>
    <s v="MVPRP_C20_P6_V2_I1"/>
    <s v="MVPRP"/>
    <x v="2"/>
    <x v="1"/>
    <x v="0"/>
    <s v="I1"/>
    <x v="2"/>
    <n v="48948.65"/>
    <m/>
    <n v="48948.65"/>
    <m/>
    <m/>
    <m/>
    <m/>
    <m/>
    <n v="10.83574891"/>
    <m/>
    <n v="0"/>
    <m/>
  </r>
  <r>
    <s v="MVPRP_C20_P6_V2_I1"/>
    <s v="MVPRP"/>
    <x v="2"/>
    <x v="1"/>
    <x v="0"/>
    <s v="I1"/>
    <x v="3"/>
    <n v="49344.4"/>
    <n v="49276.7"/>
    <n v="49344.4"/>
    <n v="49276.7"/>
    <n v="67.7"/>
    <n v="0.13739999999999999"/>
    <n v="67.7"/>
    <n v="0.13739999999999999"/>
    <n v="10.83574891"/>
    <n v="10.76148152"/>
    <n v="0"/>
    <n v="0"/>
  </r>
  <r>
    <s v="MVPRP_C20_P6_V3_I1"/>
    <s v="MVPRP"/>
    <x v="2"/>
    <x v="1"/>
    <x v="1"/>
    <s v="I1"/>
    <x v="0"/>
    <n v="47690.6"/>
    <n v="47690.59996"/>
    <n v="47690.6"/>
    <n v="47690.59996"/>
    <n v="0"/>
    <n v="0"/>
    <n v="0"/>
    <n v="0"/>
    <n v="32.70352054"/>
    <n v="23.012901540000001"/>
    <n v="0"/>
    <n v="0"/>
  </r>
  <r>
    <s v="MVPRP_C20_P6_V3_I1"/>
    <s v="MVPRP"/>
    <x v="2"/>
    <x v="1"/>
    <x v="1"/>
    <s v="I1"/>
    <x v="1"/>
    <n v="47708.5"/>
    <n v="47708.5"/>
    <n v="47708.5"/>
    <n v="47708.5"/>
    <n v="0"/>
    <n v="0"/>
    <n v="0"/>
    <n v="0"/>
    <n v="32.70352054"/>
    <n v="14.875381709999999"/>
    <n v="0"/>
    <n v="0"/>
  </r>
  <r>
    <s v="MVPRP_C20_P6_V3_I1"/>
    <s v="MVPRP"/>
    <x v="2"/>
    <x v="1"/>
    <x v="1"/>
    <s v="I1"/>
    <x v="2"/>
    <n v="47726.400000000001"/>
    <n v="47726.400000000001"/>
    <n v="47726.400000000001"/>
    <n v="47726.400000000001"/>
    <n v="0"/>
    <n v="0"/>
    <n v="0"/>
    <n v="0"/>
    <n v="32.70352054"/>
    <n v="15.28426194"/>
    <n v="0"/>
    <n v="0"/>
  </r>
  <r>
    <s v="MVPRP_C20_P6_V3_I1"/>
    <s v="MVPRP"/>
    <x v="2"/>
    <x v="1"/>
    <x v="1"/>
    <s v="I1"/>
    <x v="3"/>
    <n v="47744.3"/>
    <n v="47744.3"/>
    <n v="47744.3"/>
    <n v="47744.3"/>
    <n v="0"/>
    <n v="0"/>
    <n v="0"/>
    <n v="0"/>
    <n v="32.70352054"/>
    <n v="14.88903928"/>
    <n v="0"/>
    <n v="0"/>
  </r>
  <r>
    <s v="MVPRP_C20_P9_V2_I1"/>
    <s v="MVPRP"/>
    <x v="2"/>
    <x v="2"/>
    <x v="0"/>
    <s v="I1"/>
    <x v="0"/>
    <n v="83921.3"/>
    <m/>
    <n v="83921.3"/>
    <m/>
    <m/>
    <m/>
    <m/>
    <m/>
    <n v="130.6018167"/>
    <m/>
    <n v="0"/>
    <m/>
  </r>
  <r>
    <s v="MVPRP_C20_P9_V2_I1"/>
    <s v="MVPRP"/>
    <x v="2"/>
    <x v="2"/>
    <x v="0"/>
    <s v="I1"/>
    <x v="1"/>
    <n v="84939.9"/>
    <m/>
    <n v="84939.9"/>
    <m/>
    <m/>
    <m/>
    <m/>
    <m/>
    <n v="130.6018167"/>
    <m/>
    <n v="0"/>
    <m/>
  </r>
  <r>
    <s v="MVPRP_C20_P9_V2_I1"/>
    <s v="MVPRP"/>
    <x v="2"/>
    <x v="2"/>
    <x v="0"/>
    <s v="I1"/>
    <x v="2"/>
    <n v="85958.5"/>
    <m/>
    <n v="85958.5"/>
    <m/>
    <m/>
    <m/>
    <m/>
    <m/>
    <n v="130.6018167"/>
    <m/>
    <n v="0"/>
    <m/>
  </r>
  <r>
    <s v="MVPRP_C20_P9_V2_I1"/>
    <s v="MVPRP"/>
    <x v="2"/>
    <x v="2"/>
    <x v="0"/>
    <s v="I1"/>
    <x v="3"/>
    <n v="86977.1"/>
    <n v="86751.699989999994"/>
    <n v="86977.1"/>
    <n v="86751.699989999994"/>
    <n v="225.4"/>
    <n v="0.25979999999999998"/>
    <n v="225.4"/>
    <n v="0.25979999999999998"/>
    <n v="130.6018167"/>
    <n v="125.520921"/>
    <n v="0"/>
    <n v="0"/>
  </r>
  <r>
    <s v="MVPRP_C20_P9_V3_I1"/>
    <s v="MVPRP"/>
    <x v="2"/>
    <x v="2"/>
    <x v="1"/>
    <s v="I1"/>
    <x v="0"/>
    <n v="82863.8"/>
    <n v="82766.2"/>
    <n v="82863.8"/>
    <n v="82766.2"/>
    <n v="97.6"/>
    <n v="0.1179"/>
    <n v="97.6"/>
    <n v="0.1179"/>
    <n v="557.0954759"/>
    <n v="377.42428539999997"/>
    <n v="8.2073300000000006E-5"/>
    <n v="0"/>
  </r>
  <r>
    <s v="MVPRP_C20_P9_V3_I1"/>
    <s v="MVPRP"/>
    <x v="2"/>
    <x v="2"/>
    <x v="1"/>
    <s v="I1"/>
    <x v="1"/>
    <n v="83014.3"/>
    <n v="82956.899999999994"/>
    <n v="83014.3"/>
    <n v="82956.899999999994"/>
    <n v="57.4"/>
    <n v="6.9199999999999998E-2"/>
    <n v="57.4"/>
    <n v="6.9199999999999998E-2"/>
    <n v="557.0954759"/>
    <n v="236.18697069999999"/>
    <n v="8.2073300000000006E-5"/>
    <n v="0"/>
  </r>
  <r>
    <s v="MVPRP_C20_P9_V3_I1"/>
    <s v="MVPRP"/>
    <x v="2"/>
    <x v="2"/>
    <x v="1"/>
    <s v="I1"/>
    <x v="2"/>
    <n v="83164.800000000003"/>
    <n v="83088"/>
    <n v="83164.800000000003"/>
    <n v="83088"/>
    <n v="76.8"/>
    <n v="9.2399999999999996E-2"/>
    <n v="76.8"/>
    <n v="9.2399999999999996E-2"/>
    <n v="557.0954759"/>
    <n v="191.1075597"/>
    <n v="8.2073300000000006E-5"/>
    <n v="0"/>
  </r>
  <r>
    <s v="MVPRP_C20_P9_V3_I1"/>
    <s v="MVPRP"/>
    <x v="2"/>
    <x v="2"/>
    <x v="1"/>
    <s v="I1"/>
    <x v="3"/>
    <n v="83315.3"/>
    <n v="83219.100000000006"/>
    <n v="83315.3"/>
    <n v="83219.100000000006"/>
    <n v="96.2"/>
    <n v="0.11559999999999999"/>
    <n v="96.2"/>
    <n v="0.11559999999999999"/>
    <n v="557.0954759"/>
    <n v="137.1498737"/>
    <n v="8.2073300000000006E-5"/>
    <n v="0"/>
  </r>
  <r>
    <s v="MVPRP_C25_P3_V2_I1"/>
    <s v="MVPRP"/>
    <x v="3"/>
    <x v="0"/>
    <x v="0"/>
    <s v="I1"/>
    <x v="0"/>
    <n v="26736.75"/>
    <m/>
    <n v="26736.75"/>
    <m/>
    <m/>
    <m/>
    <m/>
    <m/>
    <n v="1.4744956490000001"/>
    <m/>
    <s v="9,48614e-05"/>
    <m/>
  </r>
  <r>
    <s v="MVPRP_C25_P3_V2_I1"/>
    <s v="MVPRP"/>
    <x v="3"/>
    <x v="0"/>
    <x v="0"/>
    <s v="I1"/>
    <x v="1"/>
    <n v="27067.599999999999"/>
    <m/>
    <n v="27067.599999999999"/>
    <m/>
    <m/>
    <m/>
    <m/>
    <m/>
    <n v="1.4744956490000001"/>
    <m/>
    <s v="9,48614e-05"/>
    <m/>
  </r>
  <r>
    <s v="MVPRP_C25_P3_V2_I1"/>
    <s v="MVPRP"/>
    <x v="3"/>
    <x v="0"/>
    <x v="0"/>
    <s v="I1"/>
    <x v="2"/>
    <n v="27398.45"/>
    <m/>
    <n v="27398.45"/>
    <m/>
    <m/>
    <m/>
    <m/>
    <m/>
    <n v="1.4744956490000001"/>
    <m/>
    <s v="9,48614e-05"/>
    <m/>
  </r>
  <r>
    <s v="MVPRP_C25_P3_V2_I1"/>
    <s v="MVPRP"/>
    <x v="3"/>
    <x v="0"/>
    <x v="0"/>
    <s v="I1"/>
    <x v="3"/>
    <n v="27729.3"/>
    <n v="27643.200000000001"/>
    <n v="27729.3"/>
    <n v="27643.200000000001"/>
    <n v="86.1"/>
    <n v="0.3115"/>
    <n v="86.1"/>
    <n v="0.3115"/>
    <n v="1.4744956490000001"/>
    <n v="3.8954026700000002"/>
    <s v="9,48614e-05"/>
    <n v="0"/>
  </r>
  <r>
    <s v="MVPRP_C25_P3_V3_I1"/>
    <s v="MVPRP"/>
    <x v="3"/>
    <x v="0"/>
    <x v="1"/>
    <s v="I1"/>
    <x v="0"/>
    <n v="26269"/>
    <n v="26269"/>
    <n v="26269"/>
    <n v="26269"/>
    <n v="0"/>
    <n v="0"/>
    <n v="0"/>
    <n v="0"/>
    <n v="12.01247358"/>
    <n v="19.42983937"/>
    <n v="0"/>
    <n v="0"/>
  </r>
  <r>
    <s v="MVPRP_C25_P3_V3_I1"/>
    <s v="MVPRP"/>
    <x v="3"/>
    <x v="0"/>
    <x v="1"/>
    <s v="I1"/>
    <x v="1"/>
    <n v="26269"/>
    <n v="26269"/>
    <n v="26269"/>
    <n v="26269"/>
    <n v="0"/>
    <n v="0"/>
    <n v="0"/>
    <n v="0"/>
    <n v="12.01247358"/>
    <n v="11.02594495"/>
    <n v="0"/>
    <n v="0"/>
  </r>
  <r>
    <s v="MVPRP_C25_P3_V3_I1"/>
    <s v="MVPRP"/>
    <x v="3"/>
    <x v="0"/>
    <x v="1"/>
    <s v="I1"/>
    <x v="2"/>
    <n v="26269"/>
    <n v="26269"/>
    <n v="26269"/>
    <n v="26269"/>
    <n v="0"/>
    <n v="0"/>
    <n v="0"/>
    <n v="0"/>
    <n v="12.01247358"/>
    <n v="22.218778369999999"/>
    <n v="0"/>
    <n v="0"/>
  </r>
  <r>
    <s v="MVPRP_C25_P3_V3_I1"/>
    <s v="MVPRP"/>
    <x v="3"/>
    <x v="0"/>
    <x v="1"/>
    <s v="I1"/>
    <x v="3"/>
    <n v="26269"/>
    <n v="26269"/>
    <n v="26269"/>
    <n v="26269"/>
    <n v="0"/>
    <n v="0"/>
    <n v="0"/>
    <n v="0"/>
    <n v="12.01247358"/>
    <n v="11.19855261"/>
    <n v="0"/>
    <n v="0"/>
  </r>
  <r>
    <s v="MVPRP_C25_P6_V2_I1"/>
    <s v="MVPRP"/>
    <x v="3"/>
    <x v="1"/>
    <x v="0"/>
    <s v="I1"/>
    <x v="0"/>
    <n v="57797.55"/>
    <m/>
    <n v="57797.55"/>
    <m/>
    <m/>
    <m/>
    <m/>
    <m/>
    <n v="77.466233729999999"/>
    <m/>
    <n v="0"/>
    <m/>
  </r>
  <r>
    <s v="MVPRP_C25_P6_V2_I1"/>
    <s v="MVPRP"/>
    <x v="3"/>
    <x v="1"/>
    <x v="0"/>
    <s v="I1"/>
    <x v="1"/>
    <n v="58293.3"/>
    <m/>
    <n v="58293.3"/>
    <m/>
    <m/>
    <m/>
    <m/>
    <m/>
    <n v="77.466233729999999"/>
    <m/>
    <n v="0"/>
    <m/>
  </r>
  <r>
    <s v="MVPRP_C25_P6_V2_I1"/>
    <s v="MVPRP"/>
    <x v="3"/>
    <x v="1"/>
    <x v="0"/>
    <s v="I1"/>
    <x v="2"/>
    <n v="58789.05"/>
    <m/>
    <n v="58789.05"/>
    <m/>
    <m/>
    <m/>
    <m/>
    <m/>
    <n v="77.466233729999999"/>
    <m/>
    <n v="0"/>
    <m/>
  </r>
  <r>
    <s v="MVPRP_C25_P6_V2_I1"/>
    <s v="MVPRP"/>
    <x v="3"/>
    <x v="1"/>
    <x v="0"/>
    <s v="I1"/>
    <x v="3"/>
    <n v="59284.800000000003"/>
    <n v="59073.3"/>
    <n v="59284.800000000003"/>
    <n v="59073.3"/>
    <n v="211.5"/>
    <n v="0.35799999999999998"/>
    <n v="211.5"/>
    <n v="0.35799999999999998"/>
    <n v="77.466233729999999"/>
    <n v="17.352233890000001"/>
    <n v="0"/>
    <n v="0"/>
  </r>
  <r>
    <s v="MVPRP_C25_P6_V3_I1"/>
    <s v="MVPRP"/>
    <x v="3"/>
    <x v="1"/>
    <x v="1"/>
    <s v="I1"/>
    <x v="0"/>
    <n v="57187.95"/>
    <n v="57187.95"/>
    <n v="57187.95"/>
    <n v="57187.95"/>
    <n v="0"/>
    <n v="0"/>
    <n v="0"/>
    <n v="0"/>
    <n v="374.45861339999999"/>
    <n v="170.40940330000001"/>
    <n v="0"/>
    <n v="0"/>
  </r>
  <r>
    <s v="MVPRP_C25_P6_V3_I1"/>
    <s v="MVPRP"/>
    <x v="3"/>
    <x v="1"/>
    <x v="1"/>
    <s v="I1"/>
    <x v="1"/>
    <n v="57274.2"/>
    <n v="57274.2"/>
    <n v="57274.2"/>
    <n v="57274.2"/>
    <n v="0"/>
    <n v="0"/>
    <n v="0"/>
    <n v="0"/>
    <n v="374.45861339999999"/>
    <n v="114.30176400000001"/>
    <n v="0"/>
    <n v="0"/>
  </r>
  <r>
    <s v="MVPRP_C25_P6_V3_I1"/>
    <s v="MVPRP"/>
    <x v="3"/>
    <x v="1"/>
    <x v="1"/>
    <s v="I1"/>
    <x v="2"/>
    <n v="57360.45"/>
    <n v="57360.45"/>
    <n v="57360.45"/>
    <n v="57360.45"/>
    <n v="0"/>
    <n v="0"/>
    <n v="0"/>
    <n v="0"/>
    <n v="374.45861339999999"/>
    <n v="104.54028460000001"/>
    <n v="0"/>
    <n v="0"/>
  </r>
  <r>
    <s v="MVPRP_C25_P6_V3_I1"/>
    <s v="MVPRP"/>
    <x v="3"/>
    <x v="1"/>
    <x v="1"/>
    <s v="I1"/>
    <x v="3"/>
    <n v="57446.7"/>
    <n v="57446.7"/>
    <n v="57446.7"/>
    <n v="57446.7"/>
    <n v="0"/>
    <n v="0"/>
    <n v="0"/>
    <n v="0"/>
    <n v="374.45861339999999"/>
    <n v="105.08987550000001"/>
    <n v="0"/>
    <n v="0"/>
  </r>
  <r>
    <s v="MVPRP_C25_P9_V2_I1"/>
    <s v="MVPRP"/>
    <x v="3"/>
    <x v="2"/>
    <x v="0"/>
    <s v="I1"/>
    <x v="0"/>
    <n v="102658.1"/>
    <m/>
    <n v="102658.1"/>
    <m/>
    <m/>
    <m/>
    <m/>
    <m/>
    <n v="596.36387939999997"/>
    <m/>
    <s v="5,35404e-05"/>
    <m/>
  </r>
  <r>
    <s v="MVPRP_C25_P9_V2_I1"/>
    <s v="MVPRP"/>
    <x v="3"/>
    <x v="2"/>
    <x v="0"/>
    <s v="I1"/>
    <x v="1"/>
    <n v="104079.9"/>
    <m/>
    <n v="104079.9"/>
    <m/>
    <m/>
    <m/>
    <m/>
    <m/>
    <n v="596.36387939999997"/>
    <m/>
    <s v="5,35404e-05"/>
    <m/>
  </r>
  <r>
    <s v="MVPRP_C25_P9_V2_I1"/>
    <s v="MVPRP"/>
    <x v="3"/>
    <x v="2"/>
    <x v="0"/>
    <s v="I1"/>
    <x v="2"/>
    <n v="105501.7"/>
    <m/>
    <n v="105501.7"/>
    <m/>
    <m/>
    <m/>
    <m/>
    <m/>
    <n v="596.36387939999997"/>
    <m/>
    <s v="5,35404e-05"/>
    <m/>
  </r>
  <r>
    <s v="MVPRP_C25_P9_V2_I1"/>
    <s v="MVPRP"/>
    <x v="3"/>
    <x v="2"/>
    <x v="0"/>
    <s v="I1"/>
    <x v="3"/>
    <n v="106923.5"/>
    <n v="105976.5"/>
    <n v="106923.5"/>
    <n v="105967.7711"/>
    <n v="947"/>
    <n v="0.89359999999999995"/>
    <n v="955.73"/>
    <n v="0.90180000000000005"/>
    <n v="596.36387939999997"/>
    <n v="293.2604589"/>
    <s v="5,35404e-05"/>
    <s v="8,23663e-05"/>
  </r>
  <r>
    <s v="MVPRP_C25_P9_V3_I1"/>
    <s v="MVPRP"/>
    <x v="3"/>
    <x v="2"/>
    <x v="1"/>
    <s v="I1"/>
    <x v="0"/>
    <n v="101326.39999999999"/>
    <n v="101229.1"/>
    <n v="101326.39999999999"/>
    <n v="101127.03909999999"/>
    <n v="97.3"/>
    <n v="9.6100000000000005E-2"/>
    <n v="199.36"/>
    <n v="0.19689999999999999"/>
    <n v="3600.8675699999999"/>
    <n v="3600.0973960000001"/>
    <n v="2.7620019999999999E-3"/>
    <n v="1.0082170000000001E-3"/>
  </r>
  <r>
    <s v="MVPRP_C25_P9_V3_I1"/>
    <s v="MVPRP"/>
    <x v="3"/>
    <x v="2"/>
    <x v="1"/>
    <s v="I1"/>
    <x v="1"/>
    <n v="101752.5"/>
    <n v="101627.69990000001"/>
    <n v="101752.5"/>
    <n v="101621.2026"/>
    <n v="124.8"/>
    <n v="0.12280000000000001"/>
    <n v="131.30000000000001"/>
    <n v="0.12920000000000001"/>
    <n v="3600.8675699999999"/>
    <n v="1743.175653"/>
    <n v="2.7620019999999999E-3"/>
    <n v="6.3931900000000004E-5"/>
  </r>
  <r>
    <s v="MVPRP_C25_P9_V3_I1"/>
    <s v="MVPRP"/>
    <x v="3"/>
    <x v="2"/>
    <x v="1"/>
    <s v="I1"/>
    <x v="2"/>
    <n v="102178.6"/>
    <n v="101984.6998"/>
    <n v="102178.6"/>
    <n v="101984.189"/>
    <n v="193.9"/>
    <n v="0.19009999999999999"/>
    <n v="194.41"/>
    <n v="0.19059999999999999"/>
    <n v="3600.8675699999999"/>
    <n v="2703.694262"/>
    <n v="2.7620019999999999E-3"/>
    <n v="5.0089600000000004E-6"/>
  </r>
  <r>
    <s v="MVPRP_C25_P9_V3_I1"/>
    <s v="MVPRP"/>
    <x v="3"/>
    <x v="2"/>
    <x v="1"/>
    <s v="I1"/>
    <x v="3"/>
    <n v="102604.7"/>
    <n v="102341.6997"/>
    <n v="102604.7"/>
    <n v="102341.6997"/>
    <n v="263"/>
    <n v="0.25700000000000001"/>
    <n v="263"/>
    <n v="0.25700000000000001"/>
    <n v="3600.8675699999999"/>
    <n v="1533.024453"/>
    <n v="2.7620019999999999E-3"/>
    <n v="0"/>
  </r>
  <r>
    <s v="MVPRP_C30_P3_V3_I1"/>
    <s v="MVPRP"/>
    <x v="4"/>
    <x v="0"/>
    <x v="1"/>
    <s v="I1"/>
    <x v="0"/>
    <n v="28872"/>
    <n v="28871.999980000001"/>
    <n v="28872"/>
    <n v="28871.999980000001"/>
    <n v="0"/>
    <n v="0"/>
    <n v="0"/>
    <n v="0"/>
    <n v="34.67438602"/>
    <n v="103.03640129999999"/>
    <n v="0"/>
    <n v="0"/>
  </r>
  <r>
    <s v="MVPRP_C30_P3_V3_I1"/>
    <s v="MVPRP"/>
    <x v="4"/>
    <x v="0"/>
    <x v="1"/>
    <s v="I1"/>
    <x v="1"/>
    <n v="28872"/>
    <n v="28872"/>
    <n v="28872"/>
    <n v="28872"/>
    <n v="0"/>
    <n v="0"/>
    <n v="0"/>
    <n v="0"/>
    <n v="34.67438602"/>
    <n v="72.009376290000006"/>
    <n v="0"/>
    <n v="0"/>
  </r>
  <r>
    <s v="MVPRP_C30_P3_V3_I1"/>
    <s v="MVPRP"/>
    <x v="4"/>
    <x v="0"/>
    <x v="1"/>
    <s v="I1"/>
    <x v="2"/>
    <n v="28872"/>
    <n v="28872"/>
    <n v="28872"/>
    <n v="28870"/>
    <n v="0"/>
    <n v="0"/>
    <n v="2"/>
    <n v="6.8999999999999999E-3"/>
    <n v="34.67438602"/>
    <n v="55.975228309999999"/>
    <n v="0"/>
    <n v="6.9271300000000002E-5"/>
  </r>
  <r>
    <s v="MVPRP_C30_P3_V3_I1"/>
    <s v="MVPRP"/>
    <x v="4"/>
    <x v="0"/>
    <x v="1"/>
    <s v="I1"/>
    <x v="3"/>
    <n v="28872"/>
    <n v="28872"/>
    <n v="28872"/>
    <n v="28872"/>
    <n v="0"/>
    <n v="0"/>
    <n v="0"/>
    <n v="0"/>
    <n v="34.67438602"/>
    <n v="53.276528599999999"/>
    <n v="0"/>
    <n v="0"/>
  </r>
  <r>
    <s v="MVPRP_C30_P3_V4_I1"/>
    <s v="MVPRP"/>
    <x v="4"/>
    <x v="0"/>
    <x v="2"/>
    <s v="I1"/>
    <x v="0"/>
    <n v="29130.5"/>
    <m/>
    <n v="29128.5"/>
    <m/>
    <m/>
    <m/>
    <m/>
    <m/>
    <n v="77.167047019999998"/>
    <m/>
    <n v="0"/>
    <m/>
  </r>
  <r>
    <s v="MVPRP_C30_P3_V4_I1"/>
    <s v="MVPRP"/>
    <x v="4"/>
    <x v="0"/>
    <x v="2"/>
    <s v="I1"/>
    <x v="1"/>
    <n v="29157"/>
    <m/>
    <n v="29155"/>
    <m/>
    <m/>
    <m/>
    <m/>
    <m/>
    <n v="77.167047019999998"/>
    <m/>
    <n v="0"/>
    <m/>
  </r>
  <r>
    <s v="MVPRP_C30_P3_V4_I1"/>
    <s v="MVPRP"/>
    <x v="4"/>
    <x v="0"/>
    <x v="2"/>
    <s v="I1"/>
    <x v="2"/>
    <n v="29157"/>
    <m/>
    <n v="29155"/>
    <m/>
    <m/>
    <m/>
    <m/>
    <m/>
    <n v="77.167047019999998"/>
    <m/>
    <n v="0"/>
    <m/>
  </r>
  <r>
    <s v="MVPRP_C30_P3_V4_I1"/>
    <s v="MVPRP"/>
    <x v="4"/>
    <x v="0"/>
    <x v="2"/>
    <s v="I1"/>
    <x v="3"/>
    <n v="29157"/>
    <n v="29157"/>
    <n v="29155"/>
    <n v="29157"/>
    <n v="0"/>
    <n v="0"/>
    <n v="0"/>
    <n v="0"/>
    <n v="77.167047019999998"/>
    <n v="290.12396740000003"/>
    <n v="0"/>
    <n v="0"/>
  </r>
  <r>
    <s v="MVPRP_C30_P6_V3_I1"/>
    <s v="MVPRP"/>
    <x v="4"/>
    <x v="1"/>
    <x v="1"/>
    <s v="I1"/>
    <x v="0"/>
    <n v="61483.35"/>
    <n v="61482.75"/>
    <n v="61483.35"/>
    <n v="61482.75"/>
    <n v="0.6"/>
    <n v="1E-3"/>
    <n v="0.6"/>
    <n v="1E-3"/>
    <n v="3600.6992500000001"/>
    <n v="371.58778310000002"/>
    <n v="1.125196E-3"/>
    <n v="0"/>
  </r>
  <r>
    <s v="MVPRP_C30_P6_V3_I1"/>
    <s v="MVPRP"/>
    <x v="4"/>
    <x v="1"/>
    <x v="1"/>
    <s v="I1"/>
    <x v="1"/>
    <n v="61582"/>
    <n v="61560"/>
    <n v="61582"/>
    <n v="61560"/>
    <n v="22"/>
    <n v="3.5700000000000003E-2"/>
    <n v="22"/>
    <n v="3.5700000000000003E-2"/>
    <n v="3600.6992500000001"/>
    <n v="328.22378250000003"/>
    <n v="1.125196E-3"/>
    <n v="0"/>
  </r>
  <r>
    <s v="MVPRP_C30_P6_V3_I1"/>
    <s v="MVPRP"/>
    <x v="4"/>
    <x v="1"/>
    <x v="1"/>
    <s v="I1"/>
    <x v="2"/>
    <n v="61680.65"/>
    <n v="61637.25"/>
    <n v="61680.65"/>
    <n v="61634.651850000002"/>
    <n v="43.4"/>
    <n v="7.0400000000000004E-2"/>
    <n v="46"/>
    <n v="7.46E-2"/>
    <n v="3600.6992500000001"/>
    <n v="340.84397769999998"/>
    <n v="1.125196E-3"/>
    <n v="4.2152199999999999E-5"/>
  </r>
  <r>
    <s v="MVPRP_C30_P6_V3_I1"/>
    <s v="MVPRP"/>
    <x v="4"/>
    <x v="1"/>
    <x v="1"/>
    <s v="I1"/>
    <x v="3"/>
    <n v="61779.3"/>
    <n v="61714.5"/>
    <n v="61779.3"/>
    <n v="61714.5"/>
    <n v="64.8"/>
    <n v="0.105"/>
    <n v="64.8"/>
    <n v="0.105"/>
    <n v="3600.6992500000001"/>
    <n v="234.31152650000001"/>
    <n v="1.125196E-3"/>
    <n v="0"/>
  </r>
  <r>
    <s v="MVPRP_C30_P6_V4_I1"/>
    <s v="MVPRP"/>
    <x v="4"/>
    <x v="1"/>
    <x v="2"/>
    <s v="I1"/>
    <x v="0"/>
    <n v="61875.55"/>
    <m/>
    <n v="61875.55"/>
    <m/>
    <m/>
    <m/>
    <m/>
    <m/>
    <n v="3601.6370019999999"/>
    <m/>
    <n v="2.0366149999999999E-3"/>
    <m/>
  </r>
  <r>
    <s v="MVPRP_C30_P6_V4_I1"/>
    <s v="MVPRP"/>
    <x v="4"/>
    <x v="1"/>
    <x v="2"/>
    <s v="I1"/>
    <x v="1"/>
    <n v="61949.7"/>
    <m/>
    <n v="61945.262130000003"/>
    <m/>
    <m/>
    <m/>
    <m/>
    <m/>
    <n v="3601.6370019999999"/>
    <m/>
    <n v="2.0366149999999999E-3"/>
    <m/>
  </r>
  <r>
    <s v="MVPRP_C30_P6_V4_I1"/>
    <s v="MVPRP"/>
    <x v="4"/>
    <x v="1"/>
    <x v="2"/>
    <s v="I1"/>
    <x v="2"/>
    <n v="62023.85"/>
    <m/>
    <n v="62019.412129999997"/>
    <m/>
    <m/>
    <m/>
    <m/>
    <m/>
    <n v="3601.6370019999999"/>
    <m/>
    <n v="2.0366149999999999E-3"/>
    <m/>
  </r>
  <r>
    <s v="MVPRP_C30_P6_V4_I1"/>
    <s v="MVPRP"/>
    <x v="4"/>
    <x v="1"/>
    <x v="2"/>
    <s v="I1"/>
    <x v="3"/>
    <n v="62098"/>
    <n v="61992.099869999998"/>
    <n v="62098"/>
    <n v="61715.132579999998"/>
    <n v="105.9"/>
    <n v="0.17080000000000001"/>
    <n v="382.87"/>
    <n v="0.61760000000000004"/>
    <n v="3601.6370019999999"/>
    <n v="3600.0669889999999"/>
    <n v="2.0366149999999999E-3"/>
    <n v="4.4677839999999998E-3"/>
  </r>
  <r>
    <s v="MVPRP_C30_P9_V3_I1"/>
    <s v="MVPRP"/>
    <x v="4"/>
    <x v="2"/>
    <x v="1"/>
    <s v="I1"/>
    <x v="0"/>
    <n v="111080.2"/>
    <n v="110737.45"/>
    <n v="111080.2"/>
    <n v="110111.07399999999"/>
    <n v="342.75"/>
    <n v="0.3095"/>
    <n v="969.13"/>
    <n v="0.87519999999999998"/>
    <n v="3600.9536870000002"/>
    <n v="3600.0548990000002"/>
    <n v="4.0223899999999998E-3"/>
    <n v="5.6564069999999996E-3"/>
  </r>
  <r>
    <s v="MVPRP_C30_P9_V3_I1"/>
    <s v="MVPRP"/>
    <x v="4"/>
    <x v="2"/>
    <x v="1"/>
    <s v="I1"/>
    <x v="1"/>
    <n v="111588.4"/>
    <n v="111001.4"/>
    <n v="111588.4"/>
    <n v="110479.3996"/>
    <n v="587"/>
    <n v="0.52880000000000005"/>
    <n v="1109"/>
    <n v="0.99909999999999999"/>
    <n v="3600.9536870000002"/>
    <n v="3600.1923790000001"/>
    <n v="4.0223899999999998E-3"/>
    <n v="4.7026469999999999E-3"/>
  </r>
  <r>
    <s v="MVPRP_C30_P9_V3_I1"/>
    <s v="MVPRP"/>
    <x v="4"/>
    <x v="2"/>
    <x v="1"/>
    <s v="I1"/>
    <x v="2"/>
    <n v="112096.6"/>
    <n v="111333.8"/>
    <n v="112096.6"/>
    <n v="110769.9017"/>
    <n v="762.8"/>
    <n v="0.68510000000000004"/>
    <n v="1326.7"/>
    <n v="1.1916"/>
    <n v="3600.9536870000002"/>
    <n v="3600.0963929999998"/>
    <n v="4.0223899999999998E-3"/>
    <n v="5.0649340000000001E-3"/>
  </r>
  <r>
    <s v="MVPRP_C30_P9_V3_I1"/>
    <s v="MVPRP"/>
    <x v="4"/>
    <x v="2"/>
    <x v="1"/>
    <s v="I1"/>
    <x v="3"/>
    <n v="112604.8"/>
    <n v="111627.9"/>
    <n v="112604.8"/>
    <n v="110998.89810000001"/>
    <n v="976.9"/>
    <n v="0.87509999999999999"/>
    <n v="1605.9"/>
    <n v="1.4386000000000001"/>
    <n v="3600.9536870000002"/>
    <n v="3600.1837399999999"/>
    <n v="4.0223899999999998E-3"/>
    <n v="5.6348090000000002E-3"/>
  </r>
  <r>
    <s v="MVPRP_C30_P9_V4_I1"/>
    <s v="MVPRP"/>
    <x v="4"/>
    <x v="2"/>
    <x v="2"/>
    <s v="I1"/>
    <x v="0"/>
    <n v="112048.15"/>
    <m/>
    <n v="112048.15"/>
    <m/>
    <m/>
    <m/>
    <m/>
    <m/>
    <n v="3605.0870770000001"/>
    <m/>
    <n v="1.1427807E-2"/>
    <m/>
  </r>
  <r>
    <s v="MVPRP_C30_P9_V4_I1"/>
    <s v="MVPRP"/>
    <x v="4"/>
    <x v="2"/>
    <x v="2"/>
    <s v="I1"/>
    <x v="1"/>
    <n v="112323.4"/>
    <m/>
    <n v="112323.4"/>
    <m/>
    <m/>
    <m/>
    <m/>
    <m/>
    <n v="3605.0870770000001"/>
    <m/>
    <n v="1.1427807E-2"/>
    <m/>
  </r>
  <r>
    <s v="MVPRP_C30_P9_V4_I1"/>
    <s v="MVPRP"/>
    <x v="4"/>
    <x v="2"/>
    <x v="2"/>
    <s v="I1"/>
    <x v="2"/>
    <n v="112598.65"/>
    <m/>
    <n v="112598.65"/>
    <m/>
    <m/>
    <m/>
    <m/>
    <m/>
    <n v="3605.0870770000001"/>
    <m/>
    <n v="1.1427807E-2"/>
    <m/>
  </r>
  <r>
    <s v="MVPRP_C30_P9_V4_I1"/>
    <s v="MVPRP"/>
    <x v="4"/>
    <x v="2"/>
    <x v="2"/>
    <s v="I1"/>
    <x v="3"/>
    <n v="112873.9"/>
    <n v="114115.8"/>
    <n v="112872.46189999999"/>
    <n v="109944.107"/>
    <n v="-1241.9000000000001"/>
    <n v="-1.0883"/>
    <n v="2929.79"/>
    <n v="2.5674000000000001"/>
    <n v="3605.0870770000001"/>
    <n v="3600.2510090000001"/>
    <n v="1.1427807E-2"/>
    <n v="3.6556664000000003E-2"/>
  </r>
  <r>
    <s v="MVPRP_C35_P3_V3_I1"/>
    <s v="MVPRP"/>
    <x v="5"/>
    <x v="0"/>
    <x v="1"/>
    <s v="I1"/>
    <x v="0"/>
    <n v="35503"/>
    <n v="35503"/>
    <n v="35503"/>
    <n v="35503"/>
    <n v="0"/>
    <n v="0"/>
    <n v="0"/>
    <n v="0"/>
    <n v="34.060139659999997"/>
    <n v="191.54151250000001"/>
    <n v="0"/>
    <n v="0"/>
  </r>
  <r>
    <s v="MVPRP_C35_P3_V3_I1"/>
    <s v="MVPRP"/>
    <x v="5"/>
    <x v="0"/>
    <x v="1"/>
    <s v="I1"/>
    <x v="1"/>
    <n v="35503"/>
    <n v="35503"/>
    <n v="35503"/>
    <n v="35503"/>
    <n v="0"/>
    <n v="0"/>
    <n v="0"/>
    <n v="0"/>
    <n v="34.060139659999997"/>
    <n v="137.66484449999999"/>
    <n v="0"/>
    <n v="0"/>
  </r>
  <r>
    <s v="MVPRP_C35_P3_V3_I1"/>
    <s v="MVPRP"/>
    <x v="5"/>
    <x v="0"/>
    <x v="1"/>
    <s v="I1"/>
    <x v="2"/>
    <n v="35503"/>
    <n v="35502.999730000003"/>
    <n v="35503"/>
    <n v="35502.999730000003"/>
    <n v="0"/>
    <n v="0"/>
    <n v="0"/>
    <n v="0"/>
    <n v="34.060139659999997"/>
    <n v="38.85920548"/>
    <n v="0"/>
    <n v="0"/>
  </r>
  <r>
    <s v="MVPRP_C35_P3_V3_I1"/>
    <s v="MVPRP"/>
    <x v="5"/>
    <x v="0"/>
    <x v="1"/>
    <s v="I1"/>
    <x v="3"/>
    <n v="35503"/>
    <n v="35502.999980000001"/>
    <n v="35503"/>
    <n v="35502.999980000001"/>
    <n v="0"/>
    <n v="0"/>
    <n v="0"/>
    <n v="0"/>
    <n v="34.060139659999997"/>
    <n v="101.96239919999999"/>
    <n v="0"/>
    <n v="0"/>
  </r>
  <r>
    <s v="MVPRP_C35_P3_V4_I1"/>
    <s v="MVPRP"/>
    <x v="5"/>
    <x v="0"/>
    <x v="2"/>
    <s v="I1"/>
    <x v="0"/>
    <n v="35854"/>
    <m/>
    <n v="35854"/>
    <m/>
    <m/>
    <m/>
    <m/>
    <m/>
    <n v="510.02734020000003"/>
    <m/>
    <n v="0"/>
    <m/>
  </r>
  <r>
    <s v="MVPRP_C35_P3_V4_I1"/>
    <s v="MVPRP"/>
    <x v="5"/>
    <x v="0"/>
    <x v="2"/>
    <s v="I1"/>
    <x v="1"/>
    <n v="35854"/>
    <m/>
    <n v="35854"/>
    <m/>
    <m/>
    <m/>
    <m/>
    <m/>
    <n v="510.02734020000003"/>
    <m/>
    <n v="0"/>
    <m/>
  </r>
  <r>
    <s v="MVPRP_C35_P3_V4_I1"/>
    <s v="MVPRP"/>
    <x v="5"/>
    <x v="0"/>
    <x v="2"/>
    <s v="I1"/>
    <x v="2"/>
    <n v="35854"/>
    <m/>
    <n v="35854"/>
    <m/>
    <m/>
    <m/>
    <m/>
    <m/>
    <n v="510.02734020000003"/>
    <m/>
    <n v="0"/>
    <m/>
  </r>
  <r>
    <s v="MVPRP_C35_P3_V4_I1"/>
    <s v="MVPRP"/>
    <x v="5"/>
    <x v="0"/>
    <x v="2"/>
    <s v="I1"/>
    <x v="3"/>
    <n v="35854"/>
    <n v="35854"/>
    <n v="35854"/>
    <n v="35852"/>
    <n v="0"/>
    <n v="0"/>
    <n v="2"/>
    <n v="5.5999999999999999E-3"/>
    <n v="510.02734020000003"/>
    <n v="726.39364309999996"/>
    <n v="0"/>
    <s v="5,57818e-05"/>
  </r>
  <r>
    <s v="MVPRP_C35_P6_V3_I1"/>
    <s v="MVPRP"/>
    <x v="5"/>
    <x v="1"/>
    <x v="1"/>
    <s v="I1"/>
    <x v="0"/>
    <n v="75373.5"/>
    <n v="75246.849919999993"/>
    <n v="75367.905060000005"/>
    <n v="75244.21776"/>
    <n v="126.65"/>
    <n v="0.16830000000000001"/>
    <n v="129.28"/>
    <n v="0.17180000000000001"/>
    <n v="3601.7039279999999"/>
    <n v="1425.6645679999999"/>
    <n v="2.2220149999999999E-3"/>
    <n v="3.4980400000000001E-5"/>
  </r>
  <r>
    <s v="MVPRP_C35_P6_V3_I1"/>
    <s v="MVPRP"/>
    <x v="5"/>
    <x v="1"/>
    <x v="1"/>
    <s v="I1"/>
    <x v="1"/>
    <n v="75560.600000000006"/>
    <n v="75347"/>
    <n v="75555.005059999996"/>
    <n v="75347"/>
    <n v="213.6"/>
    <n v="0.28349999999999997"/>
    <n v="213.6"/>
    <n v="0.28349999999999997"/>
    <n v="3601.7039279999999"/>
    <n v="991.8314378"/>
    <n v="2.2220149999999999E-3"/>
    <n v="0"/>
  </r>
  <r>
    <s v="MVPRP_C35_P6_V3_I1"/>
    <s v="MVPRP"/>
    <x v="5"/>
    <x v="1"/>
    <x v="1"/>
    <s v="I1"/>
    <x v="2"/>
    <n v="75747.7"/>
    <n v="75424.25"/>
    <n v="75742.105060000002"/>
    <n v="75419.298020000002"/>
    <n v="323.45"/>
    <n v="0.42880000000000001"/>
    <n v="328.4"/>
    <n v="0.43540000000000001"/>
    <n v="3601.7039279999999"/>
    <n v="639.86726020000003"/>
    <n v="2.2220149999999999E-3"/>
    <n v="6.5655100000000001E-5"/>
  </r>
  <r>
    <s v="MVPRP_C35_P6_V3_I1"/>
    <s v="MVPRP"/>
    <x v="5"/>
    <x v="1"/>
    <x v="1"/>
    <s v="I1"/>
    <x v="3"/>
    <n v="75934.8"/>
    <n v="75501.5"/>
    <n v="75929.205059999993"/>
    <n v="75501.5"/>
    <n v="433.3"/>
    <n v="0.57389999999999997"/>
    <n v="433.3"/>
    <n v="0.57389999999999997"/>
    <n v="3601.7039279999999"/>
    <n v="394.45544719999998"/>
    <n v="2.2220149999999999E-3"/>
    <n v="0"/>
  </r>
  <r>
    <s v="MVPRP_C35_P6_V4_I1"/>
    <s v="MVPRP"/>
    <x v="5"/>
    <x v="1"/>
    <x v="2"/>
    <s v="I1"/>
    <x v="0"/>
    <n v="75669.899999999994"/>
    <m/>
    <n v="75669.899999999994"/>
    <m/>
    <m/>
    <m/>
    <m/>
    <m/>
    <n v="3601.4153510000001"/>
    <m/>
    <n v="3.3514759999999999E-3"/>
    <m/>
  </r>
  <r>
    <s v="MVPRP_C35_P6_V4_I1"/>
    <s v="MVPRP"/>
    <x v="5"/>
    <x v="1"/>
    <x v="2"/>
    <s v="I1"/>
    <x v="1"/>
    <n v="75790.100000000006"/>
    <m/>
    <n v="75790.100000000006"/>
    <m/>
    <m/>
    <m/>
    <m/>
    <m/>
    <n v="3601.4153510000001"/>
    <m/>
    <n v="3.3514759999999999E-3"/>
    <m/>
  </r>
  <r>
    <s v="MVPRP_C35_P6_V4_I1"/>
    <s v="MVPRP"/>
    <x v="5"/>
    <x v="1"/>
    <x v="2"/>
    <s v="I1"/>
    <x v="2"/>
    <n v="75883.8"/>
    <m/>
    <n v="75883.8"/>
    <m/>
    <m/>
    <m/>
    <m/>
    <m/>
    <n v="3601.4153510000001"/>
    <m/>
    <n v="3.3514759999999999E-3"/>
    <m/>
  </r>
  <r>
    <s v="MVPRP_C35_P6_V4_I1"/>
    <s v="MVPRP"/>
    <x v="5"/>
    <x v="1"/>
    <x v="2"/>
    <s v="I1"/>
    <x v="3"/>
    <n v="75977.5"/>
    <n v="75651.999660000001"/>
    <n v="75977.5"/>
    <n v="75258.227960000004"/>
    <n v="325.5"/>
    <n v="0.43030000000000002"/>
    <n v="719.27"/>
    <n v="0.95079999999999998"/>
    <n v="3601.4153510000001"/>
    <n v="3600.110862"/>
    <n v="3.3514759999999999E-3"/>
    <n v="5.2050400000000002E-3"/>
  </r>
  <r>
    <s v="MVPRP_C40_P3_V3_I1"/>
    <s v="MVPRP"/>
    <x v="6"/>
    <x v="0"/>
    <x v="1"/>
    <s v="I1"/>
    <x v="0"/>
    <n v="44780"/>
    <n v="44572"/>
    <n v="44780"/>
    <n v="44572"/>
    <n v="208"/>
    <n v="0.4667"/>
    <n v="208"/>
    <n v="0.4667"/>
    <n v="182.55316970000001"/>
    <n v="303.02784320000001"/>
    <n v="0"/>
    <n v="0"/>
  </r>
  <r>
    <s v="MVPRP_C40_P3_V3_I1"/>
    <s v="MVPRP"/>
    <x v="6"/>
    <x v="0"/>
    <x v="1"/>
    <s v="I1"/>
    <x v="1"/>
    <n v="44930.1"/>
    <n v="44572"/>
    <n v="44930.1"/>
    <n v="44572"/>
    <n v="358.1"/>
    <n v="0.8034"/>
    <n v="358.1"/>
    <n v="0.8034"/>
    <n v="182.55316970000001"/>
    <n v="226.71976799999999"/>
    <n v="0"/>
    <n v="0"/>
  </r>
  <r>
    <s v="MVPRP_C40_P3_V3_I1"/>
    <s v="MVPRP"/>
    <x v="6"/>
    <x v="0"/>
    <x v="1"/>
    <s v="I1"/>
    <x v="2"/>
    <n v="45080.2"/>
    <n v="44572"/>
    <n v="45080.2"/>
    <n v="44572"/>
    <n v="508.2"/>
    <n v="1.1402000000000001"/>
    <n v="508.2"/>
    <n v="1.1402000000000001"/>
    <n v="182.55316970000001"/>
    <n v="200.29028059999999"/>
    <n v="0"/>
    <n v="0"/>
  </r>
  <r>
    <s v="MVPRP_C40_P3_V3_I1"/>
    <s v="MVPRP"/>
    <x v="6"/>
    <x v="0"/>
    <x v="1"/>
    <s v="I1"/>
    <x v="3"/>
    <n v="45230.3"/>
    <n v="44572"/>
    <n v="45230.3"/>
    <n v="44572"/>
    <n v="658.3"/>
    <n v="1.4769000000000001"/>
    <n v="658.3"/>
    <n v="1.4769000000000001"/>
    <n v="182.55316970000001"/>
    <n v="112.056927"/>
    <n v="0"/>
    <n v="0"/>
  </r>
  <r>
    <s v="MVPRP_C40_P3_V4_I1"/>
    <s v="MVPRP"/>
    <x v="6"/>
    <x v="0"/>
    <x v="2"/>
    <s v="I1"/>
    <x v="0"/>
    <n v="44461"/>
    <m/>
    <n v="44461"/>
    <m/>
    <m/>
    <m/>
    <m/>
    <m/>
    <n v="60.761988160000001"/>
    <m/>
    <n v="0"/>
    <m/>
  </r>
  <r>
    <s v="MVPRP_C40_P3_V4_I1"/>
    <s v="MVPRP"/>
    <x v="6"/>
    <x v="0"/>
    <x v="2"/>
    <s v="I1"/>
    <x v="1"/>
    <n v="44461"/>
    <m/>
    <n v="44461"/>
    <m/>
    <m/>
    <m/>
    <m/>
    <m/>
    <n v="60.761988160000001"/>
    <m/>
    <n v="0"/>
    <m/>
  </r>
  <r>
    <s v="MVPRP_C40_P3_V4_I1"/>
    <s v="MVPRP"/>
    <x v="6"/>
    <x v="0"/>
    <x v="2"/>
    <s v="I1"/>
    <x v="2"/>
    <n v="44461"/>
    <m/>
    <n v="44461"/>
    <m/>
    <m/>
    <m/>
    <m/>
    <m/>
    <n v="60.761988160000001"/>
    <m/>
    <n v="0"/>
    <m/>
  </r>
  <r>
    <s v="MVPRP_C40_P3_V4_I1"/>
    <s v="MVPRP"/>
    <x v="6"/>
    <x v="0"/>
    <x v="2"/>
    <s v="I1"/>
    <x v="3"/>
    <n v="44461"/>
    <n v="44461"/>
    <n v="44461"/>
    <n v="44461"/>
    <n v="0"/>
    <n v="0"/>
    <n v="0"/>
    <n v="0"/>
    <n v="60.761988160000001"/>
    <n v="320.71289919999998"/>
    <n v="0"/>
    <n v="0"/>
  </r>
  <r>
    <s v="MVPRP_C40_P6_V3_I1"/>
    <s v="MVPRP"/>
    <x v="6"/>
    <x v="1"/>
    <x v="1"/>
    <s v="I1"/>
    <x v="0"/>
    <n v="96930.85"/>
    <n v="96909.2"/>
    <n v="96929.194010000007"/>
    <n v="96558.363599999997"/>
    <n v="21.65"/>
    <n v="2.23E-2"/>
    <n v="372.49"/>
    <n v="0.38440000000000002"/>
    <n v="3600.8156410000001"/>
    <n v="3600.1379849999998"/>
    <n v="7.11507E-4"/>
    <n v="3.6202589999999998E-3"/>
  </r>
  <r>
    <s v="MVPRP_C40_P6_V3_I1"/>
    <s v="MVPRP"/>
    <x v="6"/>
    <x v="1"/>
    <x v="1"/>
    <s v="I1"/>
    <x v="1"/>
    <n v="97153"/>
    <n v="97042.1"/>
    <n v="97151.344010000001"/>
    <n v="96828.582339999994"/>
    <n v="110.9"/>
    <n v="0.1143"/>
    <n v="324.42"/>
    <n v="0.33429999999999999"/>
    <n v="3600.8156410000001"/>
    <n v="3600.1633339999998"/>
    <n v="7.11507E-4"/>
    <n v="2.2002580000000001E-3"/>
  </r>
  <r>
    <s v="MVPRP_C40_P6_V3_I1"/>
    <s v="MVPRP"/>
    <x v="6"/>
    <x v="1"/>
    <x v="1"/>
    <s v="I1"/>
    <x v="2"/>
    <n v="97375.15"/>
    <n v="97164.4"/>
    <n v="97373.494009999995"/>
    <n v="96984.128809999995"/>
    <n v="210.75"/>
    <n v="0.21690000000000001"/>
    <n v="391.02"/>
    <n v="0.40239999999999998"/>
    <n v="3600.8156410000001"/>
    <n v="3600.3081309999998"/>
    <n v="7.11507E-4"/>
    <n v="1.8553210000000001E-3"/>
  </r>
  <r>
    <s v="MVPRP_C40_P6_V3_I1"/>
    <s v="MVPRP"/>
    <x v="6"/>
    <x v="1"/>
    <x v="1"/>
    <s v="I1"/>
    <x v="3"/>
    <n v="97597.3"/>
    <n v="97285.3"/>
    <n v="97595.644010000004"/>
    <n v="97176.52291"/>
    <n v="312"/>
    <n v="0.32069999999999999"/>
    <n v="420.78"/>
    <n v="0.4325"/>
    <n v="3600.8156410000001"/>
    <n v="3600.0624550000002"/>
    <n v="7.11507E-4"/>
    <n v="1.118125E-3"/>
  </r>
  <r>
    <s v="MVPRP_C40_P6_V4_I1"/>
    <s v="MVPRP"/>
    <x v="6"/>
    <x v="1"/>
    <x v="2"/>
    <s v="I1"/>
    <x v="0"/>
    <n v="96911"/>
    <m/>
    <n v="96907.281690000003"/>
    <m/>
    <m/>
    <m/>
    <m/>
    <m/>
    <n v="3600.1142920000002"/>
    <m/>
    <n v="6.5633890000000002E-3"/>
    <m/>
  </r>
  <r>
    <s v="MVPRP_C40_P6_V4_I1"/>
    <s v="MVPRP"/>
    <x v="6"/>
    <x v="1"/>
    <x v="2"/>
    <s v="I1"/>
    <x v="1"/>
    <n v="96929"/>
    <m/>
    <n v="96925.281690000003"/>
    <m/>
    <m/>
    <m/>
    <m/>
    <m/>
    <n v="3600.1142920000002"/>
    <m/>
    <n v="6.5633890000000002E-3"/>
    <m/>
  </r>
  <r>
    <s v="MVPRP_C40_P6_V4_I1"/>
    <s v="MVPRP"/>
    <x v="6"/>
    <x v="1"/>
    <x v="2"/>
    <s v="I1"/>
    <x v="2"/>
    <n v="96930.8"/>
    <m/>
    <n v="96927.081690000006"/>
    <m/>
    <m/>
    <m/>
    <m/>
    <m/>
    <n v="3600.1142920000002"/>
    <m/>
    <n v="6.5633890000000002E-3"/>
    <m/>
  </r>
  <r>
    <s v="MVPRP_C40_P6_V4_I1"/>
    <s v="MVPRP"/>
    <x v="6"/>
    <x v="1"/>
    <x v="2"/>
    <s v="I1"/>
    <x v="3"/>
    <n v="96932.6"/>
    <n v="96744"/>
    <n v="96928.881689999995"/>
    <n v="96248.007689999999"/>
    <n v="188.6"/>
    <n v="0.19489999999999999"/>
    <n v="684.59"/>
    <n v="0.70760000000000001"/>
    <n v="3600.1142920000002"/>
    <n v="3600.1085619999999"/>
    <n v="6.5633890000000002E-3"/>
    <n v="5.1268529999999998E-3"/>
  </r>
  <r>
    <s v="MVPRP_C45_P3_V3_I1"/>
    <s v="MVPRP"/>
    <x v="7"/>
    <x v="0"/>
    <x v="1"/>
    <s v="I1"/>
    <x v="0"/>
    <n v="51170.85"/>
    <n v="50991"/>
    <n v="51170.85"/>
    <n v="50991"/>
    <n v="179.85"/>
    <n v="0.35270000000000001"/>
    <n v="179.85"/>
    <n v="0.35270000000000001"/>
    <n v="54.694288020000002"/>
    <n v="892.56480290000002"/>
    <n v="9.8917000000000002E-5"/>
    <n v="0"/>
  </r>
  <r>
    <s v="MVPRP_C45_P3_V3_I1"/>
    <s v="MVPRP"/>
    <x v="7"/>
    <x v="0"/>
    <x v="1"/>
    <s v="I1"/>
    <x v="1"/>
    <n v="51466.3"/>
    <n v="51172.4"/>
    <n v="51466.3"/>
    <n v="51170.543189999997"/>
    <n v="293.89999999999998"/>
    <n v="0.57430000000000003"/>
    <n v="295.76"/>
    <n v="0.57799999999999996"/>
    <n v="54.694288020000002"/>
    <n v="327.18339630000003"/>
    <n v="9.8917000000000002E-5"/>
    <n v="3.6285400000000003E-5"/>
  </r>
  <r>
    <s v="MVPRP_C45_P3_V3_I1"/>
    <s v="MVPRP"/>
    <x v="7"/>
    <x v="0"/>
    <x v="1"/>
    <s v="I1"/>
    <x v="2"/>
    <n v="51761.75"/>
    <n v="51327.95"/>
    <n v="51761.75"/>
    <n v="51327.95"/>
    <n v="433.8"/>
    <n v="0.84519999999999995"/>
    <n v="433.8"/>
    <n v="0.84519999999999995"/>
    <n v="54.694288020000002"/>
    <n v="272.77681610000002"/>
    <n v="9.8917000000000002E-5"/>
    <n v="0"/>
  </r>
  <r>
    <s v="MVPRP_C45_P3_V3_I1"/>
    <s v="MVPRP"/>
    <x v="7"/>
    <x v="0"/>
    <x v="1"/>
    <s v="I1"/>
    <x v="3"/>
    <n v="52057.2"/>
    <n v="51458.8"/>
    <n v="52057.2"/>
    <n v="51454.010670000003"/>
    <n v="598.4"/>
    <n v="1.1629"/>
    <n v="603.19000000000005"/>
    <n v="1.1721999999999999"/>
    <n v="54.694288020000002"/>
    <n v="324.05683449999998"/>
    <n v="9.8917000000000002E-5"/>
    <n v="9.3071200000000004E-5"/>
  </r>
  <r>
    <s v="MVPRP_C45_P3_V4_I1"/>
    <s v="MVPRP"/>
    <x v="7"/>
    <x v="0"/>
    <x v="2"/>
    <s v="I1"/>
    <x v="0"/>
    <n v="50978.45"/>
    <m/>
    <n v="50978.45"/>
    <m/>
    <m/>
    <m/>
    <m/>
    <m/>
    <n v="3600.6787169999998"/>
    <m/>
    <n v="1.169231E-3"/>
    <m/>
  </r>
  <r>
    <s v="MVPRP_C45_P3_V4_I1"/>
    <s v="MVPRP"/>
    <x v="7"/>
    <x v="0"/>
    <x v="2"/>
    <s v="I1"/>
    <x v="1"/>
    <n v="51033.5"/>
    <m/>
    <n v="51033.5"/>
    <m/>
    <m/>
    <m/>
    <m/>
    <m/>
    <n v="3600.6787169999998"/>
    <m/>
    <n v="1.169231E-3"/>
    <m/>
  </r>
  <r>
    <s v="MVPRP_C45_P3_V4_I1"/>
    <s v="MVPRP"/>
    <x v="7"/>
    <x v="0"/>
    <x v="2"/>
    <s v="I1"/>
    <x v="2"/>
    <n v="51088.55"/>
    <m/>
    <n v="51088.55"/>
    <m/>
    <m/>
    <m/>
    <m/>
    <m/>
    <n v="3600.6787169999998"/>
    <m/>
    <n v="1.169231E-3"/>
    <m/>
  </r>
  <r>
    <s v="MVPRP_C45_P3_V4_I1"/>
    <s v="MVPRP"/>
    <x v="7"/>
    <x v="0"/>
    <x v="2"/>
    <s v="I1"/>
    <x v="3"/>
    <n v="51143.6"/>
    <n v="51063.4"/>
    <n v="51143.6"/>
    <n v="50871.073830000001"/>
    <n v="80.2"/>
    <n v="0.15709999999999999"/>
    <n v="272.52999999999997"/>
    <n v="0.53369999999999995"/>
    <n v="3600.6787169999998"/>
    <n v="3600.054075"/>
    <n v="1.169231E-3"/>
    <n v="3.766419E-3"/>
  </r>
  <r>
    <s v="MVPRP_C50_P3_V3_I1"/>
    <s v="MVPRP"/>
    <x v="8"/>
    <x v="0"/>
    <x v="1"/>
    <s v="I1"/>
    <x v="0"/>
    <n v="47693.55"/>
    <n v="47349.199959999998"/>
    <n v="47693.55"/>
    <n v="47346.2"/>
    <n v="344.35"/>
    <n v="0.72729999999999995"/>
    <n v="347.35"/>
    <n v="0.73360000000000003"/>
    <n v="94.946824550000002"/>
    <n v="1101.8550680000001"/>
    <n v="0"/>
    <n v="6.3358199999999999E-5"/>
  </r>
  <r>
    <s v="MVPRP_C50_P3_V3_I1"/>
    <s v="MVPRP"/>
    <x v="8"/>
    <x v="0"/>
    <x v="1"/>
    <s v="I1"/>
    <x v="1"/>
    <n v="48068.2"/>
    <n v="47523.199999999997"/>
    <n v="48068.2"/>
    <n v="47519.199999999997"/>
    <n v="545"/>
    <n v="1.1468"/>
    <n v="549"/>
    <n v="1.1552"/>
    <n v="94.946824550000002"/>
    <n v="1121.8028850000001"/>
    <n v="0"/>
    <n v="8.4169400000000001E-5"/>
  </r>
  <r>
    <s v="MVPRP_C50_P3_V3_I1"/>
    <s v="MVPRP"/>
    <x v="8"/>
    <x v="0"/>
    <x v="1"/>
    <s v="I1"/>
    <x v="2"/>
    <n v="48442.85"/>
    <n v="47562"/>
    <n v="48442.85"/>
    <n v="47561"/>
    <n v="880.85"/>
    <n v="1.8520000000000001"/>
    <n v="881.85"/>
    <n v="1.8541000000000001"/>
    <n v="94.946824550000002"/>
    <n v="813.64095689999999"/>
    <n v="0"/>
    <n v="2.10252E-5"/>
  </r>
  <r>
    <s v="MVPRP_C50_P3_V3_I1"/>
    <s v="MVPRP"/>
    <x v="8"/>
    <x v="0"/>
    <x v="1"/>
    <s v="I1"/>
    <x v="3"/>
    <n v="48817.5"/>
    <n v="47561.999880000003"/>
    <n v="48817.5"/>
    <n v="47561.999880000003"/>
    <n v="1255.5"/>
    <n v="2.6396999999999999"/>
    <n v="1255.5"/>
    <n v="2.6396999999999999"/>
    <n v="94.946824550000002"/>
    <n v="852.19040159999997"/>
    <n v="0"/>
    <n v="0"/>
  </r>
  <r>
    <s v="MVPRP_C50_P3_V4_I1"/>
    <s v="MVPRP"/>
    <x v="8"/>
    <x v="0"/>
    <x v="2"/>
    <s v="I1"/>
    <x v="0"/>
    <n v="47220.3"/>
    <m/>
    <n v="47220.3"/>
    <m/>
    <m/>
    <m/>
    <m/>
    <m/>
    <n v="3588.5479350000001"/>
    <m/>
    <s v="9,15203e-05"/>
    <m/>
  </r>
  <r>
    <s v="MVPRP_C50_P3_V4_I1"/>
    <s v="MVPRP"/>
    <x v="8"/>
    <x v="0"/>
    <x v="2"/>
    <s v="I1"/>
    <x v="1"/>
    <n v="47266.6"/>
    <m/>
    <n v="47266.6"/>
    <m/>
    <m/>
    <m/>
    <m/>
    <m/>
    <n v="3588.5479350000001"/>
    <m/>
    <s v="9,15203e-05"/>
    <m/>
  </r>
  <r>
    <s v="MVPRP_C50_P3_V4_I1"/>
    <s v="MVPRP"/>
    <x v="8"/>
    <x v="0"/>
    <x v="2"/>
    <s v="I1"/>
    <x v="2"/>
    <n v="47312.9"/>
    <m/>
    <n v="47312.9"/>
    <m/>
    <m/>
    <m/>
    <m/>
    <m/>
    <n v="3588.5479350000001"/>
    <m/>
    <s v="9,15203e-05"/>
    <m/>
  </r>
  <r>
    <s v="MVPRP_C50_P3_V4_I1"/>
    <s v="MVPRP"/>
    <x v="8"/>
    <x v="0"/>
    <x v="2"/>
    <s v="I1"/>
    <x v="3"/>
    <n v="47359.199999999997"/>
    <n v="47267"/>
    <n v="47359.199999999997"/>
    <n v="47165.664949999998"/>
    <n v="92.2"/>
    <n v="0.1951"/>
    <n v="193.54"/>
    <n v="0.40949999999999998"/>
    <n v="3588.5479350000001"/>
    <n v="3600.2712839999999"/>
    <s v="9,15203e-05"/>
    <n v="2.143885999999999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D1C12-06DF-4784-A7C1-5F50E8398D09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5">
  <location ref="A3:G19" firstHeaderRow="0" firstDataRow="1" firstDataCol="1" rowPageCount="1" colPageCount="1"/>
  <pivotFields count="19"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2">
    <field x="3"/>
    <field x="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4" hier="-1"/>
  </pageFields>
  <dataFields count="6">
    <dataField name="Mittelwert von vss" fld="11" subtotal="average" baseField="3" baseItem="0" numFmtId="1"/>
    <dataField name="Mittelwert von vss_max" fld="13" subtotal="average" baseField="3" baseItem="0" numFmtId="1"/>
    <dataField name="Mittelwert von vss%" fld="12" subtotal="average" baseField="3" baseItem="0" numFmtId="2"/>
    <dataField name="Mittelwert von vss%_max" fld="14" subtotal="average" baseField="3" baseItem="0" numFmtId="2"/>
    <dataField name="Mittelwert von gap_vss_calc" fld="17" subtotal="average" baseField="3" baseItem="2" numFmtId="10"/>
    <dataField name="Mittelwert von gap_hprp" fld="18" subtotal="average" baseField="3" baseItem="2" numFmtId="10"/>
  </dataFields>
  <formats count="4">
    <format dxfId="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hartFormats count="6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367F-48A4-474A-AD79-4462A13918CE}">
  <dimension ref="A1:G19"/>
  <sheetViews>
    <sheetView workbookViewId="0">
      <selection activeCell="A3" sqref="A3"/>
    </sheetView>
  </sheetViews>
  <sheetFormatPr baseColWidth="10" defaultRowHeight="15" x14ac:dyDescent="0.25"/>
  <cols>
    <col min="1" max="1" width="22.7109375" bestFit="1" customWidth="1"/>
    <col min="2" max="2" width="17.5703125" bestFit="1" customWidth="1"/>
    <col min="3" max="3" width="22.28515625" bestFit="1" customWidth="1"/>
    <col min="4" max="4" width="19.140625" bestFit="1" customWidth="1"/>
    <col min="5" max="5" width="23.85546875" bestFit="1" customWidth="1"/>
    <col min="6" max="6" width="26.140625" bestFit="1" customWidth="1"/>
    <col min="7" max="7" width="22.85546875" bestFit="1" customWidth="1"/>
  </cols>
  <sheetData>
    <row r="1" spans="1:7" x14ac:dyDescent="0.25">
      <c r="A1" s="2" t="s">
        <v>38</v>
      </c>
      <c r="B1" t="s">
        <v>49</v>
      </c>
    </row>
    <row r="3" spans="1:7" x14ac:dyDescent="0.25">
      <c r="A3" s="2" t="s">
        <v>40</v>
      </c>
      <c r="B3" t="s">
        <v>45</v>
      </c>
      <c r="C3" t="s">
        <v>46</v>
      </c>
      <c r="D3" t="s">
        <v>47</v>
      </c>
      <c r="E3" t="s">
        <v>48</v>
      </c>
      <c r="F3" t="s">
        <v>50</v>
      </c>
      <c r="G3" t="s">
        <v>51</v>
      </c>
    </row>
    <row r="4" spans="1:7" x14ac:dyDescent="0.25">
      <c r="A4" s="3" t="s">
        <v>41</v>
      </c>
      <c r="B4" s="6">
        <v>174.00694444444443</v>
      </c>
      <c r="C4" s="6">
        <v>174.46944444444446</v>
      </c>
      <c r="D4" s="5">
        <v>0.3663361111111112</v>
      </c>
      <c r="E4" s="5">
        <v>0.36735555555555555</v>
      </c>
      <c r="F4" s="4">
        <v>1.7461522222222223E-5</v>
      </c>
      <c r="G4" s="4">
        <v>1.0199463888888887E-5</v>
      </c>
    </row>
    <row r="5" spans="1:7" x14ac:dyDescent="0.25">
      <c r="A5" s="7">
        <v>1.5</v>
      </c>
      <c r="B5" s="6">
        <v>81.355555555555554</v>
      </c>
      <c r="C5" s="6">
        <v>81.688888888888897</v>
      </c>
      <c r="D5" s="5">
        <v>0.17185555555555554</v>
      </c>
      <c r="E5" s="5">
        <v>0.17255555555555555</v>
      </c>
      <c r="F5" s="4">
        <v>1.7461522222222223E-5</v>
      </c>
      <c r="G5" s="4">
        <v>7.0397999999999999E-6</v>
      </c>
    </row>
    <row r="6" spans="1:7" x14ac:dyDescent="0.25">
      <c r="A6" s="7">
        <v>2</v>
      </c>
      <c r="B6" s="6">
        <v>133</v>
      </c>
      <c r="C6" s="6">
        <v>133.65111111111113</v>
      </c>
      <c r="D6" s="5">
        <v>0.28050000000000003</v>
      </c>
      <c r="E6" s="5">
        <v>0.28184444444444445</v>
      </c>
      <c r="F6" s="4">
        <v>1.7461522222222223E-5</v>
      </c>
      <c r="G6" s="4">
        <v>1.3383866666666667E-5</v>
      </c>
    </row>
    <row r="7" spans="1:7" x14ac:dyDescent="0.25">
      <c r="A7" s="7">
        <v>2.5</v>
      </c>
      <c r="B7" s="6">
        <v>202.53888888888889</v>
      </c>
      <c r="C7" s="6">
        <v>202.87222222222223</v>
      </c>
      <c r="D7" s="5">
        <v>0.4263777777777778</v>
      </c>
      <c r="E7" s="5">
        <v>0.4273777777777778</v>
      </c>
      <c r="F7" s="4">
        <v>1.7461522222222223E-5</v>
      </c>
      <c r="G7" s="4">
        <v>1.0032944444444444E-5</v>
      </c>
    </row>
    <row r="8" spans="1:7" x14ac:dyDescent="0.25">
      <c r="A8" s="7">
        <v>3</v>
      </c>
      <c r="B8" s="6">
        <v>279.13333333333333</v>
      </c>
      <c r="C8" s="6">
        <v>279.66555555555556</v>
      </c>
      <c r="D8" s="5">
        <v>0.58661111111111119</v>
      </c>
      <c r="E8" s="5">
        <v>0.58764444444444441</v>
      </c>
      <c r="F8" s="4">
        <v>1.7461522222222223E-5</v>
      </c>
      <c r="G8" s="4">
        <v>1.0341244444444444E-5</v>
      </c>
    </row>
    <row r="9" spans="1:7" x14ac:dyDescent="0.25">
      <c r="A9" s="3" t="s">
        <v>42</v>
      </c>
      <c r="B9" s="6">
        <v>74.378571428571448</v>
      </c>
      <c r="C9" s="6">
        <v>105.22107142857143</v>
      </c>
      <c r="D9" s="5">
        <v>0.10383214285714286</v>
      </c>
      <c r="E9" s="5">
        <v>0.13575000000000001</v>
      </c>
      <c r="F9" s="4">
        <v>5.908187571428571E-4</v>
      </c>
      <c r="G9" s="4">
        <v>3.191696678571428E-4</v>
      </c>
    </row>
    <row r="10" spans="1:7" x14ac:dyDescent="0.25">
      <c r="A10" s="7">
        <v>1.5</v>
      </c>
      <c r="B10" s="6">
        <v>26.35</v>
      </c>
      <c r="C10" s="6">
        <v>76.845714285714294</v>
      </c>
      <c r="D10" s="5">
        <v>4.1228571428571434E-2</v>
      </c>
      <c r="E10" s="5">
        <v>9.3457142857142878E-2</v>
      </c>
      <c r="F10" s="4">
        <v>5.908187571428571E-4</v>
      </c>
      <c r="G10" s="4">
        <v>5.2217705714285715E-4</v>
      </c>
    </row>
    <row r="11" spans="1:7" x14ac:dyDescent="0.25">
      <c r="A11" s="7">
        <v>2</v>
      </c>
      <c r="B11" s="6">
        <v>52.285714285714285</v>
      </c>
      <c r="C11" s="6">
        <v>82.78857142857143</v>
      </c>
      <c r="D11" s="5">
        <v>6.9142857142857145E-2</v>
      </c>
      <c r="E11" s="5">
        <v>0.10057142857142855</v>
      </c>
      <c r="F11" s="4">
        <v>5.908187571428571E-4</v>
      </c>
      <c r="G11" s="4">
        <v>3.1432257142857142E-4</v>
      </c>
    </row>
    <row r="12" spans="1:7" x14ac:dyDescent="0.25">
      <c r="A12" s="7">
        <v>2.5</v>
      </c>
      <c r="B12" s="6">
        <v>90.321428571428569</v>
      </c>
      <c r="C12" s="6">
        <v>117.15285714285713</v>
      </c>
      <c r="D12" s="5">
        <v>0.12465714285714288</v>
      </c>
      <c r="E12" s="5">
        <v>0.15270000000000003</v>
      </c>
      <c r="F12" s="4">
        <v>5.908187571428571E-4</v>
      </c>
      <c r="G12" s="4">
        <v>2.8044689999999999E-4</v>
      </c>
    </row>
    <row r="13" spans="1:7" x14ac:dyDescent="0.25">
      <c r="A13" s="7">
        <v>3</v>
      </c>
      <c r="B13" s="6">
        <v>128.55714285714285</v>
      </c>
      <c r="C13" s="6">
        <v>144.09714285714284</v>
      </c>
      <c r="D13" s="5">
        <v>0.18029999999999999</v>
      </c>
      <c r="E13" s="5">
        <v>0.19627142857142857</v>
      </c>
      <c r="F13" s="4">
        <v>5.908187571428571E-4</v>
      </c>
      <c r="G13" s="4">
        <v>1.5973214285714286E-4</v>
      </c>
    </row>
    <row r="14" spans="1:7" x14ac:dyDescent="0.25">
      <c r="A14" s="3" t="s">
        <v>43</v>
      </c>
      <c r="B14" s="6">
        <v>239.39749999999998</v>
      </c>
      <c r="C14" s="6">
        <v>399.3605</v>
      </c>
      <c r="D14" s="5">
        <v>0.24747</v>
      </c>
      <c r="E14" s="5">
        <v>0.40810999999999992</v>
      </c>
      <c r="F14" s="4">
        <v>3.5646646599999999E-3</v>
      </c>
      <c r="G14" s="4">
        <v>1.6063995430000001E-3</v>
      </c>
    </row>
    <row r="15" spans="1:7" x14ac:dyDescent="0.25">
      <c r="A15" s="7">
        <v>1.5</v>
      </c>
      <c r="B15" s="6">
        <v>147.05000000000001</v>
      </c>
      <c r="C15" s="6">
        <v>381.88</v>
      </c>
      <c r="D15" s="5">
        <v>0.15751999999999999</v>
      </c>
      <c r="E15" s="5">
        <v>0.40994000000000003</v>
      </c>
      <c r="F15" s="4">
        <v>3.5646646600000003E-3</v>
      </c>
      <c r="G15" s="4">
        <v>2.524208E-3</v>
      </c>
    </row>
    <row r="16" spans="1:7" x14ac:dyDescent="0.25">
      <c r="A16" s="7">
        <v>2</v>
      </c>
      <c r="B16" s="6">
        <v>192.94</v>
      </c>
      <c r="C16" s="6">
        <v>345.57400000000001</v>
      </c>
      <c r="D16" s="5">
        <v>0.19656000000000001</v>
      </c>
      <c r="E16" s="5">
        <v>0.35439999999999994</v>
      </c>
      <c r="F16" s="4">
        <v>3.5646646600000003E-3</v>
      </c>
      <c r="G16" s="4">
        <v>1.5782993799999998E-3</v>
      </c>
    </row>
    <row r="17" spans="1:7" x14ac:dyDescent="0.25">
      <c r="A17" s="7">
        <v>2.5</v>
      </c>
      <c r="B17" s="6">
        <v>267.36</v>
      </c>
      <c r="C17" s="6">
        <v>393.94799999999998</v>
      </c>
      <c r="D17" s="5">
        <v>0.27492</v>
      </c>
      <c r="E17" s="5">
        <v>0.39451999999999998</v>
      </c>
      <c r="F17" s="4">
        <v>3.5646646600000003E-3</v>
      </c>
      <c r="G17" s="4">
        <v>1.1961289920000002E-3</v>
      </c>
    </row>
    <row r="18" spans="1:7" x14ac:dyDescent="0.25">
      <c r="A18" s="7">
        <v>3</v>
      </c>
      <c r="B18" s="6">
        <v>350.24</v>
      </c>
      <c r="C18" s="6">
        <v>476.03999999999996</v>
      </c>
      <c r="D18" s="5">
        <v>0.36087999999999998</v>
      </c>
      <c r="E18" s="5">
        <v>0.47358</v>
      </c>
      <c r="F18" s="4">
        <v>3.5646646600000003E-3</v>
      </c>
      <c r="G18" s="4">
        <v>1.1269617999999999E-3</v>
      </c>
    </row>
    <row r="19" spans="1:7" x14ac:dyDescent="0.25">
      <c r="A19" s="3" t="s">
        <v>44</v>
      </c>
      <c r="B19" s="6">
        <v>156.36666666666659</v>
      </c>
      <c r="C19" s="6">
        <v>204.93214285714285</v>
      </c>
      <c r="D19" s="5">
        <v>0.25053333333333339</v>
      </c>
      <c r="E19" s="5">
        <v>0.29985714285714282</v>
      </c>
      <c r="F19" s="4">
        <v>1.0531527761904762E-3</v>
      </c>
      <c r="G19" s="4">
        <v>4.9323716976190472E-4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E96F-A0D2-45A3-9E73-C7A9DF5714CE}">
  <dimension ref="A1:U168"/>
  <sheetViews>
    <sheetView tabSelected="1" topLeftCell="A109" workbookViewId="0">
      <selection activeCell="H125" sqref="H125"/>
    </sheetView>
  </sheetViews>
  <sheetFormatPr baseColWidth="10" defaultRowHeight="15" x14ac:dyDescent="0.25"/>
  <cols>
    <col min="1" max="1" width="19.7109375" bestFit="1" customWidth="1"/>
    <col min="2" max="6" width="19.7109375" customWidth="1"/>
  </cols>
  <sheetData>
    <row r="1" spans="1:21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52</v>
      </c>
      <c r="U1" t="s">
        <v>53</v>
      </c>
    </row>
    <row r="2" spans="1:21" x14ac:dyDescent="0.25">
      <c r="A2" t="s">
        <v>14</v>
      </c>
      <c r="B2" t="str" cm="1">
        <f t="array" ref="B2:F2">_xlfn.TEXTSPLIT(A2,"_")</f>
        <v>MVPRP</v>
      </c>
      <c r="C2" t="str">
        <v>C10</v>
      </c>
      <c r="D2" t="str">
        <v>P3</v>
      </c>
      <c r="E2" t="str">
        <v>V3</v>
      </c>
      <c r="F2" t="str">
        <v>I1</v>
      </c>
      <c r="G2">
        <v>1.5</v>
      </c>
      <c r="H2">
        <v>14002</v>
      </c>
      <c r="I2">
        <v>14002</v>
      </c>
      <c r="J2">
        <v>14002</v>
      </c>
      <c r="K2">
        <v>14002</v>
      </c>
      <c r="L2">
        <v>0</v>
      </c>
      <c r="M2">
        <v>0</v>
      </c>
      <c r="N2">
        <v>0</v>
      </c>
      <c r="O2">
        <v>0</v>
      </c>
      <c r="P2">
        <v>0.99974083899999999</v>
      </c>
      <c r="Q2">
        <v>2.1614651679999999</v>
      </c>
      <c r="R2" s="8">
        <v>5.8236699999999998E-5</v>
      </c>
      <c r="S2">
        <v>0</v>
      </c>
      <c r="T2">
        <f>_xlfn.NUMBERVALUE(_xlfn.TEXTAFTER(C2,"C"))</f>
        <v>10</v>
      </c>
      <c r="U2" t="str">
        <f>IF(T2&lt;=20,"small",IF(AND(T2&gt;20,T2&lt;=35),"average","big"))</f>
        <v>small</v>
      </c>
    </row>
    <row r="3" spans="1:21" x14ac:dyDescent="0.25">
      <c r="A3" t="s">
        <v>14</v>
      </c>
      <c r="B3" t="str" cm="1">
        <f t="array" ref="B3:F3">_xlfn.TEXTSPLIT(A3,"_")</f>
        <v>MVPRP</v>
      </c>
      <c r="C3" t="str">
        <v>C10</v>
      </c>
      <c r="D3" t="str">
        <v>P3</v>
      </c>
      <c r="E3" t="str">
        <v>V3</v>
      </c>
      <c r="F3" t="str">
        <v>I1</v>
      </c>
      <c r="G3">
        <v>2</v>
      </c>
      <c r="H3">
        <v>14002</v>
      </c>
      <c r="I3">
        <v>14002</v>
      </c>
      <c r="J3">
        <v>14002</v>
      </c>
      <c r="K3">
        <v>14002</v>
      </c>
      <c r="L3">
        <v>0</v>
      </c>
      <c r="M3">
        <v>0</v>
      </c>
      <c r="N3">
        <v>0</v>
      </c>
      <c r="O3">
        <v>0</v>
      </c>
      <c r="P3">
        <v>0.99974083899999999</v>
      </c>
      <c r="Q3">
        <v>0.89143776900000005</v>
      </c>
      <c r="R3" s="8">
        <v>5.8236699999999998E-5</v>
      </c>
      <c r="S3">
        <v>0</v>
      </c>
      <c r="T3">
        <f t="shared" ref="T3:T66" si="0">_xlfn.NUMBERVALUE(_xlfn.TEXTAFTER(C3,"C"))</f>
        <v>10</v>
      </c>
      <c r="U3" t="str">
        <f t="shared" ref="U3:U66" si="1">IF(T3&lt;=20,"small",IF(AND(T3&gt;20,T3&lt;=35),"average","big"))</f>
        <v>small</v>
      </c>
    </row>
    <row r="4" spans="1:21" x14ac:dyDescent="0.25">
      <c r="A4" t="s">
        <v>14</v>
      </c>
      <c r="B4" t="str" cm="1">
        <f t="array" ref="B4:F4">_xlfn.TEXTSPLIT(A4,"_")</f>
        <v>MVPRP</v>
      </c>
      <c r="C4" t="str">
        <v>C10</v>
      </c>
      <c r="D4" t="str">
        <v>P3</v>
      </c>
      <c r="E4" t="str">
        <v>V3</v>
      </c>
      <c r="F4" t="str">
        <v>I1</v>
      </c>
      <c r="G4">
        <v>2.5</v>
      </c>
      <c r="H4">
        <v>14002</v>
      </c>
      <c r="I4">
        <v>14002</v>
      </c>
      <c r="J4">
        <v>14002</v>
      </c>
      <c r="K4">
        <v>14002</v>
      </c>
      <c r="L4">
        <v>0</v>
      </c>
      <c r="M4">
        <v>0</v>
      </c>
      <c r="N4">
        <v>0</v>
      </c>
      <c r="O4">
        <v>0</v>
      </c>
      <c r="P4">
        <v>0.99974083899999999</v>
      </c>
      <c r="Q4">
        <v>0.91344809500000002</v>
      </c>
      <c r="R4" s="8">
        <v>5.8236699999999998E-5</v>
      </c>
      <c r="S4">
        <v>0</v>
      </c>
      <c r="T4">
        <f t="shared" si="0"/>
        <v>10</v>
      </c>
      <c r="U4" t="str">
        <f t="shared" si="1"/>
        <v>small</v>
      </c>
    </row>
    <row r="5" spans="1:21" x14ac:dyDescent="0.25">
      <c r="A5" t="s">
        <v>14</v>
      </c>
      <c r="B5" t="str" cm="1">
        <f t="array" ref="B5:F5">_xlfn.TEXTSPLIT(A5,"_")</f>
        <v>MVPRP</v>
      </c>
      <c r="C5" t="str">
        <v>C10</v>
      </c>
      <c r="D5" t="str">
        <v>P3</v>
      </c>
      <c r="E5" t="str">
        <v>V3</v>
      </c>
      <c r="F5" t="str">
        <v>I1</v>
      </c>
      <c r="G5">
        <v>3</v>
      </c>
      <c r="H5">
        <v>14002</v>
      </c>
      <c r="I5">
        <v>14002</v>
      </c>
      <c r="J5">
        <v>14002</v>
      </c>
      <c r="K5">
        <v>14002</v>
      </c>
      <c r="L5">
        <v>0</v>
      </c>
      <c r="M5">
        <v>0</v>
      </c>
      <c r="N5">
        <v>0</v>
      </c>
      <c r="O5">
        <v>0</v>
      </c>
      <c r="P5">
        <v>0.99974083899999999</v>
      </c>
      <c r="Q5">
        <v>1.2103564739999999</v>
      </c>
      <c r="R5" s="8">
        <v>5.8236699999999998E-5</v>
      </c>
      <c r="S5">
        <v>0</v>
      </c>
      <c r="T5">
        <f t="shared" si="0"/>
        <v>10</v>
      </c>
      <c r="U5" t="str">
        <f t="shared" si="1"/>
        <v>small</v>
      </c>
    </row>
    <row r="6" spans="1:21" x14ac:dyDescent="0.25">
      <c r="A6" t="s">
        <v>15</v>
      </c>
      <c r="B6" t="str" cm="1">
        <f t="array" ref="B6:F6">_xlfn.TEXTSPLIT(A6,"_")</f>
        <v>MVPRP</v>
      </c>
      <c r="C6" t="str">
        <v>C10</v>
      </c>
      <c r="D6" t="str">
        <v>P6</v>
      </c>
      <c r="E6" t="str">
        <v>V3</v>
      </c>
      <c r="F6" t="str">
        <v>I1</v>
      </c>
      <c r="G6">
        <v>1.5</v>
      </c>
      <c r="H6">
        <v>29920.9</v>
      </c>
      <c r="I6">
        <v>29907.85</v>
      </c>
      <c r="J6">
        <v>29920.9</v>
      </c>
      <c r="K6">
        <v>29907.85</v>
      </c>
      <c r="L6">
        <v>13.05</v>
      </c>
      <c r="M6">
        <v>4.36E-2</v>
      </c>
      <c r="N6">
        <v>13.05</v>
      </c>
      <c r="O6">
        <v>4.36E-2</v>
      </c>
      <c r="P6">
        <v>7.6092712880000004</v>
      </c>
      <c r="Q6">
        <v>5.1943151949999997</v>
      </c>
      <c r="R6">
        <v>0</v>
      </c>
      <c r="S6">
        <v>0</v>
      </c>
      <c r="T6">
        <f t="shared" si="0"/>
        <v>10</v>
      </c>
      <c r="U6" t="str">
        <f t="shared" si="1"/>
        <v>small</v>
      </c>
    </row>
    <row r="7" spans="1:21" x14ac:dyDescent="0.25">
      <c r="A7" t="s">
        <v>15</v>
      </c>
      <c r="B7" t="str" cm="1">
        <f t="array" ref="B7:F7">_xlfn.TEXTSPLIT(A7,"_")</f>
        <v>MVPRP</v>
      </c>
      <c r="C7" t="str">
        <v>C10</v>
      </c>
      <c r="D7" t="str">
        <v>P6</v>
      </c>
      <c r="E7" t="str">
        <v>V3</v>
      </c>
      <c r="F7" t="str">
        <v>I1</v>
      </c>
      <c r="G7">
        <v>2</v>
      </c>
      <c r="H7">
        <v>29944.400000000001</v>
      </c>
      <c r="I7">
        <v>29940</v>
      </c>
      <c r="J7">
        <v>29944.400000000001</v>
      </c>
      <c r="K7">
        <v>29940</v>
      </c>
      <c r="L7">
        <v>4.4000000000000004</v>
      </c>
      <c r="M7">
        <v>1.47E-2</v>
      </c>
      <c r="N7">
        <v>4.4000000000000004</v>
      </c>
      <c r="O7">
        <v>1.47E-2</v>
      </c>
      <c r="P7">
        <v>7.6092712880000004</v>
      </c>
      <c r="Q7">
        <v>2.6720535760000002</v>
      </c>
      <c r="R7">
        <v>0</v>
      </c>
      <c r="S7">
        <v>0</v>
      </c>
      <c r="T7">
        <f t="shared" si="0"/>
        <v>10</v>
      </c>
      <c r="U7" t="str">
        <f t="shared" si="1"/>
        <v>small</v>
      </c>
    </row>
    <row r="8" spans="1:21" x14ac:dyDescent="0.25">
      <c r="A8" t="s">
        <v>15</v>
      </c>
      <c r="B8" t="str" cm="1">
        <f t="array" ref="B8:F8">_xlfn.TEXTSPLIT(A8,"_")</f>
        <v>MVPRP</v>
      </c>
      <c r="C8" t="str">
        <v>C10</v>
      </c>
      <c r="D8" t="str">
        <v>P6</v>
      </c>
      <c r="E8" t="str">
        <v>V3</v>
      </c>
      <c r="F8" t="str">
        <v>I1</v>
      </c>
      <c r="G8">
        <v>2.5</v>
      </c>
      <c r="H8">
        <v>29967.9</v>
      </c>
      <c r="I8">
        <v>29940</v>
      </c>
      <c r="J8">
        <v>29967.9</v>
      </c>
      <c r="K8">
        <v>29940</v>
      </c>
      <c r="L8">
        <v>27.9</v>
      </c>
      <c r="M8">
        <v>9.3200000000000005E-2</v>
      </c>
      <c r="N8">
        <v>27.9</v>
      </c>
      <c r="O8">
        <v>9.3200000000000005E-2</v>
      </c>
      <c r="P8">
        <v>7.6092712880000004</v>
      </c>
      <c r="Q8">
        <v>2.666111946</v>
      </c>
      <c r="R8">
        <v>0</v>
      </c>
      <c r="S8">
        <v>0</v>
      </c>
      <c r="T8">
        <f t="shared" si="0"/>
        <v>10</v>
      </c>
      <c r="U8" t="str">
        <f t="shared" si="1"/>
        <v>small</v>
      </c>
    </row>
    <row r="9" spans="1:21" x14ac:dyDescent="0.25">
      <c r="A9" t="s">
        <v>15</v>
      </c>
      <c r="B9" t="str" cm="1">
        <f t="array" ref="B9:F9">_xlfn.TEXTSPLIT(A9,"_")</f>
        <v>MVPRP</v>
      </c>
      <c r="C9" t="str">
        <v>C10</v>
      </c>
      <c r="D9" t="str">
        <v>P6</v>
      </c>
      <c r="E9" t="str">
        <v>V3</v>
      </c>
      <c r="F9" t="str">
        <v>I1</v>
      </c>
      <c r="G9">
        <v>3</v>
      </c>
      <c r="H9">
        <v>29991.4</v>
      </c>
      <c r="I9">
        <v>29940</v>
      </c>
      <c r="J9">
        <v>29991.4</v>
      </c>
      <c r="K9">
        <v>29940</v>
      </c>
      <c r="L9">
        <v>51.4</v>
      </c>
      <c r="M9">
        <v>0.17169999999999999</v>
      </c>
      <c r="N9">
        <v>51.4</v>
      </c>
      <c r="O9">
        <v>0.17169999999999999</v>
      </c>
      <c r="P9">
        <v>7.6092712880000004</v>
      </c>
      <c r="Q9">
        <v>2.9715235230000001</v>
      </c>
      <c r="R9">
        <v>0</v>
      </c>
      <c r="S9">
        <v>0</v>
      </c>
      <c r="T9">
        <f t="shared" si="0"/>
        <v>10</v>
      </c>
      <c r="U9" t="str">
        <f t="shared" si="1"/>
        <v>small</v>
      </c>
    </row>
    <row r="10" spans="1:21" x14ac:dyDescent="0.25">
      <c r="A10" t="s">
        <v>16</v>
      </c>
      <c r="B10" t="str" cm="1">
        <f t="array" ref="B10:F10">_xlfn.TEXTSPLIT(A10,"_")</f>
        <v>MVPRP</v>
      </c>
      <c r="C10" t="str">
        <v>C10</v>
      </c>
      <c r="D10" t="str">
        <v>P9</v>
      </c>
      <c r="E10" t="str">
        <v>V3</v>
      </c>
      <c r="F10" t="str">
        <v>I1</v>
      </c>
      <c r="G10">
        <v>1.5</v>
      </c>
      <c r="H10">
        <v>51790.7</v>
      </c>
      <c r="I10">
        <v>51790.699910000003</v>
      </c>
      <c r="J10">
        <v>51790.7</v>
      </c>
      <c r="K10">
        <v>51790.699910000003</v>
      </c>
      <c r="L10">
        <v>0</v>
      </c>
      <c r="M10">
        <v>0</v>
      </c>
      <c r="N10">
        <v>0</v>
      </c>
      <c r="O10">
        <v>0</v>
      </c>
      <c r="P10">
        <v>71.930509090000001</v>
      </c>
      <c r="Q10">
        <v>61.38288593</v>
      </c>
      <c r="R10">
        <v>0</v>
      </c>
      <c r="S10">
        <v>0</v>
      </c>
      <c r="T10">
        <f t="shared" si="0"/>
        <v>10</v>
      </c>
      <c r="U10" t="str">
        <f t="shared" si="1"/>
        <v>small</v>
      </c>
    </row>
    <row r="11" spans="1:21" x14ac:dyDescent="0.25">
      <c r="A11" t="s">
        <v>16</v>
      </c>
      <c r="B11" t="str" cm="1">
        <f t="array" ref="B11:F11">_xlfn.TEXTSPLIT(A11,"_")</f>
        <v>MVPRP</v>
      </c>
      <c r="C11" t="str">
        <v>C10</v>
      </c>
      <c r="D11" t="str">
        <v>P9</v>
      </c>
      <c r="E11" t="str">
        <v>V3</v>
      </c>
      <c r="F11" t="str">
        <v>I1</v>
      </c>
      <c r="G11">
        <v>2</v>
      </c>
      <c r="H11">
        <v>51914.400000000001</v>
      </c>
      <c r="I11">
        <v>51911.6</v>
      </c>
      <c r="J11">
        <v>51914.400000000001</v>
      </c>
      <c r="K11">
        <v>51911.6</v>
      </c>
      <c r="L11">
        <v>2.8</v>
      </c>
      <c r="M11">
        <v>5.4000000000000003E-3</v>
      </c>
      <c r="N11">
        <v>2.8</v>
      </c>
      <c r="O11">
        <v>5.4000000000000003E-3</v>
      </c>
      <c r="P11">
        <v>71.930509090000001</v>
      </c>
      <c r="Q11">
        <v>35.950020070000001</v>
      </c>
      <c r="R11">
        <v>0</v>
      </c>
      <c r="S11">
        <v>0</v>
      </c>
      <c r="T11">
        <f t="shared" si="0"/>
        <v>10</v>
      </c>
      <c r="U11" t="str">
        <f t="shared" si="1"/>
        <v>small</v>
      </c>
    </row>
    <row r="12" spans="1:21" x14ac:dyDescent="0.25">
      <c r="A12" t="s">
        <v>16</v>
      </c>
      <c r="B12" t="str" cm="1">
        <f t="array" ref="B12:F12">_xlfn.TEXTSPLIT(A12,"_")</f>
        <v>MVPRP</v>
      </c>
      <c r="C12" t="str">
        <v>C10</v>
      </c>
      <c r="D12" t="str">
        <v>P9</v>
      </c>
      <c r="E12" t="str">
        <v>V3</v>
      </c>
      <c r="F12" t="str">
        <v>I1</v>
      </c>
      <c r="G12">
        <v>2.5</v>
      </c>
      <c r="H12">
        <v>51997.599999999999</v>
      </c>
      <c r="I12">
        <v>51991.1</v>
      </c>
      <c r="J12">
        <v>51997.599999999999</v>
      </c>
      <c r="K12">
        <v>51991.1</v>
      </c>
      <c r="L12">
        <v>6.5</v>
      </c>
      <c r="M12">
        <v>1.2500000000000001E-2</v>
      </c>
      <c r="N12">
        <v>6.5</v>
      </c>
      <c r="O12">
        <v>1.2500000000000001E-2</v>
      </c>
      <c r="P12">
        <v>71.930509090000001</v>
      </c>
      <c r="Q12">
        <v>33.114485029999997</v>
      </c>
      <c r="R12">
        <v>0</v>
      </c>
      <c r="S12">
        <v>0</v>
      </c>
      <c r="T12">
        <f t="shared" si="0"/>
        <v>10</v>
      </c>
      <c r="U12" t="str">
        <f t="shared" si="1"/>
        <v>small</v>
      </c>
    </row>
    <row r="13" spans="1:21" x14ac:dyDescent="0.25">
      <c r="A13" t="s">
        <v>16</v>
      </c>
      <c r="B13" t="str" cm="1">
        <f t="array" ref="B13:F13">_xlfn.TEXTSPLIT(A13,"_")</f>
        <v>MVPRP</v>
      </c>
      <c r="C13" t="str">
        <v>C10</v>
      </c>
      <c r="D13" t="str">
        <v>P9</v>
      </c>
      <c r="E13" t="str">
        <v>V3</v>
      </c>
      <c r="F13" t="str">
        <v>I1</v>
      </c>
      <c r="G13">
        <v>3</v>
      </c>
      <c r="H13">
        <v>52080.800000000003</v>
      </c>
      <c r="I13">
        <v>52070.6</v>
      </c>
      <c r="J13">
        <v>52080.800000000003</v>
      </c>
      <c r="K13">
        <v>52070.6</v>
      </c>
      <c r="L13">
        <v>10.199999999999999</v>
      </c>
      <c r="M13">
        <v>1.9599999999999999E-2</v>
      </c>
      <c r="N13">
        <v>10.199999999999999</v>
      </c>
      <c r="O13">
        <v>1.9599999999999999E-2</v>
      </c>
      <c r="P13">
        <v>71.930509090000001</v>
      </c>
      <c r="Q13">
        <v>33.002681969999998</v>
      </c>
      <c r="R13">
        <v>0</v>
      </c>
      <c r="S13">
        <v>0</v>
      </c>
      <c r="T13">
        <f t="shared" si="0"/>
        <v>10</v>
      </c>
      <c r="U13" t="str">
        <f t="shared" si="1"/>
        <v>small</v>
      </c>
    </row>
    <row r="14" spans="1:21" x14ac:dyDescent="0.25">
      <c r="A14" t="s">
        <v>17</v>
      </c>
      <c r="B14" t="str" cm="1">
        <f t="array" ref="B14:F14">_xlfn.TEXTSPLIT(A14,"_")</f>
        <v>MVPRP</v>
      </c>
      <c r="C14" t="str">
        <v>C15</v>
      </c>
      <c r="D14" t="str">
        <v>P3</v>
      </c>
      <c r="E14" t="str">
        <v>V3</v>
      </c>
      <c r="F14" t="str">
        <v>I1</v>
      </c>
      <c r="G14">
        <v>1.5</v>
      </c>
      <c r="H14">
        <v>19645</v>
      </c>
      <c r="I14">
        <v>19645</v>
      </c>
      <c r="J14">
        <v>19645</v>
      </c>
      <c r="K14">
        <v>19645</v>
      </c>
      <c r="L14">
        <v>0</v>
      </c>
      <c r="M14">
        <v>0</v>
      </c>
      <c r="N14">
        <v>0</v>
      </c>
      <c r="O14">
        <v>0</v>
      </c>
      <c r="P14">
        <v>7.2956309319999999</v>
      </c>
      <c r="Q14">
        <v>6.688954592</v>
      </c>
      <c r="R14">
        <v>0</v>
      </c>
      <c r="S14">
        <v>0</v>
      </c>
      <c r="T14">
        <f t="shared" si="0"/>
        <v>15</v>
      </c>
      <c r="U14" t="str">
        <f t="shared" si="1"/>
        <v>small</v>
      </c>
    </row>
    <row r="15" spans="1:21" x14ac:dyDescent="0.25">
      <c r="A15" t="s">
        <v>17</v>
      </c>
      <c r="B15" t="str" cm="1">
        <f t="array" ref="B15:F15">_xlfn.TEXTSPLIT(A15,"_")</f>
        <v>MVPRP</v>
      </c>
      <c r="C15" t="str">
        <v>C15</v>
      </c>
      <c r="D15" t="str">
        <v>P3</v>
      </c>
      <c r="E15" t="str">
        <v>V3</v>
      </c>
      <c r="F15" t="str">
        <v>I1</v>
      </c>
      <c r="G15">
        <v>2</v>
      </c>
      <c r="H15">
        <v>19680</v>
      </c>
      <c r="I15">
        <v>19680</v>
      </c>
      <c r="J15">
        <v>19680</v>
      </c>
      <c r="K15">
        <v>19680</v>
      </c>
      <c r="L15">
        <v>0</v>
      </c>
      <c r="M15">
        <v>0</v>
      </c>
      <c r="N15">
        <v>0</v>
      </c>
      <c r="O15">
        <v>0</v>
      </c>
      <c r="P15">
        <v>7.2956309319999999</v>
      </c>
      <c r="Q15">
        <v>4.0539736749999999</v>
      </c>
      <c r="R15">
        <v>0</v>
      </c>
      <c r="S15">
        <v>0</v>
      </c>
      <c r="T15">
        <f t="shared" si="0"/>
        <v>15</v>
      </c>
      <c r="U15" t="str">
        <f t="shared" si="1"/>
        <v>small</v>
      </c>
    </row>
    <row r="16" spans="1:21" x14ac:dyDescent="0.25">
      <c r="A16" t="s">
        <v>17</v>
      </c>
      <c r="B16" t="str" cm="1">
        <f t="array" ref="B16:F16">_xlfn.TEXTSPLIT(A16,"_")</f>
        <v>MVPRP</v>
      </c>
      <c r="C16" t="str">
        <v>C15</v>
      </c>
      <c r="D16" t="str">
        <v>P3</v>
      </c>
      <c r="E16" t="str">
        <v>V3</v>
      </c>
      <c r="F16" t="str">
        <v>I1</v>
      </c>
      <c r="G16">
        <v>2.5</v>
      </c>
      <c r="H16">
        <v>19683.5</v>
      </c>
      <c r="I16">
        <v>19683.5</v>
      </c>
      <c r="J16">
        <v>19683.5</v>
      </c>
      <c r="K16">
        <v>19683.5</v>
      </c>
      <c r="L16">
        <v>0</v>
      </c>
      <c r="M16">
        <v>0</v>
      </c>
      <c r="N16">
        <v>0</v>
      </c>
      <c r="O16">
        <v>0</v>
      </c>
      <c r="P16">
        <v>7.2956309319999999</v>
      </c>
      <c r="Q16">
        <v>3.5577590469999998</v>
      </c>
      <c r="R16">
        <v>0</v>
      </c>
      <c r="S16">
        <v>0</v>
      </c>
      <c r="T16">
        <f t="shared" si="0"/>
        <v>15</v>
      </c>
      <c r="U16" t="str">
        <f t="shared" si="1"/>
        <v>small</v>
      </c>
    </row>
    <row r="17" spans="1:21" x14ac:dyDescent="0.25">
      <c r="A17" t="s">
        <v>17</v>
      </c>
      <c r="B17" t="str" cm="1">
        <f t="array" ref="B17:F17">_xlfn.TEXTSPLIT(A17,"_")</f>
        <v>MVPRP</v>
      </c>
      <c r="C17" t="str">
        <v>C15</v>
      </c>
      <c r="D17" t="str">
        <v>P3</v>
      </c>
      <c r="E17" t="str">
        <v>V3</v>
      </c>
      <c r="F17" t="str">
        <v>I1</v>
      </c>
      <c r="G17">
        <v>3</v>
      </c>
      <c r="H17">
        <v>19687</v>
      </c>
      <c r="I17">
        <v>19687</v>
      </c>
      <c r="J17">
        <v>19687</v>
      </c>
      <c r="K17">
        <v>19687</v>
      </c>
      <c r="L17">
        <v>0</v>
      </c>
      <c r="M17">
        <v>0</v>
      </c>
      <c r="N17">
        <v>0</v>
      </c>
      <c r="O17">
        <v>0</v>
      </c>
      <c r="P17">
        <v>7.2956309319999999</v>
      </c>
      <c r="Q17">
        <v>5.0368688109999997</v>
      </c>
      <c r="R17">
        <v>0</v>
      </c>
      <c r="S17">
        <v>0</v>
      </c>
      <c r="T17">
        <f t="shared" si="0"/>
        <v>15</v>
      </c>
      <c r="U17" t="str">
        <f t="shared" si="1"/>
        <v>small</v>
      </c>
    </row>
    <row r="18" spans="1:21" x14ac:dyDescent="0.25">
      <c r="A18" t="s">
        <v>18</v>
      </c>
      <c r="B18" t="str" cm="1">
        <f t="array" ref="B18:F18">_xlfn.TEXTSPLIT(A18,"_")</f>
        <v>MVPRP</v>
      </c>
      <c r="C18" t="str">
        <v>C15</v>
      </c>
      <c r="D18" t="str">
        <v>P6</v>
      </c>
      <c r="E18" t="str">
        <v>V3</v>
      </c>
      <c r="F18" t="str">
        <v>I1</v>
      </c>
      <c r="G18">
        <v>1.5</v>
      </c>
      <c r="H18">
        <v>42179</v>
      </c>
      <c r="I18">
        <v>42156.5</v>
      </c>
      <c r="J18">
        <v>42179</v>
      </c>
      <c r="K18">
        <v>42156.5</v>
      </c>
      <c r="L18">
        <v>22.5</v>
      </c>
      <c r="M18">
        <v>5.3400000000000003E-2</v>
      </c>
      <c r="N18">
        <v>22.5</v>
      </c>
      <c r="O18">
        <v>5.3400000000000003E-2</v>
      </c>
      <c r="P18">
        <v>252.8129241</v>
      </c>
      <c r="Q18">
        <v>35.227037430000003</v>
      </c>
      <c r="R18" s="8">
        <v>7.7013299999999997E-5</v>
      </c>
      <c r="S18">
        <v>0</v>
      </c>
      <c r="T18">
        <f t="shared" si="0"/>
        <v>15</v>
      </c>
      <c r="U18" t="str">
        <f t="shared" si="1"/>
        <v>small</v>
      </c>
    </row>
    <row r="19" spans="1:21" x14ac:dyDescent="0.25">
      <c r="A19" t="s">
        <v>18</v>
      </c>
      <c r="B19" t="str" cm="1">
        <f t="array" ref="B19:F19">_xlfn.TEXTSPLIT(A19,"_")</f>
        <v>MVPRP</v>
      </c>
      <c r="C19" t="str">
        <v>C15</v>
      </c>
      <c r="D19" t="str">
        <v>P6</v>
      </c>
      <c r="E19" t="str">
        <v>V3</v>
      </c>
      <c r="F19" t="str">
        <v>I1</v>
      </c>
      <c r="G19">
        <v>2</v>
      </c>
      <c r="H19">
        <v>42247.199999999997</v>
      </c>
      <c r="I19">
        <v>42232.1</v>
      </c>
      <c r="J19">
        <v>42247.199999999997</v>
      </c>
      <c r="K19">
        <v>42232.1</v>
      </c>
      <c r="L19">
        <v>15.1</v>
      </c>
      <c r="M19">
        <v>3.5799999999999998E-2</v>
      </c>
      <c r="N19">
        <v>15.1</v>
      </c>
      <c r="O19">
        <v>3.5799999999999998E-2</v>
      </c>
      <c r="P19">
        <v>252.8129241</v>
      </c>
      <c r="Q19">
        <v>12.88883519</v>
      </c>
      <c r="R19" s="8">
        <v>7.7013299999999997E-5</v>
      </c>
      <c r="S19">
        <v>0</v>
      </c>
      <c r="T19">
        <f t="shared" si="0"/>
        <v>15</v>
      </c>
      <c r="U19" t="str">
        <f t="shared" si="1"/>
        <v>small</v>
      </c>
    </row>
    <row r="20" spans="1:21" x14ac:dyDescent="0.25">
      <c r="A20" t="s">
        <v>18</v>
      </c>
      <c r="B20" t="str" cm="1">
        <f t="array" ref="B20:F20">_xlfn.TEXTSPLIT(A20,"_")</f>
        <v>MVPRP</v>
      </c>
      <c r="C20" t="str">
        <v>C15</v>
      </c>
      <c r="D20" t="str">
        <v>P6</v>
      </c>
      <c r="E20" t="str">
        <v>V3</v>
      </c>
      <c r="F20" t="str">
        <v>I1</v>
      </c>
      <c r="G20">
        <v>2.5</v>
      </c>
      <c r="H20">
        <v>42283.9</v>
      </c>
      <c r="I20">
        <v>42257.15</v>
      </c>
      <c r="J20">
        <v>42283.9</v>
      </c>
      <c r="K20">
        <v>42257.15</v>
      </c>
      <c r="L20">
        <v>26.75</v>
      </c>
      <c r="M20">
        <v>6.3299999999999995E-2</v>
      </c>
      <c r="N20">
        <v>26.75</v>
      </c>
      <c r="O20">
        <v>6.3299999999999995E-2</v>
      </c>
      <c r="P20">
        <v>252.8129241</v>
      </c>
      <c r="Q20">
        <v>12.64476657</v>
      </c>
      <c r="R20" s="8">
        <v>7.7013299999999997E-5</v>
      </c>
      <c r="S20">
        <v>0</v>
      </c>
      <c r="T20">
        <f t="shared" si="0"/>
        <v>15</v>
      </c>
      <c r="U20" t="str">
        <f t="shared" si="1"/>
        <v>small</v>
      </c>
    </row>
    <row r="21" spans="1:21" x14ac:dyDescent="0.25">
      <c r="A21" t="s">
        <v>18</v>
      </c>
      <c r="B21" t="str" cm="1">
        <f t="array" ref="B21:F21">_xlfn.TEXTSPLIT(A21,"_")</f>
        <v>MVPRP</v>
      </c>
      <c r="C21" t="str">
        <v>C15</v>
      </c>
      <c r="D21" t="str">
        <v>P6</v>
      </c>
      <c r="E21" t="str">
        <v>V3</v>
      </c>
      <c r="F21" t="str">
        <v>I1</v>
      </c>
      <c r="G21">
        <v>3</v>
      </c>
      <c r="H21">
        <v>42320.6</v>
      </c>
      <c r="I21">
        <v>42282.2</v>
      </c>
      <c r="J21">
        <v>42320.6</v>
      </c>
      <c r="K21">
        <v>42282.2</v>
      </c>
      <c r="L21">
        <v>38.4</v>
      </c>
      <c r="M21">
        <v>9.0800000000000006E-2</v>
      </c>
      <c r="N21">
        <v>38.4</v>
      </c>
      <c r="O21">
        <v>9.0800000000000006E-2</v>
      </c>
      <c r="P21">
        <v>252.8129241</v>
      </c>
      <c r="Q21">
        <v>13.22247434</v>
      </c>
      <c r="R21" s="8">
        <v>7.7013299999999997E-5</v>
      </c>
      <c r="S21">
        <v>0</v>
      </c>
      <c r="T21">
        <f t="shared" si="0"/>
        <v>15</v>
      </c>
      <c r="U21" t="str">
        <f t="shared" si="1"/>
        <v>small</v>
      </c>
    </row>
    <row r="22" spans="1:21" x14ac:dyDescent="0.25">
      <c r="A22" t="s">
        <v>19</v>
      </c>
      <c r="B22" t="str" cm="1">
        <f t="array" ref="B22:F22">_xlfn.TEXTSPLIT(A22,"_")</f>
        <v>MVPRP</v>
      </c>
      <c r="C22" t="str">
        <v>C15</v>
      </c>
      <c r="D22" t="str">
        <v>P9</v>
      </c>
      <c r="E22" t="str">
        <v>V3</v>
      </c>
      <c r="F22" t="str">
        <v>I1</v>
      </c>
      <c r="G22">
        <v>1.5</v>
      </c>
      <c r="H22">
        <v>75025.600000000006</v>
      </c>
      <c r="I22">
        <v>74827.999849999993</v>
      </c>
      <c r="J22">
        <v>75024.261259999999</v>
      </c>
      <c r="K22">
        <v>74382.293130000005</v>
      </c>
      <c r="L22">
        <v>197.6</v>
      </c>
      <c r="M22">
        <v>0.2641</v>
      </c>
      <c r="N22">
        <v>643.30999999999995</v>
      </c>
      <c r="O22">
        <v>0.85970000000000002</v>
      </c>
      <c r="P22">
        <v>3601.2655890000001</v>
      </c>
      <c r="Q22">
        <v>3600.0747190000002</v>
      </c>
      <c r="R22">
        <v>1.0956858E-2</v>
      </c>
      <c r="S22">
        <v>5.956416E-3</v>
      </c>
      <c r="T22">
        <f t="shared" si="0"/>
        <v>15</v>
      </c>
      <c r="U22" t="str">
        <f t="shared" si="1"/>
        <v>small</v>
      </c>
    </row>
    <row r="23" spans="1:21" x14ac:dyDescent="0.25">
      <c r="A23" t="s">
        <v>19</v>
      </c>
      <c r="B23" t="str" cm="1">
        <f t="array" ref="B23:F23">_xlfn.TEXTSPLIT(A23,"_")</f>
        <v>MVPRP</v>
      </c>
      <c r="C23" t="str">
        <v>C15</v>
      </c>
      <c r="D23" t="str">
        <v>P9</v>
      </c>
      <c r="E23" t="str">
        <v>V3</v>
      </c>
      <c r="F23" t="str">
        <v>I1</v>
      </c>
      <c r="G23">
        <v>2</v>
      </c>
      <c r="H23">
        <v>75289.3</v>
      </c>
      <c r="I23">
        <v>75096.599910000004</v>
      </c>
      <c r="J23">
        <v>75287.961259999996</v>
      </c>
      <c r="K23">
        <v>74861.929170000003</v>
      </c>
      <c r="L23">
        <v>192.7</v>
      </c>
      <c r="M23">
        <v>0.25659999999999999</v>
      </c>
      <c r="N23">
        <v>427.37</v>
      </c>
      <c r="O23">
        <v>0.56910000000000005</v>
      </c>
      <c r="P23">
        <v>3601.2655890000001</v>
      </c>
      <c r="Q23">
        <v>3600.077464</v>
      </c>
      <c r="R23">
        <v>1.0956858E-2</v>
      </c>
      <c r="S23">
        <v>3.124918E-3</v>
      </c>
      <c r="T23">
        <f t="shared" si="0"/>
        <v>15</v>
      </c>
      <c r="U23" t="str">
        <f t="shared" si="1"/>
        <v>small</v>
      </c>
    </row>
    <row r="24" spans="1:21" x14ac:dyDescent="0.25">
      <c r="A24" t="s">
        <v>19</v>
      </c>
      <c r="B24" t="str" cm="1">
        <f t="array" ref="B24:F24">_xlfn.TEXTSPLIT(A24,"_")</f>
        <v>MVPRP</v>
      </c>
      <c r="C24" t="str">
        <v>C15</v>
      </c>
      <c r="D24" t="str">
        <v>P9</v>
      </c>
      <c r="E24" t="str">
        <v>V3</v>
      </c>
      <c r="F24" t="str">
        <v>I1</v>
      </c>
      <c r="G24">
        <v>2.5</v>
      </c>
      <c r="H24">
        <v>75540.850000000006</v>
      </c>
      <c r="I24">
        <v>75244.049060000005</v>
      </c>
      <c r="J24">
        <v>75539.511259999999</v>
      </c>
      <c r="K24">
        <v>75175.524170000004</v>
      </c>
      <c r="L24">
        <v>296.8</v>
      </c>
      <c r="M24">
        <v>0.39450000000000002</v>
      </c>
      <c r="N24">
        <v>365.33</v>
      </c>
      <c r="O24">
        <v>0.48549999999999999</v>
      </c>
      <c r="P24">
        <v>3601.2655890000001</v>
      </c>
      <c r="Q24">
        <v>3600.0604699999999</v>
      </c>
      <c r="R24">
        <v>1.0956858E-2</v>
      </c>
      <c r="S24">
        <v>9.10702E-4</v>
      </c>
      <c r="T24">
        <f t="shared" si="0"/>
        <v>15</v>
      </c>
      <c r="U24" t="str">
        <f t="shared" si="1"/>
        <v>small</v>
      </c>
    </row>
    <row r="25" spans="1:21" x14ac:dyDescent="0.25">
      <c r="A25" t="s">
        <v>19</v>
      </c>
      <c r="B25" t="str" cm="1">
        <f t="array" ref="B25:F25">_xlfn.TEXTSPLIT(A25,"_")</f>
        <v>MVPRP</v>
      </c>
      <c r="C25" t="str">
        <v>C15</v>
      </c>
      <c r="D25" t="str">
        <v>P9</v>
      </c>
      <c r="E25" t="str">
        <v>V3</v>
      </c>
      <c r="F25" t="str">
        <v>I1</v>
      </c>
      <c r="G25">
        <v>3</v>
      </c>
      <c r="H25">
        <v>75792.399999999994</v>
      </c>
      <c r="I25">
        <v>75387.5</v>
      </c>
      <c r="J25">
        <v>75790.961559999996</v>
      </c>
      <c r="K25">
        <v>75387.5</v>
      </c>
      <c r="L25">
        <v>404.9</v>
      </c>
      <c r="M25">
        <v>0.53710000000000002</v>
      </c>
      <c r="N25">
        <v>404.9</v>
      </c>
      <c r="O25">
        <v>0.53710000000000002</v>
      </c>
      <c r="P25">
        <v>3601.2655890000001</v>
      </c>
      <c r="Q25">
        <v>2016.278219</v>
      </c>
      <c r="R25">
        <v>1.0956858E-2</v>
      </c>
      <c r="S25">
        <v>0</v>
      </c>
      <c r="T25">
        <f t="shared" si="0"/>
        <v>15</v>
      </c>
      <c r="U25" t="str">
        <f t="shared" si="1"/>
        <v>small</v>
      </c>
    </row>
    <row r="26" spans="1:21" x14ac:dyDescent="0.25">
      <c r="A26" t="s">
        <v>20</v>
      </c>
      <c r="B26" t="str" cm="1">
        <f t="array" ref="B26:F26">_xlfn.TEXTSPLIT(A26,"_")</f>
        <v>MVPRP</v>
      </c>
      <c r="C26" t="str">
        <v>C20</v>
      </c>
      <c r="D26" t="str">
        <v>P3</v>
      </c>
      <c r="E26" t="str">
        <v>V3</v>
      </c>
      <c r="F26" t="str">
        <v>I1</v>
      </c>
      <c r="G26">
        <v>1.5</v>
      </c>
      <c r="H26">
        <v>22384.6</v>
      </c>
      <c r="I26">
        <v>22384.6</v>
      </c>
      <c r="J26">
        <v>22384.6</v>
      </c>
      <c r="K26">
        <v>22384.6</v>
      </c>
      <c r="L26">
        <v>0</v>
      </c>
      <c r="M26">
        <v>0</v>
      </c>
      <c r="N26">
        <v>0</v>
      </c>
      <c r="O26">
        <v>0</v>
      </c>
      <c r="P26">
        <v>7.5493636129999997</v>
      </c>
      <c r="Q26">
        <v>5.7958722109999998</v>
      </c>
      <c r="R26">
        <v>0</v>
      </c>
      <c r="S26">
        <v>0</v>
      </c>
      <c r="T26">
        <f t="shared" si="0"/>
        <v>20</v>
      </c>
      <c r="U26" t="str">
        <f t="shared" si="1"/>
        <v>small</v>
      </c>
    </row>
    <row r="27" spans="1:21" x14ac:dyDescent="0.25">
      <c r="A27" t="s">
        <v>20</v>
      </c>
      <c r="B27" t="str" cm="1">
        <f t="array" ref="B27:F27">_xlfn.TEXTSPLIT(A27,"_")</f>
        <v>MVPRP</v>
      </c>
      <c r="C27" t="str">
        <v>C20</v>
      </c>
      <c r="D27" t="str">
        <v>P3</v>
      </c>
      <c r="E27" t="str">
        <v>V3</v>
      </c>
      <c r="F27" t="str">
        <v>I1</v>
      </c>
      <c r="G27">
        <v>2</v>
      </c>
      <c r="H27">
        <v>22402.5</v>
      </c>
      <c r="I27">
        <v>22402.5</v>
      </c>
      <c r="J27">
        <v>22402.5</v>
      </c>
      <c r="K27">
        <v>22402.5</v>
      </c>
      <c r="L27">
        <v>0</v>
      </c>
      <c r="M27">
        <v>0</v>
      </c>
      <c r="N27">
        <v>0</v>
      </c>
      <c r="O27">
        <v>0</v>
      </c>
      <c r="P27">
        <v>7.5493636129999997</v>
      </c>
      <c r="Q27">
        <v>8.3497776990000006</v>
      </c>
      <c r="R27">
        <v>0</v>
      </c>
      <c r="S27">
        <v>0</v>
      </c>
      <c r="T27">
        <f t="shared" si="0"/>
        <v>20</v>
      </c>
      <c r="U27" t="str">
        <f t="shared" si="1"/>
        <v>small</v>
      </c>
    </row>
    <row r="28" spans="1:21" x14ac:dyDescent="0.25">
      <c r="A28" t="s">
        <v>20</v>
      </c>
      <c r="B28" t="str" cm="1">
        <f t="array" ref="B28:F28">_xlfn.TEXTSPLIT(A28,"_")</f>
        <v>MVPRP</v>
      </c>
      <c r="C28" t="str">
        <v>C20</v>
      </c>
      <c r="D28" t="str">
        <v>P3</v>
      </c>
      <c r="E28" t="str">
        <v>V3</v>
      </c>
      <c r="F28" t="str">
        <v>I1</v>
      </c>
      <c r="G28">
        <v>2.5</v>
      </c>
      <c r="H28">
        <v>22420.400000000001</v>
      </c>
      <c r="I28">
        <v>22420.400000000001</v>
      </c>
      <c r="J28">
        <v>22420.400000000001</v>
      </c>
      <c r="K28">
        <v>22420.400000000001</v>
      </c>
      <c r="L28">
        <v>0</v>
      </c>
      <c r="M28">
        <v>0</v>
      </c>
      <c r="N28">
        <v>0</v>
      </c>
      <c r="O28">
        <v>0</v>
      </c>
      <c r="P28">
        <v>7.5493636129999997</v>
      </c>
      <c r="Q28">
        <v>4.526210785</v>
      </c>
      <c r="R28">
        <v>0</v>
      </c>
      <c r="S28">
        <v>0</v>
      </c>
      <c r="T28">
        <f t="shared" si="0"/>
        <v>20</v>
      </c>
      <c r="U28" t="str">
        <f t="shared" si="1"/>
        <v>small</v>
      </c>
    </row>
    <row r="29" spans="1:21" x14ac:dyDescent="0.25">
      <c r="A29" t="s">
        <v>20</v>
      </c>
      <c r="B29" t="str" cm="1">
        <f t="array" ref="B29:F29">_xlfn.TEXTSPLIT(A29,"_")</f>
        <v>MVPRP</v>
      </c>
      <c r="C29" t="str">
        <v>C20</v>
      </c>
      <c r="D29" t="str">
        <v>P3</v>
      </c>
      <c r="E29" t="str">
        <v>V3</v>
      </c>
      <c r="F29" t="str">
        <v>I1</v>
      </c>
      <c r="G29">
        <v>3</v>
      </c>
      <c r="H29">
        <v>22438.3</v>
      </c>
      <c r="I29">
        <v>22438.3</v>
      </c>
      <c r="J29">
        <v>22438.3</v>
      </c>
      <c r="K29">
        <v>22438.3</v>
      </c>
      <c r="L29">
        <v>0</v>
      </c>
      <c r="M29">
        <v>0</v>
      </c>
      <c r="N29">
        <v>0</v>
      </c>
      <c r="O29">
        <v>0</v>
      </c>
      <c r="P29">
        <v>7.5493636129999997</v>
      </c>
      <c r="Q29">
        <v>3.8837537769999999</v>
      </c>
      <c r="R29">
        <v>0</v>
      </c>
      <c r="S29">
        <v>0</v>
      </c>
      <c r="T29">
        <f t="shared" si="0"/>
        <v>20</v>
      </c>
      <c r="U29" t="str">
        <f t="shared" si="1"/>
        <v>small</v>
      </c>
    </row>
    <row r="30" spans="1:21" x14ac:dyDescent="0.25">
      <c r="A30" t="s">
        <v>21</v>
      </c>
      <c r="B30" t="str" cm="1">
        <f t="array" ref="B30:F30">_xlfn.TEXTSPLIT(A30,"_")</f>
        <v>MVPRP</v>
      </c>
      <c r="C30" t="str">
        <v>C20</v>
      </c>
      <c r="D30" t="str">
        <v>P6</v>
      </c>
      <c r="E30" t="str">
        <v>V3</v>
      </c>
      <c r="F30" t="str">
        <v>I1</v>
      </c>
      <c r="G30">
        <v>1.5</v>
      </c>
      <c r="H30">
        <v>47690.6</v>
      </c>
      <c r="I30">
        <v>47690.59996</v>
      </c>
      <c r="J30">
        <v>47690.6</v>
      </c>
      <c r="K30">
        <v>47690.59996</v>
      </c>
      <c r="L30">
        <v>0</v>
      </c>
      <c r="M30">
        <v>0</v>
      </c>
      <c r="N30">
        <v>0</v>
      </c>
      <c r="O30">
        <v>0</v>
      </c>
      <c r="P30">
        <v>32.70352054</v>
      </c>
      <c r="Q30">
        <v>23.012901540000001</v>
      </c>
      <c r="R30">
        <v>0</v>
      </c>
      <c r="S30">
        <v>0</v>
      </c>
      <c r="T30">
        <f t="shared" si="0"/>
        <v>20</v>
      </c>
      <c r="U30" t="str">
        <f t="shared" si="1"/>
        <v>small</v>
      </c>
    </row>
    <row r="31" spans="1:21" x14ac:dyDescent="0.25">
      <c r="A31" t="s">
        <v>21</v>
      </c>
      <c r="B31" t="str" cm="1">
        <f t="array" ref="B31:F31">_xlfn.TEXTSPLIT(A31,"_")</f>
        <v>MVPRP</v>
      </c>
      <c r="C31" t="str">
        <v>C20</v>
      </c>
      <c r="D31" t="str">
        <v>P6</v>
      </c>
      <c r="E31" t="str">
        <v>V3</v>
      </c>
      <c r="F31" t="str">
        <v>I1</v>
      </c>
      <c r="G31">
        <v>2</v>
      </c>
      <c r="H31">
        <v>47708.5</v>
      </c>
      <c r="I31">
        <v>47708.5</v>
      </c>
      <c r="J31">
        <v>47708.5</v>
      </c>
      <c r="K31">
        <v>47708.5</v>
      </c>
      <c r="L31">
        <v>0</v>
      </c>
      <c r="M31">
        <v>0</v>
      </c>
      <c r="N31">
        <v>0</v>
      </c>
      <c r="O31">
        <v>0</v>
      </c>
      <c r="P31">
        <v>32.70352054</v>
      </c>
      <c r="Q31">
        <v>14.875381709999999</v>
      </c>
      <c r="R31">
        <v>0</v>
      </c>
      <c r="S31">
        <v>0</v>
      </c>
      <c r="T31">
        <f t="shared" si="0"/>
        <v>20</v>
      </c>
      <c r="U31" t="str">
        <f t="shared" si="1"/>
        <v>small</v>
      </c>
    </row>
    <row r="32" spans="1:21" x14ac:dyDescent="0.25">
      <c r="A32" t="s">
        <v>21</v>
      </c>
      <c r="B32" t="str" cm="1">
        <f t="array" ref="B32:F32">_xlfn.TEXTSPLIT(A32,"_")</f>
        <v>MVPRP</v>
      </c>
      <c r="C32" t="str">
        <v>C20</v>
      </c>
      <c r="D32" t="str">
        <v>P6</v>
      </c>
      <c r="E32" t="str">
        <v>V3</v>
      </c>
      <c r="F32" t="str">
        <v>I1</v>
      </c>
      <c r="G32">
        <v>2.5</v>
      </c>
      <c r="H32">
        <v>47726.400000000001</v>
      </c>
      <c r="I32">
        <v>47726.400000000001</v>
      </c>
      <c r="J32">
        <v>47726.400000000001</v>
      </c>
      <c r="K32">
        <v>47726.400000000001</v>
      </c>
      <c r="L32">
        <v>0</v>
      </c>
      <c r="M32">
        <v>0</v>
      </c>
      <c r="N32">
        <v>0</v>
      </c>
      <c r="O32">
        <v>0</v>
      </c>
      <c r="P32">
        <v>32.70352054</v>
      </c>
      <c r="Q32">
        <v>15.28426194</v>
      </c>
      <c r="R32">
        <v>0</v>
      </c>
      <c r="S32">
        <v>0</v>
      </c>
      <c r="T32">
        <f t="shared" si="0"/>
        <v>20</v>
      </c>
      <c r="U32" t="str">
        <f t="shared" si="1"/>
        <v>small</v>
      </c>
    </row>
    <row r="33" spans="1:21" x14ac:dyDescent="0.25">
      <c r="A33" t="s">
        <v>21</v>
      </c>
      <c r="B33" t="str" cm="1">
        <f t="array" ref="B33:F33">_xlfn.TEXTSPLIT(A33,"_")</f>
        <v>MVPRP</v>
      </c>
      <c r="C33" t="str">
        <v>C20</v>
      </c>
      <c r="D33" t="str">
        <v>P6</v>
      </c>
      <c r="E33" t="str">
        <v>V3</v>
      </c>
      <c r="F33" t="str">
        <v>I1</v>
      </c>
      <c r="G33">
        <v>3</v>
      </c>
      <c r="H33">
        <v>47744.3</v>
      </c>
      <c r="I33">
        <v>47744.3</v>
      </c>
      <c r="J33">
        <v>47744.3</v>
      </c>
      <c r="K33">
        <v>47744.3</v>
      </c>
      <c r="L33">
        <v>0</v>
      </c>
      <c r="M33">
        <v>0</v>
      </c>
      <c r="N33">
        <v>0</v>
      </c>
      <c r="O33">
        <v>0</v>
      </c>
      <c r="P33">
        <v>32.70352054</v>
      </c>
      <c r="Q33">
        <v>14.88903928</v>
      </c>
      <c r="R33">
        <v>0</v>
      </c>
      <c r="S33">
        <v>0</v>
      </c>
      <c r="T33">
        <f t="shared" si="0"/>
        <v>20</v>
      </c>
      <c r="U33" t="str">
        <f t="shared" si="1"/>
        <v>small</v>
      </c>
    </row>
    <row r="34" spans="1:21" x14ac:dyDescent="0.25">
      <c r="A34" t="s">
        <v>22</v>
      </c>
      <c r="B34" t="str" cm="1">
        <f t="array" ref="B34:F34">_xlfn.TEXTSPLIT(A34,"_")</f>
        <v>MVPRP</v>
      </c>
      <c r="C34" t="str">
        <v>C20</v>
      </c>
      <c r="D34" t="str">
        <v>P9</v>
      </c>
      <c r="E34" t="str">
        <v>V3</v>
      </c>
      <c r="F34" t="str">
        <v>I1</v>
      </c>
      <c r="G34">
        <v>1.5</v>
      </c>
      <c r="H34">
        <v>82863.8</v>
      </c>
      <c r="I34">
        <v>82766.2</v>
      </c>
      <c r="J34">
        <v>82863.8</v>
      </c>
      <c r="K34">
        <v>82766.2</v>
      </c>
      <c r="L34">
        <v>97.6</v>
      </c>
      <c r="M34">
        <v>0.1179</v>
      </c>
      <c r="N34">
        <v>97.6</v>
      </c>
      <c r="O34">
        <v>0.1179</v>
      </c>
      <c r="P34">
        <v>557.0954759</v>
      </c>
      <c r="Q34">
        <v>377.42428539999997</v>
      </c>
      <c r="R34" s="8">
        <v>8.2073300000000006E-5</v>
      </c>
      <c r="S34">
        <v>0</v>
      </c>
      <c r="T34">
        <f t="shared" si="0"/>
        <v>20</v>
      </c>
      <c r="U34" t="str">
        <f t="shared" si="1"/>
        <v>small</v>
      </c>
    </row>
    <row r="35" spans="1:21" x14ac:dyDescent="0.25">
      <c r="A35" t="s">
        <v>22</v>
      </c>
      <c r="B35" t="str" cm="1">
        <f t="array" ref="B35:F35">_xlfn.TEXTSPLIT(A35,"_")</f>
        <v>MVPRP</v>
      </c>
      <c r="C35" t="str">
        <v>C20</v>
      </c>
      <c r="D35" t="str">
        <v>P9</v>
      </c>
      <c r="E35" t="str">
        <v>V3</v>
      </c>
      <c r="F35" t="str">
        <v>I1</v>
      </c>
      <c r="G35">
        <v>2</v>
      </c>
      <c r="H35">
        <v>83014.3</v>
      </c>
      <c r="I35">
        <v>82956.899999999994</v>
      </c>
      <c r="J35">
        <v>83014.3</v>
      </c>
      <c r="K35">
        <v>82956.899999999994</v>
      </c>
      <c r="L35">
        <v>57.4</v>
      </c>
      <c r="M35">
        <v>6.9199999999999998E-2</v>
      </c>
      <c r="N35">
        <v>57.4</v>
      </c>
      <c r="O35">
        <v>6.9199999999999998E-2</v>
      </c>
      <c r="P35">
        <v>557.0954759</v>
      </c>
      <c r="Q35">
        <v>236.18697069999999</v>
      </c>
      <c r="R35" s="8">
        <v>8.2073300000000006E-5</v>
      </c>
      <c r="S35">
        <v>0</v>
      </c>
      <c r="T35">
        <f t="shared" si="0"/>
        <v>20</v>
      </c>
      <c r="U35" t="str">
        <f t="shared" si="1"/>
        <v>small</v>
      </c>
    </row>
    <row r="36" spans="1:21" x14ac:dyDescent="0.25">
      <c r="A36" t="s">
        <v>22</v>
      </c>
      <c r="B36" t="str" cm="1">
        <f t="array" ref="B36:F36">_xlfn.TEXTSPLIT(A36,"_")</f>
        <v>MVPRP</v>
      </c>
      <c r="C36" t="str">
        <v>C20</v>
      </c>
      <c r="D36" t="str">
        <v>P9</v>
      </c>
      <c r="E36" t="str">
        <v>V3</v>
      </c>
      <c r="F36" t="str">
        <v>I1</v>
      </c>
      <c r="G36">
        <v>2.5</v>
      </c>
      <c r="H36">
        <v>83164.800000000003</v>
      </c>
      <c r="I36">
        <v>83088</v>
      </c>
      <c r="J36">
        <v>83164.800000000003</v>
      </c>
      <c r="K36">
        <v>83088</v>
      </c>
      <c r="L36">
        <v>76.8</v>
      </c>
      <c r="M36">
        <v>9.2399999999999996E-2</v>
      </c>
      <c r="N36">
        <v>76.8</v>
      </c>
      <c r="O36">
        <v>9.2399999999999996E-2</v>
      </c>
      <c r="P36">
        <v>557.0954759</v>
      </c>
      <c r="Q36">
        <v>191.1075597</v>
      </c>
      <c r="R36" s="8">
        <v>8.2073300000000006E-5</v>
      </c>
      <c r="S36">
        <v>0</v>
      </c>
      <c r="T36">
        <f t="shared" si="0"/>
        <v>20</v>
      </c>
      <c r="U36" t="str">
        <f t="shared" si="1"/>
        <v>small</v>
      </c>
    </row>
    <row r="37" spans="1:21" x14ac:dyDescent="0.25">
      <c r="A37" t="s">
        <v>22</v>
      </c>
      <c r="B37" t="str" cm="1">
        <f t="array" ref="B37:F37">_xlfn.TEXTSPLIT(A37,"_")</f>
        <v>MVPRP</v>
      </c>
      <c r="C37" t="str">
        <v>C20</v>
      </c>
      <c r="D37" t="str">
        <v>P9</v>
      </c>
      <c r="E37" t="str">
        <v>V3</v>
      </c>
      <c r="F37" t="str">
        <v>I1</v>
      </c>
      <c r="G37">
        <v>3</v>
      </c>
      <c r="H37">
        <v>83315.3</v>
      </c>
      <c r="I37">
        <v>83219.100000000006</v>
      </c>
      <c r="J37">
        <v>83315.3</v>
      </c>
      <c r="K37">
        <v>83219.100000000006</v>
      </c>
      <c r="L37">
        <v>96.2</v>
      </c>
      <c r="M37">
        <v>0.11559999999999999</v>
      </c>
      <c r="N37">
        <v>96.2</v>
      </c>
      <c r="O37">
        <v>0.11559999999999999</v>
      </c>
      <c r="P37">
        <v>557.0954759</v>
      </c>
      <c r="Q37">
        <v>137.1498737</v>
      </c>
      <c r="R37" s="8">
        <v>8.2073300000000006E-5</v>
      </c>
      <c r="S37">
        <v>0</v>
      </c>
      <c r="T37">
        <f t="shared" si="0"/>
        <v>20</v>
      </c>
      <c r="U37" t="str">
        <f t="shared" si="1"/>
        <v>small</v>
      </c>
    </row>
    <row r="38" spans="1:21" x14ac:dyDescent="0.25">
      <c r="A38" t="s">
        <v>23</v>
      </c>
      <c r="B38" t="str" cm="1">
        <f t="array" ref="B38:F38">_xlfn.TEXTSPLIT(A38,"_")</f>
        <v>MVPRP</v>
      </c>
      <c r="C38" t="str">
        <v>C25</v>
      </c>
      <c r="D38" t="str">
        <v>P3</v>
      </c>
      <c r="E38" t="str">
        <v>V3</v>
      </c>
      <c r="F38" t="str">
        <v>I1</v>
      </c>
      <c r="G38">
        <v>1.5</v>
      </c>
      <c r="H38">
        <v>26269</v>
      </c>
      <c r="I38">
        <v>26269</v>
      </c>
      <c r="J38">
        <v>26269</v>
      </c>
      <c r="K38">
        <v>26269</v>
      </c>
      <c r="L38">
        <v>0</v>
      </c>
      <c r="M38">
        <v>0</v>
      </c>
      <c r="N38">
        <v>0</v>
      </c>
      <c r="O38">
        <v>0</v>
      </c>
      <c r="P38">
        <v>12.01247358</v>
      </c>
      <c r="Q38">
        <v>19.42983937</v>
      </c>
      <c r="R38">
        <v>0</v>
      </c>
      <c r="S38">
        <v>0</v>
      </c>
      <c r="T38">
        <f t="shared" si="0"/>
        <v>25</v>
      </c>
      <c r="U38" t="str">
        <f t="shared" si="1"/>
        <v>average</v>
      </c>
    </row>
    <row r="39" spans="1:21" x14ac:dyDescent="0.25">
      <c r="A39" t="s">
        <v>23</v>
      </c>
      <c r="B39" t="str" cm="1">
        <f t="array" ref="B39:F39">_xlfn.TEXTSPLIT(A39,"_")</f>
        <v>MVPRP</v>
      </c>
      <c r="C39" t="str">
        <v>C25</v>
      </c>
      <c r="D39" t="str">
        <v>P3</v>
      </c>
      <c r="E39" t="str">
        <v>V3</v>
      </c>
      <c r="F39" t="str">
        <v>I1</v>
      </c>
      <c r="G39">
        <v>2</v>
      </c>
      <c r="H39">
        <v>26269</v>
      </c>
      <c r="I39">
        <v>26269</v>
      </c>
      <c r="J39">
        <v>26269</v>
      </c>
      <c r="K39">
        <v>26269</v>
      </c>
      <c r="L39">
        <v>0</v>
      </c>
      <c r="M39">
        <v>0</v>
      </c>
      <c r="N39">
        <v>0</v>
      </c>
      <c r="O39">
        <v>0</v>
      </c>
      <c r="P39">
        <v>12.01247358</v>
      </c>
      <c r="Q39">
        <v>11.02594495</v>
      </c>
      <c r="R39">
        <v>0</v>
      </c>
      <c r="S39">
        <v>0</v>
      </c>
      <c r="T39">
        <f t="shared" si="0"/>
        <v>25</v>
      </c>
      <c r="U39" t="str">
        <f t="shared" si="1"/>
        <v>average</v>
      </c>
    </row>
    <row r="40" spans="1:21" x14ac:dyDescent="0.25">
      <c r="A40" t="s">
        <v>23</v>
      </c>
      <c r="B40" t="str" cm="1">
        <f t="array" ref="B40:F40">_xlfn.TEXTSPLIT(A40,"_")</f>
        <v>MVPRP</v>
      </c>
      <c r="C40" t="str">
        <v>C25</v>
      </c>
      <c r="D40" t="str">
        <v>P3</v>
      </c>
      <c r="E40" t="str">
        <v>V3</v>
      </c>
      <c r="F40" t="str">
        <v>I1</v>
      </c>
      <c r="G40">
        <v>2.5</v>
      </c>
      <c r="H40">
        <v>26269</v>
      </c>
      <c r="I40">
        <v>26269</v>
      </c>
      <c r="J40">
        <v>26269</v>
      </c>
      <c r="K40">
        <v>26269</v>
      </c>
      <c r="L40">
        <v>0</v>
      </c>
      <c r="M40">
        <v>0</v>
      </c>
      <c r="N40">
        <v>0</v>
      </c>
      <c r="O40">
        <v>0</v>
      </c>
      <c r="P40">
        <v>12.01247358</v>
      </c>
      <c r="Q40">
        <v>22.218778369999999</v>
      </c>
      <c r="R40">
        <v>0</v>
      </c>
      <c r="S40">
        <v>0</v>
      </c>
      <c r="T40">
        <f t="shared" si="0"/>
        <v>25</v>
      </c>
      <c r="U40" t="str">
        <f t="shared" si="1"/>
        <v>average</v>
      </c>
    </row>
    <row r="41" spans="1:21" x14ac:dyDescent="0.25">
      <c r="A41" t="s">
        <v>23</v>
      </c>
      <c r="B41" t="str" cm="1">
        <f t="array" ref="B41:F41">_xlfn.TEXTSPLIT(A41,"_")</f>
        <v>MVPRP</v>
      </c>
      <c r="C41" t="str">
        <v>C25</v>
      </c>
      <c r="D41" t="str">
        <v>P3</v>
      </c>
      <c r="E41" t="str">
        <v>V3</v>
      </c>
      <c r="F41" t="str">
        <v>I1</v>
      </c>
      <c r="G41">
        <v>3</v>
      </c>
      <c r="H41">
        <v>26269</v>
      </c>
      <c r="I41">
        <v>26269</v>
      </c>
      <c r="J41">
        <v>26269</v>
      </c>
      <c r="K41">
        <v>26269</v>
      </c>
      <c r="L41">
        <v>0</v>
      </c>
      <c r="M41">
        <v>0</v>
      </c>
      <c r="N41">
        <v>0</v>
      </c>
      <c r="O41">
        <v>0</v>
      </c>
      <c r="P41">
        <v>12.01247358</v>
      </c>
      <c r="Q41">
        <v>11.19855261</v>
      </c>
      <c r="R41">
        <v>0</v>
      </c>
      <c r="S41">
        <v>0</v>
      </c>
      <c r="T41">
        <f t="shared" si="0"/>
        <v>25</v>
      </c>
      <c r="U41" t="str">
        <f t="shared" si="1"/>
        <v>average</v>
      </c>
    </row>
    <row r="42" spans="1:21" x14ac:dyDescent="0.25">
      <c r="A42" t="s">
        <v>24</v>
      </c>
      <c r="B42" t="str" cm="1">
        <f t="array" ref="B42:F42">_xlfn.TEXTSPLIT(A42,"_")</f>
        <v>MVPRP</v>
      </c>
      <c r="C42" t="str">
        <v>C25</v>
      </c>
      <c r="D42" t="str">
        <v>P6</v>
      </c>
      <c r="E42" t="str">
        <v>V3</v>
      </c>
      <c r="F42" t="str">
        <v>I1</v>
      </c>
      <c r="G42">
        <v>1.5</v>
      </c>
      <c r="H42">
        <v>57187.95</v>
      </c>
      <c r="I42">
        <v>57187.95</v>
      </c>
      <c r="J42">
        <v>57187.95</v>
      </c>
      <c r="K42">
        <v>57187.95</v>
      </c>
      <c r="L42">
        <v>0</v>
      </c>
      <c r="M42">
        <v>0</v>
      </c>
      <c r="N42">
        <v>0</v>
      </c>
      <c r="O42">
        <v>0</v>
      </c>
      <c r="P42">
        <v>374.45861339999999</v>
      </c>
      <c r="Q42">
        <v>170.40940330000001</v>
      </c>
      <c r="R42">
        <v>0</v>
      </c>
      <c r="S42">
        <v>0</v>
      </c>
      <c r="T42">
        <f t="shared" si="0"/>
        <v>25</v>
      </c>
      <c r="U42" t="str">
        <f t="shared" si="1"/>
        <v>average</v>
      </c>
    </row>
    <row r="43" spans="1:21" x14ac:dyDescent="0.25">
      <c r="A43" t="s">
        <v>24</v>
      </c>
      <c r="B43" t="str" cm="1">
        <f t="array" ref="B43:F43">_xlfn.TEXTSPLIT(A43,"_")</f>
        <v>MVPRP</v>
      </c>
      <c r="C43" t="str">
        <v>C25</v>
      </c>
      <c r="D43" t="str">
        <v>P6</v>
      </c>
      <c r="E43" t="str">
        <v>V3</v>
      </c>
      <c r="F43" t="str">
        <v>I1</v>
      </c>
      <c r="G43">
        <v>2</v>
      </c>
      <c r="H43">
        <v>57274.2</v>
      </c>
      <c r="I43">
        <v>57274.2</v>
      </c>
      <c r="J43">
        <v>57274.2</v>
      </c>
      <c r="K43">
        <v>57274.2</v>
      </c>
      <c r="L43">
        <v>0</v>
      </c>
      <c r="M43">
        <v>0</v>
      </c>
      <c r="N43">
        <v>0</v>
      </c>
      <c r="O43">
        <v>0</v>
      </c>
      <c r="P43">
        <v>374.45861339999999</v>
      </c>
      <c r="Q43">
        <v>114.30176400000001</v>
      </c>
      <c r="R43">
        <v>0</v>
      </c>
      <c r="S43">
        <v>0</v>
      </c>
      <c r="T43">
        <f t="shared" si="0"/>
        <v>25</v>
      </c>
      <c r="U43" t="str">
        <f t="shared" si="1"/>
        <v>average</v>
      </c>
    </row>
    <row r="44" spans="1:21" x14ac:dyDescent="0.25">
      <c r="A44" t="s">
        <v>24</v>
      </c>
      <c r="B44" t="str" cm="1">
        <f t="array" ref="B44:F44">_xlfn.TEXTSPLIT(A44,"_")</f>
        <v>MVPRP</v>
      </c>
      <c r="C44" t="str">
        <v>C25</v>
      </c>
      <c r="D44" t="str">
        <v>P6</v>
      </c>
      <c r="E44" t="str">
        <v>V3</v>
      </c>
      <c r="F44" t="str">
        <v>I1</v>
      </c>
      <c r="G44">
        <v>2.5</v>
      </c>
      <c r="H44">
        <v>57360.45</v>
      </c>
      <c r="I44">
        <v>57360.45</v>
      </c>
      <c r="J44">
        <v>57360.45</v>
      </c>
      <c r="K44">
        <v>57360.45</v>
      </c>
      <c r="L44">
        <v>0</v>
      </c>
      <c r="M44">
        <v>0</v>
      </c>
      <c r="N44">
        <v>0</v>
      </c>
      <c r="O44">
        <v>0</v>
      </c>
      <c r="P44">
        <v>374.45861339999999</v>
      </c>
      <c r="Q44">
        <v>104.54028460000001</v>
      </c>
      <c r="R44">
        <v>0</v>
      </c>
      <c r="S44">
        <v>0</v>
      </c>
      <c r="T44">
        <f t="shared" si="0"/>
        <v>25</v>
      </c>
      <c r="U44" t="str">
        <f t="shared" si="1"/>
        <v>average</v>
      </c>
    </row>
    <row r="45" spans="1:21" x14ac:dyDescent="0.25">
      <c r="A45" t="s">
        <v>24</v>
      </c>
      <c r="B45" t="str" cm="1">
        <f t="array" ref="B45:F45">_xlfn.TEXTSPLIT(A45,"_")</f>
        <v>MVPRP</v>
      </c>
      <c r="C45" t="str">
        <v>C25</v>
      </c>
      <c r="D45" t="str">
        <v>P6</v>
      </c>
      <c r="E45" t="str">
        <v>V3</v>
      </c>
      <c r="F45" t="str">
        <v>I1</v>
      </c>
      <c r="G45">
        <v>3</v>
      </c>
      <c r="H45">
        <v>57446.7</v>
      </c>
      <c r="I45">
        <v>57446.7</v>
      </c>
      <c r="J45">
        <v>57446.7</v>
      </c>
      <c r="K45">
        <v>57446.7</v>
      </c>
      <c r="L45">
        <v>0</v>
      </c>
      <c r="M45">
        <v>0</v>
      </c>
      <c r="N45">
        <v>0</v>
      </c>
      <c r="O45">
        <v>0</v>
      </c>
      <c r="P45">
        <v>374.45861339999999</v>
      </c>
      <c r="Q45">
        <v>105.08987550000001</v>
      </c>
      <c r="R45">
        <v>0</v>
      </c>
      <c r="S45">
        <v>0</v>
      </c>
      <c r="T45">
        <f t="shared" si="0"/>
        <v>25</v>
      </c>
      <c r="U45" t="str">
        <f t="shared" si="1"/>
        <v>average</v>
      </c>
    </row>
    <row r="46" spans="1:21" x14ac:dyDescent="0.25">
      <c r="A46" t="s">
        <v>25</v>
      </c>
      <c r="B46" t="str" cm="1">
        <f t="array" ref="B46:F46">_xlfn.TEXTSPLIT(A46,"_")</f>
        <v>MVPRP</v>
      </c>
      <c r="C46" t="str">
        <v>C25</v>
      </c>
      <c r="D46" t="str">
        <v>P9</v>
      </c>
      <c r="E46" t="str">
        <v>V3</v>
      </c>
      <c r="F46" t="str">
        <v>I1</v>
      </c>
      <c r="G46">
        <v>1.5</v>
      </c>
      <c r="H46">
        <v>101326.39999999999</v>
      </c>
      <c r="I46">
        <v>101229.1</v>
      </c>
      <c r="J46">
        <v>101326.39999999999</v>
      </c>
      <c r="K46">
        <v>101127.03909999999</v>
      </c>
      <c r="L46">
        <v>97.3</v>
      </c>
      <c r="M46">
        <v>9.6100000000000005E-2</v>
      </c>
      <c r="N46">
        <v>199.36</v>
      </c>
      <c r="O46">
        <v>0.19689999999999999</v>
      </c>
      <c r="P46">
        <v>3600.8675699999999</v>
      </c>
      <c r="Q46">
        <v>3600.0973960000001</v>
      </c>
      <c r="R46">
        <v>2.7620019999999999E-3</v>
      </c>
      <c r="S46">
        <v>1.0082170000000001E-3</v>
      </c>
      <c r="T46">
        <f t="shared" si="0"/>
        <v>25</v>
      </c>
      <c r="U46" t="str">
        <f t="shared" si="1"/>
        <v>average</v>
      </c>
    </row>
    <row r="47" spans="1:21" x14ac:dyDescent="0.25">
      <c r="A47" t="s">
        <v>25</v>
      </c>
      <c r="B47" t="str" cm="1">
        <f t="array" ref="B47:F47">_xlfn.TEXTSPLIT(A47,"_")</f>
        <v>MVPRP</v>
      </c>
      <c r="C47" t="str">
        <v>C25</v>
      </c>
      <c r="D47" t="str">
        <v>P9</v>
      </c>
      <c r="E47" t="str">
        <v>V3</v>
      </c>
      <c r="F47" t="str">
        <v>I1</v>
      </c>
      <c r="G47">
        <v>2</v>
      </c>
      <c r="H47">
        <v>101752.5</v>
      </c>
      <c r="I47">
        <v>101627.69990000001</v>
      </c>
      <c r="J47">
        <v>101752.5</v>
      </c>
      <c r="K47">
        <v>101621.2026</v>
      </c>
      <c r="L47">
        <v>124.8</v>
      </c>
      <c r="M47">
        <v>0.12280000000000001</v>
      </c>
      <c r="N47">
        <v>131.30000000000001</v>
      </c>
      <c r="O47">
        <v>0.12920000000000001</v>
      </c>
      <c r="P47">
        <v>3600.8675699999999</v>
      </c>
      <c r="Q47">
        <v>1743.175653</v>
      </c>
      <c r="R47">
        <v>2.7620019999999999E-3</v>
      </c>
      <c r="S47" s="8">
        <v>6.3931900000000004E-5</v>
      </c>
      <c r="T47">
        <f t="shared" si="0"/>
        <v>25</v>
      </c>
      <c r="U47" t="str">
        <f t="shared" si="1"/>
        <v>average</v>
      </c>
    </row>
    <row r="48" spans="1:21" x14ac:dyDescent="0.25">
      <c r="A48" t="s">
        <v>25</v>
      </c>
      <c r="B48" t="str" cm="1">
        <f t="array" ref="B48:F48">_xlfn.TEXTSPLIT(A48,"_")</f>
        <v>MVPRP</v>
      </c>
      <c r="C48" t="str">
        <v>C25</v>
      </c>
      <c r="D48" t="str">
        <v>P9</v>
      </c>
      <c r="E48" t="str">
        <v>V3</v>
      </c>
      <c r="F48" t="str">
        <v>I1</v>
      </c>
      <c r="G48">
        <v>2.5</v>
      </c>
      <c r="H48">
        <v>102178.6</v>
      </c>
      <c r="I48">
        <v>101984.6998</v>
      </c>
      <c r="J48">
        <v>102178.6</v>
      </c>
      <c r="K48">
        <v>101984.189</v>
      </c>
      <c r="L48">
        <v>193.9</v>
      </c>
      <c r="M48">
        <v>0.19009999999999999</v>
      </c>
      <c r="N48">
        <v>194.41</v>
      </c>
      <c r="O48">
        <v>0.19059999999999999</v>
      </c>
      <c r="P48">
        <v>3600.8675699999999</v>
      </c>
      <c r="Q48">
        <v>2703.694262</v>
      </c>
      <c r="R48">
        <v>2.7620019999999999E-3</v>
      </c>
      <c r="S48" s="8">
        <v>5.0089600000000004E-6</v>
      </c>
      <c r="T48">
        <f t="shared" si="0"/>
        <v>25</v>
      </c>
      <c r="U48" t="str">
        <f t="shared" si="1"/>
        <v>average</v>
      </c>
    </row>
    <row r="49" spans="1:21" x14ac:dyDescent="0.25">
      <c r="A49" t="s">
        <v>25</v>
      </c>
      <c r="B49" t="str" cm="1">
        <f t="array" ref="B49:F49">_xlfn.TEXTSPLIT(A49,"_")</f>
        <v>MVPRP</v>
      </c>
      <c r="C49" t="str">
        <v>C25</v>
      </c>
      <c r="D49" t="str">
        <v>P9</v>
      </c>
      <c r="E49" t="str">
        <v>V3</v>
      </c>
      <c r="F49" t="str">
        <v>I1</v>
      </c>
      <c r="G49">
        <v>3</v>
      </c>
      <c r="H49">
        <v>102604.7</v>
      </c>
      <c r="I49">
        <v>102341.6997</v>
      </c>
      <c r="J49">
        <v>102604.7</v>
      </c>
      <c r="K49">
        <v>102341.6997</v>
      </c>
      <c r="L49">
        <v>263</v>
      </c>
      <c r="M49">
        <v>0.25700000000000001</v>
      </c>
      <c r="N49">
        <v>263</v>
      </c>
      <c r="O49">
        <v>0.25700000000000001</v>
      </c>
      <c r="P49">
        <v>3600.8675699999999</v>
      </c>
      <c r="Q49">
        <v>1533.024453</v>
      </c>
      <c r="R49">
        <v>2.7620019999999999E-3</v>
      </c>
      <c r="S49">
        <v>0</v>
      </c>
      <c r="T49">
        <f t="shared" si="0"/>
        <v>25</v>
      </c>
      <c r="U49" t="str">
        <f t="shared" si="1"/>
        <v>average</v>
      </c>
    </row>
    <row r="50" spans="1:21" x14ac:dyDescent="0.25">
      <c r="A50" t="s">
        <v>26</v>
      </c>
      <c r="B50" t="str" cm="1">
        <f t="array" ref="B50:F50">_xlfn.TEXTSPLIT(A50,"_")</f>
        <v>MVPRP</v>
      </c>
      <c r="C50" t="str">
        <v>C30</v>
      </c>
      <c r="D50" t="str">
        <v>P3</v>
      </c>
      <c r="E50" t="str">
        <v>V3</v>
      </c>
      <c r="F50" t="str">
        <v>I1</v>
      </c>
      <c r="G50">
        <v>1.5</v>
      </c>
      <c r="H50">
        <v>28872</v>
      </c>
      <c r="I50">
        <v>28871.999980000001</v>
      </c>
      <c r="J50">
        <v>28872</v>
      </c>
      <c r="K50">
        <v>28871.999980000001</v>
      </c>
      <c r="L50">
        <v>0</v>
      </c>
      <c r="M50">
        <v>0</v>
      </c>
      <c r="N50">
        <v>0</v>
      </c>
      <c r="O50">
        <v>0</v>
      </c>
      <c r="P50">
        <v>34.67438602</v>
      </c>
      <c r="Q50">
        <v>103.03640129999999</v>
      </c>
      <c r="R50">
        <v>0</v>
      </c>
      <c r="S50">
        <v>0</v>
      </c>
      <c r="T50">
        <f t="shared" si="0"/>
        <v>30</v>
      </c>
      <c r="U50" t="str">
        <f t="shared" si="1"/>
        <v>average</v>
      </c>
    </row>
    <row r="51" spans="1:21" x14ac:dyDescent="0.25">
      <c r="A51" t="s">
        <v>26</v>
      </c>
      <c r="B51" t="str" cm="1">
        <f t="array" ref="B51:F51">_xlfn.TEXTSPLIT(A51,"_")</f>
        <v>MVPRP</v>
      </c>
      <c r="C51" t="str">
        <v>C30</v>
      </c>
      <c r="D51" t="str">
        <v>P3</v>
      </c>
      <c r="E51" t="str">
        <v>V3</v>
      </c>
      <c r="F51" t="str">
        <v>I1</v>
      </c>
      <c r="G51">
        <v>2</v>
      </c>
      <c r="H51">
        <v>28872</v>
      </c>
      <c r="I51">
        <v>28872</v>
      </c>
      <c r="J51">
        <v>28872</v>
      </c>
      <c r="K51">
        <v>28872</v>
      </c>
      <c r="L51">
        <v>0</v>
      </c>
      <c r="M51">
        <v>0</v>
      </c>
      <c r="N51">
        <v>0</v>
      </c>
      <c r="O51">
        <v>0</v>
      </c>
      <c r="P51">
        <v>34.67438602</v>
      </c>
      <c r="Q51">
        <v>72.009376290000006</v>
      </c>
      <c r="R51">
        <v>0</v>
      </c>
      <c r="S51">
        <v>0</v>
      </c>
      <c r="T51">
        <f t="shared" si="0"/>
        <v>30</v>
      </c>
      <c r="U51" t="str">
        <f t="shared" si="1"/>
        <v>average</v>
      </c>
    </row>
    <row r="52" spans="1:21" x14ac:dyDescent="0.25">
      <c r="A52" t="s">
        <v>26</v>
      </c>
      <c r="B52" t="str" cm="1">
        <f t="array" ref="B52:F52">_xlfn.TEXTSPLIT(A52,"_")</f>
        <v>MVPRP</v>
      </c>
      <c r="C52" t="str">
        <v>C30</v>
      </c>
      <c r="D52" t="str">
        <v>P3</v>
      </c>
      <c r="E52" t="str">
        <v>V3</v>
      </c>
      <c r="F52" t="str">
        <v>I1</v>
      </c>
      <c r="G52">
        <v>2.5</v>
      </c>
      <c r="H52">
        <v>28872</v>
      </c>
      <c r="I52">
        <v>28872</v>
      </c>
      <c r="J52">
        <v>28872</v>
      </c>
      <c r="K52">
        <v>28870</v>
      </c>
      <c r="L52">
        <v>0</v>
      </c>
      <c r="M52">
        <v>0</v>
      </c>
      <c r="N52">
        <v>2</v>
      </c>
      <c r="O52">
        <v>6.8999999999999999E-3</v>
      </c>
      <c r="P52">
        <v>34.67438602</v>
      </c>
      <c r="Q52">
        <v>55.975228309999999</v>
      </c>
      <c r="R52">
        <v>0</v>
      </c>
      <c r="S52" s="8">
        <v>6.9271300000000002E-5</v>
      </c>
      <c r="T52">
        <f t="shared" si="0"/>
        <v>30</v>
      </c>
      <c r="U52" t="str">
        <f t="shared" si="1"/>
        <v>average</v>
      </c>
    </row>
    <row r="53" spans="1:21" x14ac:dyDescent="0.25">
      <c r="A53" t="s">
        <v>26</v>
      </c>
      <c r="B53" t="str" cm="1">
        <f t="array" ref="B53:F53">_xlfn.TEXTSPLIT(A53,"_")</f>
        <v>MVPRP</v>
      </c>
      <c r="C53" t="str">
        <v>C30</v>
      </c>
      <c r="D53" t="str">
        <v>P3</v>
      </c>
      <c r="E53" t="str">
        <v>V3</v>
      </c>
      <c r="F53" t="str">
        <v>I1</v>
      </c>
      <c r="G53">
        <v>3</v>
      </c>
      <c r="H53">
        <v>28872</v>
      </c>
      <c r="I53">
        <v>28872</v>
      </c>
      <c r="J53">
        <v>28872</v>
      </c>
      <c r="K53">
        <v>28872</v>
      </c>
      <c r="L53">
        <v>0</v>
      </c>
      <c r="M53">
        <v>0</v>
      </c>
      <c r="N53">
        <v>0</v>
      </c>
      <c r="O53">
        <v>0</v>
      </c>
      <c r="P53">
        <v>34.67438602</v>
      </c>
      <c r="Q53">
        <v>53.276528599999999</v>
      </c>
      <c r="R53">
        <v>0</v>
      </c>
      <c r="S53">
        <v>0</v>
      </c>
      <c r="T53">
        <f t="shared" si="0"/>
        <v>30</v>
      </c>
      <c r="U53" t="str">
        <f t="shared" si="1"/>
        <v>average</v>
      </c>
    </row>
    <row r="54" spans="1:21" x14ac:dyDescent="0.25">
      <c r="A54" t="s">
        <v>27</v>
      </c>
      <c r="B54" t="str" cm="1">
        <f t="array" ref="B54:F54">_xlfn.TEXTSPLIT(A54,"_")</f>
        <v>MVPRP</v>
      </c>
      <c r="C54" t="str">
        <v>C30</v>
      </c>
      <c r="D54" t="str">
        <v>P6</v>
      </c>
      <c r="E54" t="str">
        <v>V3</v>
      </c>
      <c r="F54" t="str">
        <v>I1</v>
      </c>
      <c r="G54">
        <v>1.5</v>
      </c>
      <c r="H54">
        <v>61483.35</v>
      </c>
      <c r="I54">
        <v>61482.75</v>
      </c>
      <c r="J54">
        <v>61483.35</v>
      </c>
      <c r="K54">
        <v>61482.75</v>
      </c>
      <c r="L54">
        <v>0.6</v>
      </c>
      <c r="M54">
        <v>1E-3</v>
      </c>
      <c r="N54">
        <v>0.6</v>
      </c>
      <c r="O54">
        <v>1E-3</v>
      </c>
      <c r="P54">
        <v>3600.6992500000001</v>
      </c>
      <c r="Q54">
        <v>371.58778310000002</v>
      </c>
      <c r="R54">
        <v>1.125196E-3</v>
      </c>
      <c r="S54">
        <v>0</v>
      </c>
      <c r="T54">
        <f t="shared" si="0"/>
        <v>30</v>
      </c>
      <c r="U54" t="str">
        <f t="shared" si="1"/>
        <v>average</v>
      </c>
    </row>
    <row r="55" spans="1:21" x14ac:dyDescent="0.25">
      <c r="A55" t="s">
        <v>27</v>
      </c>
      <c r="B55" t="str" cm="1">
        <f t="array" ref="B55:F55">_xlfn.TEXTSPLIT(A55,"_")</f>
        <v>MVPRP</v>
      </c>
      <c r="C55" t="str">
        <v>C30</v>
      </c>
      <c r="D55" t="str">
        <v>P6</v>
      </c>
      <c r="E55" t="str">
        <v>V3</v>
      </c>
      <c r="F55" t="str">
        <v>I1</v>
      </c>
      <c r="G55">
        <v>2</v>
      </c>
      <c r="H55">
        <v>61582</v>
      </c>
      <c r="I55">
        <v>61560</v>
      </c>
      <c r="J55">
        <v>61582</v>
      </c>
      <c r="K55">
        <v>61560</v>
      </c>
      <c r="L55">
        <v>22</v>
      </c>
      <c r="M55">
        <v>3.5700000000000003E-2</v>
      </c>
      <c r="N55">
        <v>22</v>
      </c>
      <c r="O55">
        <v>3.5700000000000003E-2</v>
      </c>
      <c r="P55">
        <v>3600.6992500000001</v>
      </c>
      <c r="Q55">
        <v>328.22378250000003</v>
      </c>
      <c r="R55">
        <v>1.125196E-3</v>
      </c>
      <c r="S55">
        <v>0</v>
      </c>
      <c r="T55">
        <f t="shared" si="0"/>
        <v>30</v>
      </c>
      <c r="U55" t="str">
        <f t="shared" si="1"/>
        <v>average</v>
      </c>
    </row>
    <row r="56" spans="1:21" x14ac:dyDescent="0.25">
      <c r="A56" t="s">
        <v>27</v>
      </c>
      <c r="B56" t="str" cm="1">
        <f t="array" ref="B56:F56">_xlfn.TEXTSPLIT(A56,"_")</f>
        <v>MVPRP</v>
      </c>
      <c r="C56" t="str">
        <v>C30</v>
      </c>
      <c r="D56" t="str">
        <v>P6</v>
      </c>
      <c r="E56" t="str">
        <v>V3</v>
      </c>
      <c r="F56" t="str">
        <v>I1</v>
      </c>
      <c r="G56">
        <v>2.5</v>
      </c>
      <c r="H56">
        <v>61680.65</v>
      </c>
      <c r="I56">
        <v>61637.25</v>
      </c>
      <c r="J56">
        <v>61680.65</v>
      </c>
      <c r="K56">
        <v>61634.651850000002</v>
      </c>
      <c r="L56">
        <v>43.4</v>
      </c>
      <c r="M56">
        <v>7.0400000000000004E-2</v>
      </c>
      <c r="N56">
        <v>46</v>
      </c>
      <c r="O56">
        <v>7.46E-2</v>
      </c>
      <c r="P56">
        <v>3600.6992500000001</v>
      </c>
      <c r="Q56">
        <v>340.84397769999998</v>
      </c>
      <c r="R56">
        <v>1.125196E-3</v>
      </c>
      <c r="S56" s="8">
        <v>4.2152199999999999E-5</v>
      </c>
      <c r="T56">
        <f t="shared" si="0"/>
        <v>30</v>
      </c>
      <c r="U56" t="str">
        <f t="shared" si="1"/>
        <v>average</v>
      </c>
    </row>
    <row r="57" spans="1:21" x14ac:dyDescent="0.25">
      <c r="A57" t="s">
        <v>27</v>
      </c>
      <c r="B57" t="str" cm="1">
        <f t="array" ref="B57:F57">_xlfn.TEXTSPLIT(A57,"_")</f>
        <v>MVPRP</v>
      </c>
      <c r="C57" t="str">
        <v>C30</v>
      </c>
      <c r="D57" t="str">
        <v>P6</v>
      </c>
      <c r="E57" t="str">
        <v>V3</v>
      </c>
      <c r="F57" t="str">
        <v>I1</v>
      </c>
      <c r="G57">
        <v>3</v>
      </c>
      <c r="H57">
        <v>61779.3</v>
      </c>
      <c r="I57">
        <v>61714.5</v>
      </c>
      <c r="J57">
        <v>61779.3</v>
      </c>
      <c r="K57">
        <v>61714.5</v>
      </c>
      <c r="L57">
        <v>64.8</v>
      </c>
      <c r="M57">
        <v>0.105</v>
      </c>
      <c r="N57">
        <v>64.8</v>
      </c>
      <c r="O57">
        <v>0.105</v>
      </c>
      <c r="P57">
        <v>3600.6992500000001</v>
      </c>
      <c r="Q57">
        <v>234.31152650000001</v>
      </c>
      <c r="R57">
        <v>1.125196E-3</v>
      </c>
      <c r="S57">
        <v>0</v>
      </c>
      <c r="T57">
        <f t="shared" si="0"/>
        <v>30</v>
      </c>
      <c r="U57" t="str">
        <f t="shared" si="1"/>
        <v>average</v>
      </c>
    </row>
    <row r="58" spans="1:21" x14ac:dyDescent="0.25">
      <c r="A58" t="s">
        <v>28</v>
      </c>
      <c r="B58" t="str" cm="1">
        <f t="array" ref="B58:F58">_xlfn.TEXTSPLIT(A58,"_")</f>
        <v>MVPRP</v>
      </c>
      <c r="C58" t="str">
        <v>C30</v>
      </c>
      <c r="D58" t="str">
        <v>P9</v>
      </c>
      <c r="E58" t="str">
        <v>V3</v>
      </c>
      <c r="F58" t="str">
        <v>I1</v>
      </c>
      <c r="G58">
        <v>1.5</v>
      </c>
      <c r="H58">
        <v>111080.2</v>
      </c>
      <c r="I58">
        <v>110737.45</v>
      </c>
      <c r="J58">
        <v>111080.2</v>
      </c>
      <c r="K58">
        <v>110111.07399999999</v>
      </c>
      <c r="L58">
        <v>342.75</v>
      </c>
      <c r="M58">
        <v>0.3095</v>
      </c>
      <c r="N58">
        <v>969.13</v>
      </c>
      <c r="O58">
        <v>0.87519999999999998</v>
      </c>
      <c r="P58">
        <v>3600.9536870000002</v>
      </c>
      <c r="Q58">
        <v>3600.0548990000002</v>
      </c>
      <c r="R58">
        <v>4.0223899999999998E-3</v>
      </c>
      <c r="S58">
        <v>5.6564069999999996E-3</v>
      </c>
      <c r="T58">
        <f t="shared" si="0"/>
        <v>30</v>
      </c>
      <c r="U58" t="str">
        <f t="shared" si="1"/>
        <v>average</v>
      </c>
    </row>
    <row r="59" spans="1:21" x14ac:dyDescent="0.25">
      <c r="A59" t="s">
        <v>28</v>
      </c>
      <c r="B59" t="str" cm="1">
        <f t="array" ref="B59:F59">_xlfn.TEXTSPLIT(A59,"_")</f>
        <v>MVPRP</v>
      </c>
      <c r="C59" t="str">
        <v>C30</v>
      </c>
      <c r="D59" t="str">
        <v>P9</v>
      </c>
      <c r="E59" t="str">
        <v>V3</v>
      </c>
      <c r="F59" t="str">
        <v>I1</v>
      </c>
      <c r="G59">
        <v>2</v>
      </c>
      <c r="H59">
        <v>111588.4</v>
      </c>
      <c r="I59">
        <v>111001.4</v>
      </c>
      <c r="J59">
        <v>111588.4</v>
      </c>
      <c r="K59">
        <v>110479.3996</v>
      </c>
      <c r="L59">
        <v>587</v>
      </c>
      <c r="M59">
        <v>0.52880000000000005</v>
      </c>
      <c r="N59">
        <v>1109</v>
      </c>
      <c r="O59">
        <v>0.99909999999999999</v>
      </c>
      <c r="P59">
        <v>3600.9536870000002</v>
      </c>
      <c r="Q59">
        <v>3600.1923790000001</v>
      </c>
      <c r="R59">
        <v>4.0223899999999998E-3</v>
      </c>
      <c r="S59">
        <v>4.7026469999999999E-3</v>
      </c>
      <c r="T59">
        <f t="shared" si="0"/>
        <v>30</v>
      </c>
      <c r="U59" t="str">
        <f t="shared" si="1"/>
        <v>average</v>
      </c>
    </row>
    <row r="60" spans="1:21" x14ac:dyDescent="0.25">
      <c r="A60" t="s">
        <v>28</v>
      </c>
      <c r="B60" t="str" cm="1">
        <f t="array" ref="B60:F60">_xlfn.TEXTSPLIT(A60,"_")</f>
        <v>MVPRP</v>
      </c>
      <c r="C60" t="str">
        <v>C30</v>
      </c>
      <c r="D60" t="str">
        <v>P9</v>
      </c>
      <c r="E60" t="str">
        <v>V3</v>
      </c>
      <c r="F60" t="str">
        <v>I1</v>
      </c>
      <c r="G60">
        <v>2.5</v>
      </c>
      <c r="H60">
        <v>112096.6</v>
      </c>
      <c r="I60">
        <v>111333.8</v>
      </c>
      <c r="J60">
        <v>112096.6</v>
      </c>
      <c r="K60">
        <v>110769.9017</v>
      </c>
      <c r="L60">
        <v>762.8</v>
      </c>
      <c r="M60">
        <v>0.68510000000000004</v>
      </c>
      <c r="N60">
        <v>1326.7</v>
      </c>
      <c r="O60">
        <v>1.1916</v>
      </c>
      <c r="P60">
        <v>3600.9536870000002</v>
      </c>
      <c r="Q60">
        <v>3600.0963929999998</v>
      </c>
      <c r="R60">
        <v>4.0223899999999998E-3</v>
      </c>
      <c r="S60">
        <v>5.0649340000000001E-3</v>
      </c>
      <c r="T60">
        <f t="shared" si="0"/>
        <v>30</v>
      </c>
      <c r="U60" t="str">
        <f t="shared" si="1"/>
        <v>average</v>
      </c>
    </row>
    <row r="61" spans="1:21" x14ac:dyDescent="0.25">
      <c r="A61" t="s">
        <v>28</v>
      </c>
      <c r="B61" t="str" cm="1">
        <f t="array" ref="B61:F61">_xlfn.TEXTSPLIT(A61,"_")</f>
        <v>MVPRP</v>
      </c>
      <c r="C61" t="str">
        <v>C30</v>
      </c>
      <c r="D61" t="str">
        <v>P9</v>
      </c>
      <c r="E61" t="str">
        <v>V3</v>
      </c>
      <c r="F61" t="str">
        <v>I1</v>
      </c>
      <c r="G61">
        <v>3</v>
      </c>
      <c r="H61">
        <v>112604.8</v>
      </c>
      <c r="I61">
        <v>111627.9</v>
      </c>
      <c r="J61">
        <v>112604.8</v>
      </c>
      <c r="K61">
        <v>110998.89810000001</v>
      </c>
      <c r="L61">
        <v>976.9</v>
      </c>
      <c r="M61">
        <v>0.87509999999999999</v>
      </c>
      <c r="N61">
        <v>1605.9</v>
      </c>
      <c r="O61">
        <v>1.4386000000000001</v>
      </c>
      <c r="P61">
        <v>3600.9536870000002</v>
      </c>
      <c r="Q61">
        <v>3600.1837399999999</v>
      </c>
      <c r="R61">
        <v>4.0223899999999998E-3</v>
      </c>
      <c r="S61">
        <v>5.6348090000000002E-3</v>
      </c>
      <c r="T61">
        <f t="shared" si="0"/>
        <v>30</v>
      </c>
      <c r="U61" t="str">
        <f t="shared" si="1"/>
        <v>average</v>
      </c>
    </row>
    <row r="62" spans="1:21" x14ac:dyDescent="0.25">
      <c r="A62" t="s">
        <v>29</v>
      </c>
      <c r="B62" t="str" cm="1">
        <f t="array" ref="B62:F62">_xlfn.TEXTSPLIT(A62,"_")</f>
        <v>MVPRP</v>
      </c>
      <c r="C62" t="str">
        <v>C35</v>
      </c>
      <c r="D62" t="str">
        <v>P3</v>
      </c>
      <c r="E62" t="str">
        <v>V3</v>
      </c>
      <c r="F62" t="str">
        <v>I1</v>
      </c>
      <c r="G62">
        <v>1.5</v>
      </c>
      <c r="H62">
        <v>35503</v>
      </c>
      <c r="I62">
        <v>35503</v>
      </c>
      <c r="J62">
        <v>35503</v>
      </c>
      <c r="K62">
        <v>35503</v>
      </c>
      <c r="L62">
        <v>0</v>
      </c>
      <c r="M62">
        <v>0</v>
      </c>
      <c r="N62">
        <v>0</v>
      </c>
      <c r="O62">
        <v>0</v>
      </c>
      <c r="P62">
        <v>34.060139659999997</v>
      </c>
      <c r="Q62">
        <v>191.54151250000001</v>
      </c>
      <c r="R62">
        <v>0</v>
      </c>
      <c r="S62">
        <v>0</v>
      </c>
      <c r="T62">
        <f t="shared" si="0"/>
        <v>35</v>
      </c>
      <c r="U62" t="str">
        <f t="shared" si="1"/>
        <v>average</v>
      </c>
    </row>
    <row r="63" spans="1:21" x14ac:dyDescent="0.25">
      <c r="A63" t="s">
        <v>29</v>
      </c>
      <c r="B63" t="str" cm="1">
        <f t="array" ref="B63:F63">_xlfn.TEXTSPLIT(A63,"_")</f>
        <v>MVPRP</v>
      </c>
      <c r="C63" t="str">
        <v>C35</v>
      </c>
      <c r="D63" t="str">
        <v>P3</v>
      </c>
      <c r="E63" t="str">
        <v>V3</v>
      </c>
      <c r="F63" t="str">
        <v>I1</v>
      </c>
      <c r="G63">
        <v>2</v>
      </c>
      <c r="H63">
        <v>35503</v>
      </c>
      <c r="I63">
        <v>35503</v>
      </c>
      <c r="J63">
        <v>35503</v>
      </c>
      <c r="K63">
        <v>35503</v>
      </c>
      <c r="L63">
        <v>0</v>
      </c>
      <c r="M63">
        <v>0</v>
      </c>
      <c r="N63">
        <v>0</v>
      </c>
      <c r="O63">
        <v>0</v>
      </c>
      <c r="P63">
        <v>34.060139659999997</v>
      </c>
      <c r="Q63">
        <v>137.66484449999999</v>
      </c>
      <c r="R63">
        <v>0</v>
      </c>
      <c r="S63">
        <v>0</v>
      </c>
      <c r="T63">
        <f t="shared" si="0"/>
        <v>35</v>
      </c>
      <c r="U63" t="str">
        <f t="shared" si="1"/>
        <v>average</v>
      </c>
    </row>
    <row r="64" spans="1:21" x14ac:dyDescent="0.25">
      <c r="A64" t="s">
        <v>29</v>
      </c>
      <c r="B64" t="str" cm="1">
        <f t="array" ref="B64:F64">_xlfn.TEXTSPLIT(A64,"_")</f>
        <v>MVPRP</v>
      </c>
      <c r="C64" t="str">
        <v>C35</v>
      </c>
      <c r="D64" t="str">
        <v>P3</v>
      </c>
      <c r="E64" t="str">
        <v>V3</v>
      </c>
      <c r="F64" t="str">
        <v>I1</v>
      </c>
      <c r="G64">
        <v>2.5</v>
      </c>
      <c r="H64">
        <v>35503</v>
      </c>
      <c r="I64">
        <v>35502.999730000003</v>
      </c>
      <c r="J64">
        <v>35503</v>
      </c>
      <c r="K64">
        <v>35502.999730000003</v>
      </c>
      <c r="L64">
        <v>0</v>
      </c>
      <c r="M64">
        <v>0</v>
      </c>
      <c r="N64">
        <v>0</v>
      </c>
      <c r="O64">
        <v>0</v>
      </c>
      <c r="P64">
        <v>34.060139659999997</v>
      </c>
      <c r="Q64">
        <v>38.85920548</v>
      </c>
      <c r="R64">
        <v>0</v>
      </c>
      <c r="S64">
        <v>0</v>
      </c>
      <c r="T64">
        <f t="shared" si="0"/>
        <v>35</v>
      </c>
      <c r="U64" t="str">
        <f t="shared" si="1"/>
        <v>average</v>
      </c>
    </row>
    <row r="65" spans="1:21" x14ac:dyDescent="0.25">
      <c r="A65" t="s">
        <v>29</v>
      </c>
      <c r="B65" t="str" cm="1">
        <f t="array" ref="B65:F65">_xlfn.TEXTSPLIT(A65,"_")</f>
        <v>MVPRP</v>
      </c>
      <c r="C65" t="str">
        <v>C35</v>
      </c>
      <c r="D65" t="str">
        <v>P3</v>
      </c>
      <c r="E65" t="str">
        <v>V3</v>
      </c>
      <c r="F65" t="str">
        <v>I1</v>
      </c>
      <c r="G65">
        <v>3</v>
      </c>
      <c r="H65">
        <v>35503</v>
      </c>
      <c r="I65">
        <v>35502.999980000001</v>
      </c>
      <c r="J65">
        <v>35503</v>
      </c>
      <c r="K65">
        <v>35502.999980000001</v>
      </c>
      <c r="L65">
        <v>0</v>
      </c>
      <c r="M65">
        <v>0</v>
      </c>
      <c r="N65">
        <v>0</v>
      </c>
      <c r="O65">
        <v>0</v>
      </c>
      <c r="P65">
        <v>34.060139659999997</v>
      </c>
      <c r="Q65">
        <v>101.96239919999999</v>
      </c>
      <c r="R65">
        <v>0</v>
      </c>
      <c r="S65">
        <v>0</v>
      </c>
      <c r="T65">
        <f t="shared" si="0"/>
        <v>35</v>
      </c>
      <c r="U65" t="str">
        <f t="shared" si="1"/>
        <v>average</v>
      </c>
    </row>
    <row r="66" spans="1:21" x14ac:dyDescent="0.25">
      <c r="A66" t="s">
        <v>30</v>
      </c>
      <c r="B66" t="str" cm="1">
        <f t="array" ref="B66:F66">_xlfn.TEXTSPLIT(A66,"_")</f>
        <v>MVPRP</v>
      </c>
      <c r="C66" t="str">
        <v>C35</v>
      </c>
      <c r="D66" t="str">
        <v>P6</v>
      </c>
      <c r="E66" t="str">
        <v>V3</v>
      </c>
      <c r="F66" t="str">
        <v>I1</v>
      </c>
      <c r="G66">
        <v>1.5</v>
      </c>
      <c r="H66">
        <v>75373.5</v>
      </c>
      <c r="I66">
        <v>75246.849919999993</v>
      </c>
      <c r="J66">
        <v>75367.905060000005</v>
      </c>
      <c r="K66">
        <v>75244.21776</v>
      </c>
      <c r="L66">
        <v>126.65</v>
      </c>
      <c r="M66">
        <v>0.16830000000000001</v>
      </c>
      <c r="N66">
        <v>129.28</v>
      </c>
      <c r="O66">
        <v>0.17180000000000001</v>
      </c>
      <c r="P66">
        <v>3601.7039279999999</v>
      </c>
      <c r="Q66">
        <v>1425.6645679999999</v>
      </c>
      <c r="R66">
        <v>2.2220149999999999E-3</v>
      </c>
      <c r="S66" s="8">
        <v>3.4980400000000001E-5</v>
      </c>
      <c r="T66">
        <f t="shared" si="0"/>
        <v>35</v>
      </c>
      <c r="U66" t="str">
        <f t="shared" si="1"/>
        <v>average</v>
      </c>
    </row>
    <row r="67" spans="1:21" x14ac:dyDescent="0.25">
      <c r="A67" t="s">
        <v>30</v>
      </c>
      <c r="B67" t="str" cm="1">
        <f t="array" ref="B67:F67">_xlfn.TEXTSPLIT(A67,"_")</f>
        <v>MVPRP</v>
      </c>
      <c r="C67" t="str">
        <v>C35</v>
      </c>
      <c r="D67" t="str">
        <v>P6</v>
      </c>
      <c r="E67" t="str">
        <v>V3</v>
      </c>
      <c r="F67" t="str">
        <v>I1</v>
      </c>
      <c r="G67">
        <v>2</v>
      </c>
      <c r="H67">
        <v>75560.600000000006</v>
      </c>
      <c r="I67">
        <v>75347</v>
      </c>
      <c r="J67">
        <v>75555.005059999996</v>
      </c>
      <c r="K67">
        <v>75347</v>
      </c>
      <c r="L67">
        <v>213.6</v>
      </c>
      <c r="M67">
        <v>0.28349999999999997</v>
      </c>
      <c r="N67">
        <v>213.6</v>
      </c>
      <c r="O67">
        <v>0.28349999999999997</v>
      </c>
      <c r="P67">
        <v>3601.7039279999999</v>
      </c>
      <c r="Q67">
        <v>991.8314378</v>
      </c>
      <c r="R67">
        <v>2.2220149999999999E-3</v>
      </c>
      <c r="S67">
        <v>0</v>
      </c>
      <c r="T67">
        <f t="shared" ref="T67:T130" si="2">_xlfn.NUMBERVALUE(_xlfn.TEXTAFTER(C67,"C"))</f>
        <v>35</v>
      </c>
      <c r="U67" t="str">
        <f t="shared" ref="U67:U130" si="3">IF(T67&lt;=20,"small",IF(AND(T67&gt;20,T67&lt;=35),"average","big"))</f>
        <v>average</v>
      </c>
    </row>
    <row r="68" spans="1:21" x14ac:dyDescent="0.25">
      <c r="A68" t="s">
        <v>30</v>
      </c>
      <c r="B68" t="str" cm="1">
        <f t="array" ref="B68:F68">_xlfn.TEXTSPLIT(A68,"_")</f>
        <v>MVPRP</v>
      </c>
      <c r="C68" t="str">
        <v>C35</v>
      </c>
      <c r="D68" t="str">
        <v>P6</v>
      </c>
      <c r="E68" t="str">
        <v>V3</v>
      </c>
      <c r="F68" t="str">
        <v>I1</v>
      </c>
      <c r="G68">
        <v>2.5</v>
      </c>
      <c r="H68">
        <v>75747.7</v>
      </c>
      <c r="I68">
        <v>75424.25</v>
      </c>
      <c r="J68">
        <v>75742.105060000002</v>
      </c>
      <c r="K68">
        <v>75419.298020000002</v>
      </c>
      <c r="L68">
        <v>323.45</v>
      </c>
      <c r="M68">
        <v>0.42880000000000001</v>
      </c>
      <c r="N68">
        <v>328.4</v>
      </c>
      <c r="O68">
        <v>0.43540000000000001</v>
      </c>
      <c r="P68">
        <v>3601.7039279999999</v>
      </c>
      <c r="Q68">
        <v>639.86726020000003</v>
      </c>
      <c r="R68">
        <v>2.2220149999999999E-3</v>
      </c>
      <c r="S68" s="8">
        <v>6.5655100000000001E-5</v>
      </c>
      <c r="T68">
        <f t="shared" si="2"/>
        <v>35</v>
      </c>
      <c r="U68" t="str">
        <f t="shared" si="3"/>
        <v>average</v>
      </c>
    </row>
    <row r="69" spans="1:21" x14ac:dyDescent="0.25">
      <c r="A69" t="s">
        <v>30</v>
      </c>
      <c r="B69" t="str" cm="1">
        <f t="array" ref="B69:F69">_xlfn.TEXTSPLIT(A69,"_")</f>
        <v>MVPRP</v>
      </c>
      <c r="C69" t="str">
        <v>C35</v>
      </c>
      <c r="D69" t="str">
        <v>P6</v>
      </c>
      <c r="E69" t="str">
        <v>V3</v>
      </c>
      <c r="F69" t="str">
        <v>I1</v>
      </c>
      <c r="G69">
        <v>3</v>
      </c>
      <c r="H69">
        <v>75934.8</v>
      </c>
      <c r="I69">
        <v>75501.5</v>
      </c>
      <c r="J69">
        <v>75929.205059999993</v>
      </c>
      <c r="K69">
        <v>75501.5</v>
      </c>
      <c r="L69">
        <v>433.3</v>
      </c>
      <c r="M69">
        <v>0.57389999999999997</v>
      </c>
      <c r="N69">
        <v>433.3</v>
      </c>
      <c r="O69">
        <v>0.57389999999999997</v>
      </c>
      <c r="P69">
        <v>3601.7039279999999</v>
      </c>
      <c r="Q69">
        <v>394.45544719999998</v>
      </c>
      <c r="R69">
        <v>2.2220149999999999E-3</v>
      </c>
      <c r="S69">
        <v>0</v>
      </c>
      <c r="T69">
        <f t="shared" si="2"/>
        <v>35</v>
      </c>
      <c r="U69" t="str">
        <f t="shared" si="3"/>
        <v>average</v>
      </c>
    </row>
    <row r="70" spans="1:21" x14ac:dyDescent="0.25">
      <c r="A70" t="s">
        <v>31</v>
      </c>
      <c r="B70" t="str" cm="1">
        <f t="array" ref="B70:F70">_xlfn.TEXTSPLIT(A70,"_")</f>
        <v>MVPRP</v>
      </c>
      <c r="C70" t="str">
        <v>C40</v>
      </c>
      <c r="D70" t="str">
        <v>P3</v>
      </c>
      <c r="E70" t="str">
        <v>V3</v>
      </c>
      <c r="F70" t="str">
        <v>I1</v>
      </c>
      <c r="G70">
        <v>1.5</v>
      </c>
      <c r="H70">
        <v>44780</v>
      </c>
      <c r="I70">
        <v>44572</v>
      </c>
      <c r="J70">
        <v>44780</v>
      </c>
      <c r="K70">
        <v>44572</v>
      </c>
      <c r="L70">
        <v>208</v>
      </c>
      <c r="M70">
        <v>0.4667</v>
      </c>
      <c r="N70">
        <v>208</v>
      </c>
      <c r="O70">
        <v>0.4667</v>
      </c>
      <c r="P70">
        <v>182.55316970000001</v>
      </c>
      <c r="Q70">
        <v>303.02784320000001</v>
      </c>
      <c r="R70">
        <v>0</v>
      </c>
      <c r="S70">
        <v>0</v>
      </c>
      <c r="T70">
        <f t="shared" si="2"/>
        <v>40</v>
      </c>
      <c r="U70" t="str">
        <f t="shared" si="3"/>
        <v>big</v>
      </c>
    </row>
    <row r="71" spans="1:21" x14ac:dyDescent="0.25">
      <c r="A71" t="s">
        <v>31</v>
      </c>
      <c r="B71" t="str" cm="1">
        <f t="array" ref="B71:F71">_xlfn.TEXTSPLIT(A71,"_")</f>
        <v>MVPRP</v>
      </c>
      <c r="C71" t="str">
        <v>C40</v>
      </c>
      <c r="D71" t="str">
        <v>P3</v>
      </c>
      <c r="E71" t="str">
        <v>V3</v>
      </c>
      <c r="F71" t="str">
        <v>I1</v>
      </c>
      <c r="G71">
        <v>2</v>
      </c>
      <c r="H71">
        <v>44930.1</v>
      </c>
      <c r="I71">
        <v>44572</v>
      </c>
      <c r="J71">
        <v>44930.1</v>
      </c>
      <c r="K71">
        <v>44572</v>
      </c>
      <c r="L71">
        <v>358.1</v>
      </c>
      <c r="M71">
        <v>0.8034</v>
      </c>
      <c r="N71">
        <v>358.1</v>
      </c>
      <c r="O71">
        <v>0.8034</v>
      </c>
      <c r="P71">
        <v>182.55316970000001</v>
      </c>
      <c r="Q71">
        <v>226.71976799999999</v>
      </c>
      <c r="R71">
        <v>0</v>
      </c>
      <c r="S71">
        <v>0</v>
      </c>
      <c r="T71">
        <f t="shared" si="2"/>
        <v>40</v>
      </c>
      <c r="U71" t="str">
        <f t="shared" si="3"/>
        <v>big</v>
      </c>
    </row>
    <row r="72" spans="1:21" x14ac:dyDescent="0.25">
      <c r="A72" t="s">
        <v>31</v>
      </c>
      <c r="B72" t="str" cm="1">
        <f t="array" ref="B72:F72">_xlfn.TEXTSPLIT(A72,"_")</f>
        <v>MVPRP</v>
      </c>
      <c r="C72" t="str">
        <v>C40</v>
      </c>
      <c r="D72" t="str">
        <v>P3</v>
      </c>
      <c r="E72" t="str">
        <v>V3</v>
      </c>
      <c r="F72" t="str">
        <v>I1</v>
      </c>
      <c r="G72">
        <v>2.5</v>
      </c>
      <c r="H72">
        <v>45080.2</v>
      </c>
      <c r="I72">
        <v>44572</v>
      </c>
      <c r="J72">
        <v>45080.2</v>
      </c>
      <c r="K72">
        <v>44572</v>
      </c>
      <c r="L72">
        <v>508.2</v>
      </c>
      <c r="M72">
        <v>1.1402000000000001</v>
      </c>
      <c r="N72">
        <v>508.2</v>
      </c>
      <c r="O72">
        <v>1.1402000000000001</v>
      </c>
      <c r="P72">
        <v>182.55316970000001</v>
      </c>
      <c r="Q72">
        <v>200.29028059999999</v>
      </c>
      <c r="R72">
        <v>0</v>
      </c>
      <c r="S72">
        <v>0</v>
      </c>
      <c r="T72">
        <f t="shared" si="2"/>
        <v>40</v>
      </c>
      <c r="U72" t="str">
        <f t="shared" si="3"/>
        <v>big</v>
      </c>
    </row>
    <row r="73" spans="1:21" x14ac:dyDescent="0.25">
      <c r="A73" t="s">
        <v>31</v>
      </c>
      <c r="B73" t="str" cm="1">
        <f t="array" ref="B73:F73">_xlfn.TEXTSPLIT(A73,"_")</f>
        <v>MVPRP</v>
      </c>
      <c r="C73" t="str">
        <v>C40</v>
      </c>
      <c r="D73" t="str">
        <v>P3</v>
      </c>
      <c r="E73" t="str">
        <v>V3</v>
      </c>
      <c r="F73" t="str">
        <v>I1</v>
      </c>
      <c r="G73">
        <v>3</v>
      </c>
      <c r="H73">
        <v>45230.3</v>
      </c>
      <c r="I73">
        <v>44572</v>
      </c>
      <c r="J73">
        <v>45230.3</v>
      </c>
      <c r="K73">
        <v>44572</v>
      </c>
      <c r="L73">
        <v>658.3</v>
      </c>
      <c r="M73">
        <v>1.4769000000000001</v>
      </c>
      <c r="N73">
        <v>658.3</v>
      </c>
      <c r="O73">
        <v>1.4769000000000001</v>
      </c>
      <c r="P73">
        <v>182.55316970000001</v>
      </c>
      <c r="Q73">
        <v>112.056927</v>
      </c>
      <c r="R73">
        <v>0</v>
      </c>
      <c r="S73">
        <v>0</v>
      </c>
      <c r="T73">
        <f t="shared" si="2"/>
        <v>40</v>
      </c>
      <c r="U73" t="str">
        <f t="shared" si="3"/>
        <v>big</v>
      </c>
    </row>
    <row r="74" spans="1:21" x14ac:dyDescent="0.25">
      <c r="A74" t="s">
        <v>32</v>
      </c>
      <c r="B74" t="str" cm="1">
        <f t="array" ref="B74:F74">_xlfn.TEXTSPLIT(A74,"_")</f>
        <v>MVPRP</v>
      </c>
      <c r="C74" t="str">
        <v>C40</v>
      </c>
      <c r="D74" t="str">
        <v>P6</v>
      </c>
      <c r="E74" t="str">
        <v>V3</v>
      </c>
      <c r="F74" t="str">
        <v>I1</v>
      </c>
      <c r="G74">
        <v>1.5</v>
      </c>
      <c r="H74">
        <v>96930.85</v>
      </c>
      <c r="I74">
        <v>96909.2</v>
      </c>
      <c r="J74">
        <v>96929.194010000007</v>
      </c>
      <c r="K74">
        <v>96558.363599999997</v>
      </c>
      <c r="L74">
        <v>21.65</v>
      </c>
      <c r="M74">
        <v>2.23E-2</v>
      </c>
      <c r="N74">
        <v>372.49</v>
      </c>
      <c r="O74">
        <v>0.38440000000000002</v>
      </c>
      <c r="P74">
        <v>3600.8156410000001</v>
      </c>
      <c r="Q74">
        <v>3600.1379849999998</v>
      </c>
      <c r="R74">
        <v>7.11507E-4</v>
      </c>
      <c r="S74">
        <v>3.6202589999999998E-3</v>
      </c>
      <c r="T74">
        <f t="shared" si="2"/>
        <v>40</v>
      </c>
      <c r="U74" t="str">
        <f t="shared" si="3"/>
        <v>big</v>
      </c>
    </row>
    <row r="75" spans="1:21" x14ac:dyDescent="0.25">
      <c r="A75" t="s">
        <v>32</v>
      </c>
      <c r="B75" t="str" cm="1">
        <f t="array" ref="B75:F75">_xlfn.TEXTSPLIT(A75,"_")</f>
        <v>MVPRP</v>
      </c>
      <c r="C75" t="str">
        <v>C40</v>
      </c>
      <c r="D75" t="str">
        <v>P6</v>
      </c>
      <c r="E75" t="str">
        <v>V3</v>
      </c>
      <c r="F75" t="str">
        <v>I1</v>
      </c>
      <c r="G75">
        <v>2</v>
      </c>
      <c r="H75">
        <v>97153</v>
      </c>
      <c r="I75">
        <v>97042.1</v>
      </c>
      <c r="J75">
        <v>97151.344010000001</v>
      </c>
      <c r="K75">
        <v>96828.582339999994</v>
      </c>
      <c r="L75">
        <v>110.9</v>
      </c>
      <c r="M75">
        <v>0.1143</v>
      </c>
      <c r="N75">
        <v>324.42</v>
      </c>
      <c r="O75">
        <v>0.33429999999999999</v>
      </c>
      <c r="P75">
        <v>3600.8156410000001</v>
      </c>
      <c r="Q75">
        <v>3600.1633339999998</v>
      </c>
      <c r="R75">
        <v>7.11507E-4</v>
      </c>
      <c r="S75">
        <v>2.2002580000000001E-3</v>
      </c>
      <c r="T75">
        <f t="shared" si="2"/>
        <v>40</v>
      </c>
      <c r="U75" t="str">
        <f t="shared" si="3"/>
        <v>big</v>
      </c>
    </row>
    <row r="76" spans="1:21" x14ac:dyDescent="0.25">
      <c r="A76" t="s">
        <v>32</v>
      </c>
      <c r="B76" t="str" cm="1">
        <f t="array" ref="B76:F76">_xlfn.TEXTSPLIT(A76,"_")</f>
        <v>MVPRP</v>
      </c>
      <c r="C76" t="str">
        <v>C40</v>
      </c>
      <c r="D76" t="str">
        <v>P6</v>
      </c>
      <c r="E76" t="str">
        <v>V3</v>
      </c>
      <c r="F76" t="str">
        <v>I1</v>
      </c>
      <c r="G76">
        <v>2.5</v>
      </c>
      <c r="H76">
        <v>97375.15</v>
      </c>
      <c r="I76">
        <v>97164.4</v>
      </c>
      <c r="J76">
        <v>97373.494009999995</v>
      </c>
      <c r="K76">
        <v>96984.128809999995</v>
      </c>
      <c r="L76">
        <v>210.75</v>
      </c>
      <c r="M76">
        <v>0.21690000000000001</v>
      </c>
      <c r="N76">
        <v>391.02</v>
      </c>
      <c r="O76">
        <v>0.40239999999999998</v>
      </c>
      <c r="P76">
        <v>3600.8156410000001</v>
      </c>
      <c r="Q76">
        <v>3600.3081309999998</v>
      </c>
      <c r="R76">
        <v>7.11507E-4</v>
      </c>
      <c r="S76">
        <v>1.8553210000000001E-3</v>
      </c>
      <c r="T76">
        <f t="shared" si="2"/>
        <v>40</v>
      </c>
      <c r="U76" t="str">
        <f t="shared" si="3"/>
        <v>big</v>
      </c>
    </row>
    <row r="77" spans="1:21" x14ac:dyDescent="0.25">
      <c r="A77" t="s">
        <v>32</v>
      </c>
      <c r="B77" t="str" cm="1">
        <f t="array" ref="B77:F77">_xlfn.TEXTSPLIT(A77,"_")</f>
        <v>MVPRP</v>
      </c>
      <c r="C77" t="str">
        <v>C40</v>
      </c>
      <c r="D77" t="str">
        <v>P6</v>
      </c>
      <c r="E77" t="str">
        <v>V3</v>
      </c>
      <c r="F77" t="str">
        <v>I1</v>
      </c>
      <c r="G77">
        <v>3</v>
      </c>
      <c r="H77">
        <v>97597.3</v>
      </c>
      <c r="I77">
        <v>97285.3</v>
      </c>
      <c r="J77">
        <v>97595.644010000004</v>
      </c>
      <c r="K77">
        <v>97176.52291</v>
      </c>
      <c r="L77">
        <v>312</v>
      </c>
      <c r="M77">
        <v>0.32069999999999999</v>
      </c>
      <c r="N77">
        <v>420.78</v>
      </c>
      <c r="O77">
        <v>0.4325</v>
      </c>
      <c r="P77">
        <v>3600.8156410000001</v>
      </c>
      <c r="Q77">
        <v>3600.0624550000002</v>
      </c>
      <c r="R77">
        <v>7.11507E-4</v>
      </c>
      <c r="S77">
        <v>1.118125E-3</v>
      </c>
      <c r="T77">
        <f t="shared" si="2"/>
        <v>40</v>
      </c>
      <c r="U77" t="str">
        <f t="shared" si="3"/>
        <v>big</v>
      </c>
    </row>
    <row r="78" spans="1:21" x14ac:dyDescent="0.25">
      <c r="A78" t="s">
        <v>33</v>
      </c>
      <c r="B78" t="str" cm="1">
        <f t="array" ref="B78:F78">_xlfn.TEXTSPLIT(A78,"_")</f>
        <v>MVPRP</v>
      </c>
      <c r="C78" t="str">
        <v>C45</v>
      </c>
      <c r="D78" t="str">
        <v>P3</v>
      </c>
      <c r="E78" t="str">
        <v>V3</v>
      </c>
      <c r="F78" t="str">
        <v>I1</v>
      </c>
      <c r="G78">
        <v>1.5</v>
      </c>
      <c r="H78">
        <v>51170.85</v>
      </c>
      <c r="I78">
        <v>50991</v>
      </c>
      <c r="J78">
        <v>51170.85</v>
      </c>
      <c r="K78">
        <v>50991</v>
      </c>
      <c r="L78">
        <v>179.85</v>
      </c>
      <c r="M78">
        <v>0.35270000000000001</v>
      </c>
      <c r="N78">
        <v>179.85</v>
      </c>
      <c r="O78">
        <v>0.35270000000000001</v>
      </c>
      <c r="P78">
        <v>54.694288020000002</v>
      </c>
      <c r="Q78">
        <v>892.56480290000002</v>
      </c>
      <c r="R78" s="8">
        <v>9.8917000000000002E-5</v>
      </c>
      <c r="S78">
        <v>0</v>
      </c>
      <c r="T78">
        <f t="shared" si="2"/>
        <v>45</v>
      </c>
      <c r="U78" t="str">
        <f t="shared" si="3"/>
        <v>big</v>
      </c>
    </row>
    <row r="79" spans="1:21" x14ac:dyDescent="0.25">
      <c r="A79" t="s">
        <v>33</v>
      </c>
      <c r="B79" t="str" cm="1">
        <f t="array" ref="B79:F79">_xlfn.TEXTSPLIT(A79,"_")</f>
        <v>MVPRP</v>
      </c>
      <c r="C79" t="str">
        <v>C45</v>
      </c>
      <c r="D79" t="str">
        <v>P3</v>
      </c>
      <c r="E79" t="str">
        <v>V3</v>
      </c>
      <c r="F79" t="str">
        <v>I1</v>
      </c>
      <c r="G79">
        <v>2</v>
      </c>
      <c r="H79">
        <v>51466.3</v>
      </c>
      <c r="I79">
        <v>51172.4</v>
      </c>
      <c r="J79">
        <v>51466.3</v>
      </c>
      <c r="K79">
        <v>51170.543189999997</v>
      </c>
      <c r="L79">
        <v>293.89999999999998</v>
      </c>
      <c r="M79">
        <v>0.57430000000000003</v>
      </c>
      <c r="N79">
        <v>295.76</v>
      </c>
      <c r="O79">
        <v>0.57799999999999996</v>
      </c>
      <c r="P79">
        <v>54.694288020000002</v>
      </c>
      <c r="Q79">
        <v>327.18339630000003</v>
      </c>
      <c r="R79" s="8">
        <v>9.8917000000000002E-5</v>
      </c>
      <c r="S79" s="8">
        <v>3.6285400000000003E-5</v>
      </c>
      <c r="T79">
        <f t="shared" si="2"/>
        <v>45</v>
      </c>
      <c r="U79" t="str">
        <f t="shared" si="3"/>
        <v>big</v>
      </c>
    </row>
    <row r="80" spans="1:21" x14ac:dyDescent="0.25">
      <c r="A80" t="s">
        <v>33</v>
      </c>
      <c r="B80" t="str" cm="1">
        <f t="array" ref="B80:F80">_xlfn.TEXTSPLIT(A80,"_")</f>
        <v>MVPRP</v>
      </c>
      <c r="C80" t="str">
        <v>C45</v>
      </c>
      <c r="D80" t="str">
        <v>P3</v>
      </c>
      <c r="E80" t="str">
        <v>V3</v>
      </c>
      <c r="F80" t="str">
        <v>I1</v>
      </c>
      <c r="G80">
        <v>2.5</v>
      </c>
      <c r="H80">
        <v>51761.75</v>
      </c>
      <c r="I80">
        <v>51327.95</v>
      </c>
      <c r="J80">
        <v>51761.75</v>
      </c>
      <c r="K80">
        <v>51327.95</v>
      </c>
      <c r="L80">
        <v>433.8</v>
      </c>
      <c r="M80">
        <v>0.84519999999999995</v>
      </c>
      <c r="N80">
        <v>433.8</v>
      </c>
      <c r="O80">
        <v>0.84519999999999995</v>
      </c>
      <c r="P80">
        <v>54.694288020000002</v>
      </c>
      <c r="Q80">
        <v>272.77681610000002</v>
      </c>
      <c r="R80" s="8">
        <v>9.8917000000000002E-5</v>
      </c>
      <c r="S80">
        <v>0</v>
      </c>
      <c r="T80">
        <f t="shared" si="2"/>
        <v>45</v>
      </c>
      <c r="U80" t="str">
        <f t="shared" si="3"/>
        <v>big</v>
      </c>
    </row>
    <row r="81" spans="1:21" x14ac:dyDescent="0.25">
      <c r="A81" t="s">
        <v>33</v>
      </c>
      <c r="B81" t="str" cm="1">
        <f t="array" ref="B81:F81">_xlfn.TEXTSPLIT(A81,"_")</f>
        <v>MVPRP</v>
      </c>
      <c r="C81" t="str">
        <v>C45</v>
      </c>
      <c r="D81" t="str">
        <v>P3</v>
      </c>
      <c r="E81" t="str">
        <v>V3</v>
      </c>
      <c r="F81" t="str">
        <v>I1</v>
      </c>
      <c r="G81">
        <v>3</v>
      </c>
      <c r="H81">
        <v>52057.2</v>
      </c>
      <c r="I81">
        <v>51458.8</v>
      </c>
      <c r="J81">
        <v>52057.2</v>
      </c>
      <c r="K81">
        <v>51454.010670000003</v>
      </c>
      <c r="L81">
        <v>598.4</v>
      </c>
      <c r="M81">
        <v>1.1629</v>
      </c>
      <c r="N81">
        <v>603.19000000000005</v>
      </c>
      <c r="O81">
        <v>1.1721999999999999</v>
      </c>
      <c r="P81">
        <v>54.694288020000002</v>
      </c>
      <c r="Q81">
        <v>324.05683449999998</v>
      </c>
      <c r="R81" s="8">
        <v>9.8917000000000002E-5</v>
      </c>
      <c r="S81" s="8">
        <v>9.3071200000000004E-5</v>
      </c>
      <c r="T81">
        <f t="shared" si="2"/>
        <v>45</v>
      </c>
      <c r="U81" t="str">
        <f t="shared" si="3"/>
        <v>big</v>
      </c>
    </row>
    <row r="82" spans="1:21" x14ac:dyDescent="0.25">
      <c r="A82" t="s">
        <v>34</v>
      </c>
      <c r="B82" t="str" cm="1">
        <f t="array" ref="B82:F82">_xlfn.TEXTSPLIT(A82,"_")</f>
        <v>MVPRP</v>
      </c>
      <c r="C82" t="str">
        <v>C50</v>
      </c>
      <c r="D82" t="str">
        <v>P3</v>
      </c>
      <c r="E82" t="str">
        <v>V3</v>
      </c>
      <c r="F82" t="str">
        <v>I1</v>
      </c>
      <c r="G82">
        <v>1.5</v>
      </c>
      <c r="H82">
        <v>47693.55</v>
      </c>
      <c r="I82">
        <v>47349.199959999998</v>
      </c>
      <c r="J82">
        <v>47693.55</v>
      </c>
      <c r="K82">
        <v>47346.2</v>
      </c>
      <c r="L82">
        <v>344.35</v>
      </c>
      <c r="M82">
        <v>0.72729999999999995</v>
      </c>
      <c r="N82">
        <v>347.35</v>
      </c>
      <c r="O82">
        <v>0.73360000000000003</v>
      </c>
      <c r="P82">
        <v>94.946824550000002</v>
      </c>
      <c r="Q82">
        <v>1101.8550680000001</v>
      </c>
      <c r="R82">
        <v>0</v>
      </c>
      <c r="S82" s="8">
        <v>6.3358199999999999E-5</v>
      </c>
      <c r="T82">
        <f t="shared" si="2"/>
        <v>50</v>
      </c>
      <c r="U82" t="str">
        <f t="shared" si="3"/>
        <v>big</v>
      </c>
    </row>
    <row r="83" spans="1:21" x14ac:dyDescent="0.25">
      <c r="A83" t="s">
        <v>34</v>
      </c>
      <c r="B83" t="str" cm="1">
        <f t="array" ref="B83:F83">_xlfn.TEXTSPLIT(A83,"_")</f>
        <v>MVPRP</v>
      </c>
      <c r="C83" t="str">
        <v>C50</v>
      </c>
      <c r="D83" t="str">
        <v>P3</v>
      </c>
      <c r="E83" t="str">
        <v>V3</v>
      </c>
      <c r="F83" t="str">
        <v>I1</v>
      </c>
      <c r="G83">
        <v>2</v>
      </c>
      <c r="H83">
        <v>48068.2</v>
      </c>
      <c r="I83">
        <v>47523.199999999997</v>
      </c>
      <c r="J83">
        <v>48068.2</v>
      </c>
      <c r="K83">
        <v>47519.199999999997</v>
      </c>
      <c r="L83">
        <v>545</v>
      </c>
      <c r="M83">
        <v>1.1468</v>
      </c>
      <c r="N83">
        <v>549</v>
      </c>
      <c r="O83">
        <v>1.1552</v>
      </c>
      <c r="P83">
        <v>94.946824550000002</v>
      </c>
      <c r="Q83">
        <v>1121.8028850000001</v>
      </c>
      <c r="R83">
        <v>0</v>
      </c>
      <c r="S83" s="8">
        <v>8.4169400000000001E-5</v>
      </c>
      <c r="T83">
        <f t="shared" si="2"/>
        <v>50</v>
      </c>
      <c r="U83" t="str">
        <f t="shared" si="3"/>
        <v>big</v>
      </c>
    </row>
    <row r="84" spans="1:21" x14ac:dyDescent="0.25">
      <c r="A84" t="s">
        <v>34</v>
      </c>
      <c r="B84" t="str" cm="1">
        <f t="array" ref="B84:F84">_xlfn.TEXTSPLIT(A84,"_")</f>
        <v>MVPRP</v>
      </c>
      <c r="C84" t="str">
        <v>C50</v>
      </c>
      <c r="D84" t="str">
        <v>P3</v>
      </c>
      <c r="E84" t="str">
        <v>V3</v>
      </c>
      <c r="F84" t="str">
        <v>I1</v>
      </c>
      <c r="G84">
        <v>2.5</v>
      </c>
      <c r="H84">
        <v>48442.85</v>
      </c>
      <c r="I84">
        <v>47562</v>
      </c>
      <c r="J84">
        <v>48442.85</v>
      </c>
      <c r="K84">
        <v>47561</v>
      </c>
      <c r="L84">
        <v>880.85</v>
      </c>
      <c r="M84">
        <v>1.8520000000000001</v>
      </c>
      <c r="N84">
        <v>881.85</v>
      </c>
      <c r="O84">
        <v>1.8541000000000001</v>
      </c>
      <c r="P84">
        <v>94.946824550000002</v>
      </c>
      <c r="Q84">
        <v>813.64095689999999</v>
      </c>
      <c r="R84">
        <v>0</v>
      </c>
      <c r="S84" s="8">
        <v>2.10252E-5</v>
      </c>
      <c r="T84">
        <f t="shared" si="2"/>
        <v>50</v>
      </c>
      <c r="U84" t="str">
        <f t="shared" si="3"/>
        <v>big</v>
      </c>
    </row>
    <row r="85" spans="1:21" x14ac:dyDescent="0.25">
      <c r="A85" t="s">
        <v>34</v>
      </c>
      <c r="B85" t="str" cm="1">
        <f t="array" ref="B85:F85">_xlfn.TEXTSPLIT(A85,"_")</f>
        <v>MVPRP</v>
      </c>
      <c r="C85" t="str">
        <v>C50</v>
      </c>
      <c r="D85" t="str">
        <v>P3</v>
      </c>
      <c r="E85" t="str">
        <v>V3</v>
      </c>
      <c r="F85" t="str">
        <v>I1</v>
      </c>
      <c r="G85">
        <v>3</v>
      </c>
      <c r="H85">
        <v>48817.5</v>
      </c>
      <c r="I85">
        <v>47561.999880000003</v>
      </c>
      <c r="J85">
        <v>48817.5</v>
      </c>
      <c r="K85">
        <v>47561.999880000003</v>
      </c>
      <c r="L85">
        <v>1255.5</v>
      </c>
      <c r="M85">
        <v>2.6396999999999999</v>
      </c>
      <c r="N85">
        <v>1255.5</v>
      </c>
      <c r="O85">
        <v>2.6396999999999999</v>
      </c>
      <c r="P85">
        <v>94.946824550000002</v>
      </c>
      <c r="Q85">
        <v>852.19040159999997</v>
      </c>
      <c r="R85">
        <v>0</v>
      </c>
      <c r="S85">
        <v>0</v>
      </c>
      <c r="T85">
        <f t="shared" si="2"/>
        <v>50</v>
      </c>
      <c r="U85" t="str">
        <f t="shared" si="3"/>
        <v>big</v>
      </c>
    </row>
    <row r="165" spans="18:18" x14ac:dyDescent="0.25">
      <c r="R165" s="1"/>
    </row>
    <row r="166" spans="18:18" x14ac:dyDescent="0.25">
      <c r="R166" s="1"/>
    </row>
    <row r="167" spans="18:18" x14ac:dyDescent="0.25">
      <c r="R167" s="1"/>
    </row>
    <row r="168" spans="18:18" x14ac:dyDescent="0.25">
      <c r="R168" s="1"/>
    </row>
  </sheetData>
  <autoFilter ref="A1:T168" xr:uid="{F81AE96F-A0D2-45A3-9E73-C7A9DF5714CE}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Pivot</vt:lpstr>
      <vt:lpstr>vss_calc_tab_I1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Rocha, Luis</cp:lastModifiedBy>
  <dcterms:created xsi:type="dcterms:W3CDTF">2025-11-12T15:01:44Z</dcterms:created>
  <dcterms:modified xsi:type="dcterms:W3CDTF">2025-11-13T10:23:40Z</dcterms:modified>
</cp:coreProperties>
</file>