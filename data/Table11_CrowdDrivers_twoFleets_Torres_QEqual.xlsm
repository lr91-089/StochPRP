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User\Documents\000_Passau\Research\Code\StochPRP_Git\data\"/>
    </mc:Choice>
  </mc:AlternateContent>
  <xr:revisionPtr revIDLastSave="0" documentId="13_ncr:1_{D5D23CFB-C56F-4A11-928A-B18A895C1ECA}" xr6:coauthVersionLast="47" xr6:coauthVersionMax="47" xr10:uidLastSave="{00000000-0000-0000-0000-000000000000}"/>
  <bookViews>
    <workbookView xWindow="-108" yWindow="-108" windowWidth="23256" windowHeight="12456" tabRatio="500" activeTab="3" xr2:uid="{00000000-000D-0000-FFFF-FFFF00000000}"/>
  </bookViews>
  <sheets>
    <sheet name="Tabelle3" sheetId="5" r:id="rId1"/>
    <sheet name="GenPivot" sheetId="4" r:id="rId2"/>
    <sheet name="Pivot" sheetId="2" r:id="rId3"/>
    <sheet name="model4_16_threads_MIPstart_med3" sheetId="1" r:id="rId4"/>
  </sheets>
  <calcPr calcId="191029"/>
  <pivotCaches>
    <pivotCache cacheId="0" r:id="rId5"/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B3" i="4" l="1" a="1"/>
  <c r="B3" i="4" s="1"/>
  <c r="B4" i="4" a="1"/>
  <c r="B4" i="4" s="1"/>
  <c r="B5" i="4" a="1"/>
  <c r="B5" i="4" s="1"/>
  <c r="B6" i="4" a="1"/>
  <c r="B6" i="4" s="1"/>
  <c r="B7" i="4" a="1"/>
  <c r="B7" i="4" s="1"/>
  <c r="B8" i="4" a="1"/>
  <c r="B8" i="4" s="1"/>
  <c r="B9" i="4" a="1"/>
  <c r="B9" i="4" s="1"/>
  <c r="B10" i="4" a="1"/>
  <c r="B10" i="4" s="1"/>
  <c r="B11" i="4" a="1"/>
  <c r="B11" i="4" s="1"/>
  <c r="B12" i="4" a="1"/>
  <c r="B12" i="4" s="1"/>
  <c r="B13" i="4" a="1"/>
  <c r="B13" i="4" s="1"/>
  <c r="B14" i="4" a="1"/>
  <c r="B14" i="4" s="1"/>
  <c r="B15" i="4" a="1"/>
  <c r="B15" i="4" s="1"/>
  <c r="B16" i="4" a="1"/>
  <c r="B16" i="4" s="1"/>
  <c r="B17" i="4" a="1"/>
  <c r="B17" i="4" s="1"/>
  <c r="B18" i="4" a="1"/>
  <c r="B18" i="4" s="1"/>
  <c r="B19" i="4" a="1"/>
  <c r="B19" i="4" s="1"/>
  <c r="B20" i="4" a="1"/>
  <c r="B20" i="4" s="1"/>
  <c r="B21" i="4" a="1"/>
  <c r="B21" i="4" s="1"/>
  <c r="B22" i="4" a="1"/>
  <c r="B22" i="4" s="1"/>
  <c r="B23" i="4" a="1"/>
  <c r="B23" i="4" s="1"/>
  <c r="B24" i="4" a="1"/>
  <c r="B24" i="4" s="1"/>
  <c r="B25" i="4" a="1"/>
  <c r="B25" i="4" s="1"/>
  <c r="B26" i="4" a="1"/>
  <c r="B26" i="4" s="1"/>
  <c r="B27" i="4" a="1"/>
  <c r="B27" i="4" s="1"/>
  <c r="B28" i="4" a="1"/>
  <c r="B28" i="4" s="1"/>
  <c r="B29" i="4" a="1"/>
  <c r="B29" i="4" s="1"/>
  <c r="B30" i="4" a="1"/>
  <c r="B30" i="4" s="1"/>
  <c r="B31" i="4" a="1"/>
  <c r="B31" i="4" s="1"/>
  <c r="B32" i="4" a="1"/>
  <c r="B32" i="4" s="1"/>
  <c r="B33" i="4" a="1"/>
  <c r="B33" i="4" s="1"/>
  <c r="B34" i="4" a="1"/>
  <c r="B34" i="4" s="1"/>
  <c r="B35" i="4" a="1"/>
  <c r="B35" i="4" s="1"/>
  <c r="B36" i="4" a="1"/>
  <c r="B36" i="4" s="1"/>
  <c r="B37" i="4" a="1"/>
  <c r="B37" i="4" s="1"/>
  <c r="B38" i="4" a="1"/>
  <c r="B38" i="4" s="1"/>
  <c r="B39" i="4" a="1"/>
  <c r="B39" i="4" s="1"/>
  <c r="B40" i="4" a="1"/>
  <c r="B40" i="4" s="1"/>
  <c r="B41" i="4" a="1"/>
  <c r="B41" i="4" s="1"/>
  <c r="B42" i="4" a="1"/>
  <c r="B42" i="4" s="1"/>
  <c r="B43" i="4" a="1"/>
  <c r="B43" i="4" s="1"/>
  <c r="B2" i="4" a="1"/>
  <c r="B2" i="4" s="1"/>
  <c r="AC43" i="4"/>
  <c r="AA43" i="4"/>
  <c r="AB43" i="4" s="1"/>
  <c r="Z43" i="4"/>
  <c r="Y43" i="4"/>
  <c r="W43" i="4"/>
  <c r="X43" i="4" s="1"/>
  <c r="AC42" i="4"/>
  <c r="AA42" i="4"/>
  <c r="AB42" i="4" s="1"/>
  <c r="Z42" i="4"/>
  <c r="Y42" i="4"/>
  <c r="W42" i="4"/>
  <c r="X42" i="4" s="1"/>
  <c r="AC41" i="4"/>
  <c r="AA41" i="4"/>
  <c r="AB41" i="4" s="1"/>
  <c r="Z41" i="4"/>
  <c r="Y41" i="4"/>
  <c r="W41" i="4"/>
  <c r="X41" i="4" s="1"/>
  <c r="AC40" i="4"/>
  <c r="AA40" i="4"/>
  <c r="AB40" i="4" s="1"/>
  <c r="Z40" i="4"/>
  <c r="Y40" i="4"/>
  <c r="W40" i="4"/>
  <c r="X40" i="4" s="1"/>
  <c r="AC39" i="4"/>
  <c r="AA39" i="4"/>
  <c r="AB39" i="4" s="1"/>
  <c r="Z39" i="4"/>
  <c r="Y39" i="4"/>
  <c r="W39" i="4"/>
  <c r="X39" i="4" s="1"/>
  <c r="AC38" i="4"/>
  <c r="AA38" i="4"/>
  <c r="AB38" i="4" s="1"/>
  <c r="Z38" i="4"/>
  <c r="Y38" i="4"/>
  <c r="W38" i="4"/>
  <c r="X38" i="4" s="1"/>
  <c r="AC37" i="4"/>
  <c r="AA37" i="4"/>
  <c r="AB37" i="4" s="1"/>
  <c r="Z37" i="4"/>
  <c r="Y37" i="4"/>
  <c r="W37" i="4"/>
  <c r="X37" i="4" s="1"/>
  <c r="AC36" i="4"/>
  <c r="AA36" i="4"/>
  <c r="AB36" i="4" s="1"/>
  <c r="Z36" i="4"/>
  <c r="Y36" i="4"/>
  <c r="W36" i="4"/>
  <c r="X36" i="4" s="1"/>
  <c r="AC35" i="4"/>
  <c r="AA35" i="4"/>
  <c r="AB35" i="4" s="1"/>
  <c r="Z35" i="4"/>
  <c r="Y35" i="4"/>
  <c r="W35" i="4"/>
  <c r="X35" i="4" s="1"/>
  <c r="AC34" i="4"/>
  <c r="AA34" i="4"/>
  <c r="AB34" i="4" s="1"/>
  <c r="Z34" i="4"/>
  <c r="Y34" i="4"/>
  <c r="W34" i="4"/>
  <c r="X34" i="4" s="1"/>
  <c r="AC33" i="4"/>
  <c r="AA33" i="4"/>
  <c r="AB33" i="4" s="1"/>
  <c r="Z33" i="4"/>
  <c r="Y33" i="4"/>
  <c r="W33" i="4"/>
  <c r="X33" i="4" s="1"/>
  <c r="AC32" i="4"/>
  <c r="AA32" i="4"/>
  <c r="AB32" i="4" s="1"/>
  <c r="Z32" i="4"/>
  <c r="Y32" i="4"/>
  <c r="W32" i="4"/>
  <c r="X32" i="4" s="1"/>
  <c r="AC31" i="4"/>
  <c r="AA31" i="4"/>
  <c r="AB31" i="4" s="1"/>
  <c r="Z31" i="4"/>
  <c r="Y31" i="4"/>
  <c r="W31" i="4"/>
  <c r="X31" i="4" s="1"/>
  <c r="AC30" i="4"/>
  <c r="AA30" i="4"/>
  <c r="AB30" i="4" s="1"/>
  <c r="Z30" i="4"/>
  <c r="Y30" i="4"/>
  <c r="W30" i="4"/>
  <c r="X30" i="4" s="1"/>
  <c r="AC29" i="4"/>
  <c r="AA29" i="4"/>
  <c r="AB29" i="4" s="1"/>
  <c r="Z29" i="4"/>
  <c r="Y29" i="4"/>
  <c r="W29" i="4"/>
  <c r="X29" i="4" s="1"/>
  <c r="AC28" i="4"/>
  <c r="AA28" i="4"/>
  <c r="AB28" i="4" s="1"/>
  <c r="Z28" i="4"/>
  <c r="Y28" i="4"/>
  <c r="W28" i="4"/>
  <c r="X28" i="4" s="1"/>
  <c r="AC27" i="4"/>
  <c r="AA27" i="4"/>
  <c r="AB27" i="4" s="1"/>
  <c r="Z27" i="4"/>
  <c r="Y27" i="4"/>
  <c r="W27" i="4"/>
  <c r="X27" i="4" s="1"/>
  <c r="AC26" i="4"/>
  <c r="AA26" i="4"/>
  <c r="AB26" i="4" s="1"/>
  <c r="Z26" i="4"/>
  <c r="Y26" i="4"/>
  <c r="W26" i="4"/>
  <c r="X26" i="4" s="1"/>
  <c r="AC25" i="4"/>
  <c r="AA25" i="4"/>
  <c r="AB25" i="4" s="1"/>
  <c r="Z25" i="4"/>
  <c r="Y25" i="4"/>
  <c r="W25" i="4"/>
  <c r="X25" i="4" s="1"/>
  <c r="AC24" i="4"/>
  <c r="AA24" i="4"/>
  <c r="AB24" i="4" s="1"/>
  <c r="Z24" i="4"/>
  <c r="Y24" i="4"/>
  <c r="W24" i="4"/>
  <c r="X24" i="4" s="1"/>
  <c r="AC23" i="4"/>
  <c r="AA23" i="4"/>
  <c r="Z23" i="4"/>
  <c r="Y23" i="4"/>
  <c r="W23" i="4"/>
  <c r="AC22" i="4"/>
  <c r="AA22" i="4"/>
  <c r="AB22" i="4" s="1"/>
  <c r="Z22" i="4"/>
  <c r="Y22" i="4"/>
  <c r="W22" i="4"/>
  <c r="X22" i="4" s="1"/>
  <c r="AC21" i="4"/>
  <c r="AA21" i="4"/>
  <c r="AB21" i="4" s="1"/>
  <c r="Z21" i="4"/>
  <c r="Y21" i="4"/>
  <c r="W21" i="4"/>
  <c r="X21" i="4" s="1"/>
  <c r="AC20" i="4"/>
  <c r="AA20" i="4"/>
  <c r="AB20" i="4" s="1"/>
  <c r="Z20" i="4"/>
  <c r="Y20" i="4"/>
  <c r="W20" i="4"/>
  <c r="X20" i="4" s="1"/>
  <c r="AC19" i="4"/>
  <c r="AA19" i="4"/>
  <c r="AB19" i="4" s="1"/>
  <c r="Z19" i="4"/>
  <c r="Y19" i="4"/>
  <c r="W19" i="4"/>
  <c r="X19" i="4" s="1"/>
  <c r="AC18" i="4"/>
  <c r="AA18" i="4"/>
  <c r="AB18" i="4" s="1"/>
  <c r="Z18" i="4"/>
  <c r="Y18" i="4"/>
  <c r="W18" i="4"/>
  <c r="X18" i="4" s="1"/>
  <c r="AC17" i="4"/>
  <c r="AA17" i="4"/>
  <c r="AB17" i="4" s="1"/>
  <c r="Z17" i="4"/>
  <c r="Y17" i="4"/>
  <c r="W17" i="4"/>
  <c r="X17" i="4" s="1"/>
  <c r="AC16" i="4"/>
  <c r="AA16" i="4"/>
  <c r="AB16" i="4" s="1"/>
  <c r="Z16" i="4"/>
  <c r="Y16" i="4"/>
  <c r="W16" i="4"/>
  <c r="X16" i="4" s="1"/>
  <c r="AC15" i="4"/>
  <c r="AA15" i="4"/>
  <c r="AB15" i="4" s="1"/>
  <c r="Z15" i="4"/>
  <c r="Y15" i="4"/>
  <c r="W15" i="4"/>
  <c r="X15" i="4" s="1"/>
  <c r="AC14" i="4"/>
  <c r="AA14" i="4"/>
  <c r="AB14" i="4" s="1"/>
  <c r="Z14" i="4"/>
  <c r="Y14" i="4"/>
  <c r="W14" i="4"/>
  <c r="X14" i="4" s="1"/>
  <c r="AC13" i="4"/>
  <c r="AA13" i="4"/>
  <c r="AB13" i="4" s="1"/>
  <c r="Z13" i="4"/>
  <c r="Y13" i="4"/>
  <c r="W13" i="4"/>
  <c r="X13" i="4" s="1"/>
  <c r="AC12" i="4"/>
  <c r="AA12" i="4"/>
  <c r="AB12" i="4" s="1"/>
  <c r="Z12" i="4"/>
  <c r="Y12" i="4"/>
  <c r="W12" i="4"/>
  <c r="X12" i="4" s="1"/>
  <c r="AC11" i="4"/>
  <c r="AA11" i="4"/>
  <c r="AB11" i="4" s="1"/>
  <c r="Z11" i="4"/>
  <c r="Y11" i="4"/>
  <c r="W11" i="4"/>
  <c r="X11" i="4" s="1"/>
  <c r="AC10" i="4"/>
  <c r="AA10" i="4"/>
  <c r="AB10" i="4" s="1"/>
  <c r="Z10" i="4"/>
  <c r="Y10" i="4"/>
  <c r="W10" i="4"/>
  <c r="X10" i="4" s="1"/>
  <c r="AC9" i="4"/>
  <c r="AA9" i="4"/>
  <c r="AB9" i="4" s="1"/>
  <c r="Z9" i="4"/>
  <c r="Y9" i="4"/>
  <c r="W9" i="4"/>
  <c r="X9" i="4" s="1"/>
  <c r="AC8" i="4"/>
  <c r="AA8" i="4"/>
  <c r="AB8" i="4" s="1"/>
  <c r="Z8" i="4"/>
  <c r="Y8" i="4"/>
  <c r="W8" i="4"/>
  <c r="X8" i="4" s="1"/>
  <c r="AC7" i="4"/>
  <c r="AA7" i="4"/>
  <c r="AB7" i="4" s="1"/>
  <c r="Z7" i="4"/>
  <c r="Y7" i="4"/>
  <c r="W7" i="4"/>
  <c r="X7" i="4" s="1"/>
  <c r="AC6" i="4"/>
  <c r="AA6" i="4"/>
  <c r="AB6" i="4" s="1"/>
  <c r="Z6" i="4"/>
  <c r="Y6" i="4"/>
  <c r="W6" i="4"/>
  <c r="X6" i="4" s="1"/>
  <c r="AC5" i="4"/>
  <c r="AA5" i="4"/>
  <c r="AB5" i="4" s="1"/>
  <c r="Z5" i="4"/>
  <c r="Y5" i="4"/>
  <c r="W5" i="4"/>
  <c r="X5" i="4" s="1"/>
  <c r="AC4" i="4"/>
  <c r="AA4" i="4"/>
  <c r="AB4" i="4" s="1"/>
  <c r="Z4" i="4"/>
  <c r="Y4" i="4"/>
  <c r="W4" i="4"/>
  <c r="X4" i="4" s="1"/>
  <c r="AC3" i="4"/>
  <c r="AA3" i="4"/>
  <c r="AB3" i="4" s="1"/>
  <c r="Z3" i="4"/>
  <c r="Y3" i="4"/>
  <c r="W3" i="4"/>
  <c r="X3" i="4" s="1"/>
  <c r="AC2" i="4"/>
  <c r="AA2" i="4"/>
  <c r="AB2" i="4" s="1"/>
  <c r="Z2" i="4"/>
  <c r="Y2" i="4"/>
  <c r="W2" i="4"/>
  <c r="X2" i="4" s="1"/>
  <c r="X23" i="4" l="1"/>
  <c r="AB23" i="4"/>
  <c r="B86" i="1" l="1" a="1"/>
  <c r="B86" i="1" s="1"/>
  <c r="B87" i="1" a="1"/>
  <c r="B87" i="1" s="1"/>
  <c r="B88" i="1" a="1"/>
  <c r="B88" i="1" s="1"/>
  <c r="B89" i="1" a="1"/>
  <c r="B89" i="1" s="1"/>
  <c r="B90" i="1" a="1"/>
  <c r="B90" i="1" s="1"/>
  <c r="B91" i="1" a="1"/>
  <c r="B91" i="1" s="1"/>
  <c r="B92" i="1" a="1"/>
  <c r="B92" i="1" s="1"/>
  <c r="B93" i="1" a="1"/>
  <c r="B93" i="1" s="1"/>
  <c r="B94" i="1" a="1"/>
  <c r="B94" i="1" s="1"/>
  <c r="B95" i="1" a="1"/>
  <c r="B95" i="1" s="1"/>
  <c r="B96" i="1" a="1"/>
  <c r="B96" i="1" s="1"/>
  <c r="B97" i="1" a="1"/>
  <c r="B97" i="1" s="1"/>
  <c r="B98" i="1" a="1"/>
  <c r="B98" i="1" s="1"/>
  <c r="B99" i="1" a="1"/>
  <c r="B99" i="1" s="1"/>
  <c r="B100" i="1" a="1"/>
  <c r="B100" i="1" s="1"/>
  <c r="B101" i="1" a="1"/>
  <c r="B101" i="1" s="1"/>
  <c r="B102" i="1" a="1"/>
  <c r="B102" i="1" s="1"/>
  <c r="B103" i="1" a="1"/>
  <c r="B103" i="1" s="1"/>
  <c r="B104" i="1" a="1"/>
  <c r="B104" i="1" s="1"/>
  <c r="B105" i="1" a="1"/>
  <c r="B105" i="1" s="1"/>
  <c r="B106" i="1" a="1"/>
  <c r="B106" i="1" s="1"/>
  <c r="B107" i="1" a="1"/>
  <c r="B107" i="1" s="1"/>
  <c r="B108" i="1" a="1"/>
  <c r="B108" i="1" s="1"/>
  <c r="B109" i="1" a="1"/>
  <c r="B109" i="1" s="1"/>
  <c r="B110" i="1" a="1"/>
  <c r="B110" i="1" s="1"/>
  <c r="B111" i="1" a="1"/>
  <c r="B111" i="1" s="1"/>
  <c r="B112" i="1" a="1"/>
  <c r="B112" i="1" s="1"/>
  <c r="B113" i="1" a="1"/>
  <c r="B113" i="1" s="1"/>
  <c r="B114" i="1" a="1"/>
  <c r="B114" i="1" s="1"/>
  <c r="B115" i="1" a="1"/>
  <c r="B115" i="1" s="1"/>
  <c r="B116" i="1" a="1"/>
  <c r="B116" i="1" s="1"/>
  <c r="B117" i="1" a="1"/>
  <c r="B117" i="1" s="1"/>
  <c r="B118" i="1" a="1"/>
  <c r="B118" i="1" s="1"/>
  <c r="B119" i="1" a="1"/>
  <c r="B119" i="1" s="1"/>
  <c r="B120" i="1" a="1"/>
  <c r="B120" i="1" s="1"/>
  <c r="B121" i="1" a="1"/>
  <c r="B121" i="1" s="1"/>
  <c r="B122" i="1" a="1"/>
  <c r="B122" i="1" s="1"/>
  <c r="B123" i="1" a="1"/>
  <c r="B123" i="1" s="1"/>
  <c r="B124" i="1" a="1"/>
  <c r="B124" i="1" s="1"/>
  <c r="B125" i="1" a="1"/>
  <c r="B125" i="1" s="1"/>
  <c r="B126" i="1" a="1"/>
  <c r="B126" i="1" s="1"/>
  <c r="B127" i="1" a="1"/>
  <c r="B127" i="1" s="1"/>
  <c r="B128" i="1" a="1"/>
  <c r="B128" i="1" s="1"/>
  <c r="B129" i="1" a="1"/>
  <c r="B129" i="1" s="1"/>
  <c r="B130" i="1" a="1"/>
  <c r="B130" i="1" s="1"/>
  <c r="B131" i="1" a="1"/>
  <c r="B131" i="1" s="1"/>
  <c r="B132" i="1" a="1"/>
  <c r="B132" i="1" s="1"/>
  <c r="B133" i="1" a="1"/>
  <c r="B133" i="1" s="1"/>
  <c r="B134" i="1" a="1"/>
  <c r="B134" i="1" s="1"/>
  <c r="B135" i="1" a="1"/>
  <c r="B135" i="1" s="1"/>
  <c r="B136" i="1" a="1"/>
  <c r="B136" i="1" s="1"/>
  <c r="B137" i="1" a="1"/>
  <c r="B137" i="1" s="1"/>
  <c r="B138" i="1" a="1"/>
  <c r="B138" i="1" s="1"/>
  <c r="B139" i="1" a="1"/>
  <c r="B139" i="1" s="1"/>
  <c r="B140" i="1" a="1"/>
  <c r="B140" i="1" s="1"/>
  <c r="B141" i="1" a="1"/>
  <c r="B141" i="1" s="1"/>
  <c r="B142" i="1" a="1"/>
  <c r="B142" i="1" s="1"/>
  <c r="B143" i="1" a="1"/>
  <c r="B143" i="1" s="1"/>
  <c r="B144" i="1" a="1"/>
  <c r="B144" i="1" s="1"/>
  <c r="B145" i="1" a="1"/>
  <c r="B145" i="1" s="1"/>
  <c r="B146" i="1" a="1"/>
  <c r="B146" i="1" s="1"/>
  <c r="B147" i="1" a="1"/>
  <c r="B147" i="1" s="1"/>
  <c r="B148" i="1" a="1"/>
  <c r="B148" i="1" s="1"/>
  <c r="B149" i="1" a="1"/>
  <c r="B149" i="1" s="1"/>
  <c r="B150" i="1" a="1"/>
  <c r="B150" i="1" s="1"/>
  <c r="B151" i="1" a="1"/>
  <c r="B151" i="1" s="1"/>
  <c r="B152" i="1" a="1"/>
  <c r="B152" i="1" s="1"/>
  <c r="B153" i="1" a="1"/>
  <c r="B153" i="1" s="1"/>
  <c r="B154" i="1" a="1"/>
  <c r="B154" i="1" s="1"/>
  <c r="B155" i="1" a="1"/>
  <c r="B155" i="1" s="1"/>
  <c r="B156" i="1" a="1"/>
  <c r="B156" i="1" s="1"/>
  <c r="B157" i="1" a="1"/>
  <c r="B157" i="1" s="1"/>
  <c r="B158" i="1" a="1"/>
  <c r="B158" i="1" s="1"/>
  <c r="B159" i="1" a="1"/>
  <c r="B159" i="1" s="1"/>
  <c r="B160" i="1" a="1"/>
  <c r="B160" i="1" s="1"/>
  <c r="B161" i="1" a="1"/>
  <c r="B161" i="1" s="1"/>
  <c r="B162" i="1" a="1"/>
  <c r="B162" i="1" s="1"/>
  <c r="B163" i="1" a="1"/>
  <c r="B163" i="1" s="1"/>
  <c r="B164" i="1" a="1"/>
  <c r="B164" i="1" s="1"/>
  <c r="B165" i="1" a="1"/>
  <c r="B165" i="1" s="1"/>
  <c r="B166" i="1" a="1"/>
  <c r="B166" i="1" s="1"/>
  <c r="B167" i="1" a="1"/>
  <c r="B167" i="1" s="1"/>
  <c r="B168" i="1" a="1"/>
  <c r="B168" i="1" s="1"/>
  <c r="B169" i="1" a="1"/>
  <c r="B169" i="1" s="1"/>
  <c r="B85" i="1" a="1"/>
  <c r="B85" i="1" s="1"/>
  <c r="B84" i="1" a="1"/>
  <c r="B84" i="1" s="1"/>
  <c r="B83" i="1" a="1"/>
  <c r="B83" i="1" s="1"/>
  <c r="B82" i="1" a="1"/>
  <c r="B82" i="1" s="1"/>
  <c r="B81" i="1" a="1"/>
  <c r="B81" i="1" s="1"/>
  <c r="B80" i="1" a="1"/>
  <c r="B80" i="1" s="1"/>
  <c r="B79" i="1" a="1"/>
  <c r="B79" i="1" s="1"/>
  <c r="B78" i="1" a="1"/>
  <c r="B78" i="1" s="1"/>
  <c r="B77" i="1" a="1"/>
  <c r="B77" i="1" s="1"/>
  <c r="B76" i="1" a="1"/>
  <c r="B76" i="1" s="1"/>
  <c r="B75" i="1" a="1"/>
  <c r="B75" i="1" s="1"/>
  <c r="B74" i="1" a="1"/>
  <c r="B74" i="1" s="1"/>
  <c r="B73" i="1" a="1"/>
  <c r="B73" i="1" s="1"/>
  <c r="B72" i="1" a="1"/>
  <c r="B72" i="1" s="1"/>
  <c r="B71" i="1" a="1"/>
  <c r="B71" i="1" s="1"/>
  <c r="B70" i="1" a="1"/>
  <c r="B70" i="1" s="1"/>
  <c r="B69" i="1" a="1"/>
  <c r="B69" i="1" s="1"/>
  <c r="B68" i="1" a="1"/>
  <c r="B68" i="1" s="1"/>
  <c r="B67" i="1" a="1"/>
  <c r="B67" i="1" s="1"/>
  <c r="B66" i="1" a="1"/>
  <c r="B66" i="1" s="1"/>
  <c r="B65" i="1" a="1"/>
  <c r="B65" i="1" s="1"/>
  <c r="B64" i="1" a="1"/>
  <c r="B64" i="1" s="1"/>
  <c r="B63" i="1" a="1"/>
  <c r="B63" i="1" s="1"/>
  <c r="B62" i="1" a="1"/>
  <c r="B62" i="1" s="1"/>
  <c r="B61" i="1" a="1"/>
  <c r="B61" i="1" s="1"/>
  <c r="B60" i="1" a="1"/>
  <c r="B60" i="1" s="1"/>
  <c r="B59" i="1" a="1"/>
  <c r="B59" i="1" s="1"/>
  <c r="B58" i="1" a="1"/>
  <c r="B58" i="1" s="1"/>
  <c r="B57" i="1" a="1"/>
  <c r="B57" i="1" s="1"/>
  <c r="B56" i="1" a="1"/>
  <c r="B56" i="1" s="1"/>
  <c r="B55" i="1" a="1"/>
  <c r="B55" i="1" s="1"/>
  <c r="B54" i="1" a="1"/>
  <c r="B54" i="1" s="1"/>
  <c r="B53" i="1" a="1"/>
  <c r="B53" i="1" s="1"/>
  <c r="B52" i="1" a="1"/>
  <c r="B52" i="1" s="1"/>
  <c r="B51" i="1" a="1"/>
  <c r="B51" i="1" s="1"/>
  <c r="B50" i="1" a="1"/>
  <c r="B50" i="1" s="1"/>
  <c r="B49" i="1" a="1"/>
  <c r="B49" i="1" s="1"/>
  <c r="B48" i="1" a="1"/>
  <c r="B48" i="1" s="1"/>
  <c r="B47" i="1" a="1"/>
  <c r="B47" i="1" s="1"/>
  <c r="B46" i="1" a="1"/>
  <c r="B46" i="1" s="1"/>
  <c r="B45" i="1" a="1"/>
  <c r="B45" i="1" s="1"/>
  <c r="B44" i="1" a="1"/>
  <c r="B44" i="1" s="1"/>
  <c r="B3" i="1" a="1"/>
  <c r="B3" i="1" s="1"/>
  <c r="B4" i="1" a="1"/>
  <c r="B4" i="1" s="1"/>
  <c r="B5" i="1" a="1"/>
  <c r="B5" i="1" s="1"/>
  <c r="B6" i="1" a="1"/>
  <c r="B6" i="1" s="1"/>
  <c r="B7" i="1" a="1"/>
  <c r="B7" i="1" s="1"/>
  <c r="B8" i="1" a="1"/>
  <c r="B8" i="1" s="1"/>
  <c r="B9" i="1" a="1"/>
  <c r="B9" i="1" s="1"/>
  <c r="B10" i="1" a="1"/>
  <c r="B10" i="1" s="1"/>
  <c r="B11" i="1" a="1"/>
  <c r="B11" i="1" s="1"/>
  <c r="B12" i="1" a="1"/>
  <c r="B12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  <c r="B21" i="1" a="1"/>
  <c r="B21" i="1" s="1"/>
  <c r="B22" i="1" a="1"/>
  <c r="B22" i="1" s="1"/>
  <c r="B23" i="1" a="1"/>
  <c r="B23" i="1" s="1"/>
  <c r="B24" i="1" a="1"/>
  <c r="B24" i="1" s="1"/>
  <c r="B25" i="1" a="1"/>
  <c r="B25" i="1" s="1"/>
  <c r="B26" i="1" a="1"/>
  <c r="B26" i="1" s="1"/>
  <c r="B27" i="1" a="1"/>
  <c r="B27" i="1" s="1"/>
  <c r="B28" i="1" a="1"/>
  <c r="B28" i="1" s="1"/>
  <c r="B29" i="1" a="1"/>
  <c r="B29" i="1" s="1"/>
  <c r="B30" i="1" a="1"/>
  <c r="B30" i="1" s="1"/>
  <c r="B31" i="1" a="1"/>
  <c r="B31" i="1" s="1"/>
  <c r="B32" i="1" a="1"/>
  <c r="B32" i="1" s="1"/>
  <c r="B33" i="1" a="1"/>
  <c r="B33" i="1" s="1"/>
  <c r="B34" i="1" a="1"/>
  <c r="B34" i="1" s="1"/>
  <c r="B35" i="1" a="1"/>
  <c r="B35" i="1" s="1"/>
  <c r="B36" i="1" a="1"/>
  <c r="B36" i="1" s="1"/>
  <c r="B37" i="1" a="1"/>
  <c r="B37" i="1" s="1"/>
  <c r="B38" i="1" a="1"/>
  <c r="B38" i="1" s="1"/>
  <c r="B39" i="1" a="1"/>
  <c r="B39" i="1" s="1"/>
  <c r="B40" i="1" a="1"/>
  <c r="B40" i="1" s="1"/>
  <c r="B41" i="1" a="1"/>
  <c r="B41" i="1" s="1"/>
  <c r="B42" i="1" a="1"/>
  <c r="B42" i="1" s="1"/>
  <c r="B43" i="1" a="1"/>
  <c r="B43" i="1" s="1"/>
  <c r="B2" i="1"/>
  <c r="B2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<sst xmlns="http://schemas.openxmlformats.org/spreadsheetml/2006/main" count="1036" uniqueCount="177">
  <si>
    <t>instance</t>
  </si>
  <si>
    <t>Model</t>
  </si>
  <si>
    <t>status</t>
  </si>
  <si>
    <t>ObjVal</t>
  </si>
  <si>
    <t>ObjBound</t>
  </si>
  <si>
    <t>Gap</t>
  </si>
  <si>
    <t>runtime</t>
  </si>
  <si>
    <t>period_vehicle</t>
  </si>
  <si>
    <t>Q</t>
  </si>
  <si>
    <t>error</t>
  </si>
  <si>
    <t>recourse_gamma</t>
  </si>
  <si>
    <t>variable_crowd_factor</t>
  </si>
  <si>
    <t>fixed_own</t>
  </si>
  <si>
    <t>fixed_crowd</t>
  </si>
  <si>
    <t>r_payment</t>
  </si>
  <si>
    <t>binom_dist</t>
  </si>
  <si>
    <t>binom_p</t>
  </si>
  <si>
    <t>fixed_prod_cost</t>
  </si>
  <si>
    <t>variable_prod_cost</t>
  </si>
  <si>
    <t>inv_hold_cost</t>
  </si>
  <si>
    <t>routing_cost</t>
  </si>
  <si>
    <t>recourse_cost</t>
  </si>
  <si>
    <t>unused_routing_cost</t>
  </si>
  <si>
    <t>expected_cost_diff</t>
  </si>
  <si>
    <t>MVPRP_C15_P3_V3_I3</t>
  </si>
  <si>
    <t>model4_HPRP_comb_stoch_var_cost_MIPstart</t>
  </si>
  <si>
    <t>OPTIMAL</t>
  </si>
  <si>
    <t>[(1, 1, 129.0), (2, 1, 132.0), (2, 2, 38.0), (3, 1, 33.0)]</t>
  </si>
  <si>
    <t>True</t>
  </si>
  <si>
    <t>MVPRP_C30_P9_V3_I3</t>
  </si>
  <si>
    <t>TIME_LIMIT</t>
  </si>
  <si>
    <t>[(2, 1, 205.0), (2, 2, 56.0), (3, 1, 202.0), (3, 2, 43.0), (4, 1, 74.0), (5, 1, 228.0), (5, 2, 227.0), (5, 3, 17.0), (6, 1, 228.0), (6, 2, 219.0), (6, 3, 64.0), (7, 1, 228.0), (8, 1, 228.0), (8, 2, 26.0), (9, 1, 212.0)]</t>
  </si>
  <si>
    <t>MVPRP_C15_P9_V3_I1</t>
  </si>
  <si>
    <t>[(2, 1, 114.0), (2, 2, 77.0), (4, 1, 107.0), (5, 1, 128.0), (6, 1, 132.0), (6, 2, 128.0), (7, 1, 132.0), (7, 2, 78.0), (8, 1, 132.0), (8, 2, 127.00001153298969), (9, 1, 131.99997791139248), (9, 2, 77.99998455752224)]</t>
  </si>
  <si>
    <t>MVPRP_C40_P3_V3_I3</t>
  </si>
  <si>
    <t>[(1, 1, 355.0), (2, 1, 207.0), (3, 1, 360.0)]</t>
  </si>
  <si>
    <t>MVPRP_C40_P3_V3_I1</t>
  </si>
  <si>
    <t>[(1, 1, 129.0), (2, 1, 257.0), (3, 1, 354.0), (3, 2, 182.0)]</t>
  </si>
  <si>
    <t>MVPRP_C20_P6_V3_I1</t>
  </si>
  <si>
    <t>[(2, 1, 174.0), (3, 1, 188.0), (5, 1, 188.0), (5, 2, 58.0), (6, 1, 186.0)]</t>
  </si>
  <si>
    <t>MVPRP_C10_P3_V3_I1</t>
  </si>
  <si>
    <t>[(1, 1, 89.0), (3, 1, 124.0)]</t>
  </si>
  <si>
    <t>MVPRP_C45_P3_V3_I3</t>
  </si>
  <si>
    <t>[(1, 1, 360.0), (1, 2, 23.0), (2, 1, 359.0), (3, 1, 360.0)]</t>
  </si>
  <si>
    <t>MVPRP_C20_P3_V3_I1</t>
  </si>
  <si>
    <t>[(1, 1, 137.0), (2, 1, 75.0), (3, 1, 189.0)]</t>
  </si>
  <si>
    <t>MVPRP_C35_P3_V3_I3</t>
  </si>
  <si>
    <t>[(1, 1, 268.0), (2, 1, 250.0), (3, 1, 202.0)]</t>
  </si>
  <si>
    <t>MVPRP_C40_P6_V3_I1</t>
  </si>
  <si>
    <t>[(2, 1, 198.00000424999598), (3, 1, 314.999995750004), (4, 1, 257.0), (5, 1, 349.0), (5, 2, 107.0), (6, 1, 300.0), (6, 2, 313.0)]</t>
  </si>
  <si>
    <t>MVPRP_C10_P3_V3_I3</t>
  </si>
  <si>
    <t>[(1, 1, 130.0), (2, 1, 83.0)]</t>
  </si>
  <si>
    <t>MVPRP_C30_P3_V3_I3</t>
  </si>
  <si>
    <t>[(1, 1, 223.0), (2, 1, 228.0), (3, 1, 105.0)]</t>
  </si>
  <si>
    <t>MVPRP_C20_P3_V3_I3</t>
  </si>
  <si>
    <t>[(1, 1, 185.0), (1, 2, 69.0), (2, 1, 147.0)]</t>
  </si>
  <si>
    <t>MVPRP_C35_P6_V3_I3</t>
  </si>
  <si>
    <t>[(2, 1, 267.0), (3, 1, 276.0), (3, 2, 62.0), (5, 1, 273.0), (5, 2, 276.0), (6, 1, 276.0)]</t>
  </si>
  <si>
    <t>MVPRP_C25_P6_V3_I3</t>
  </si>
  <si>
    <t>[(2, 1, 178.0), (2, 2, 84.0), (3, 1, 142.0), (5, 1, 189.0), (5, 2, 164.0), (6, 1, 189.0)]</t>
  </si>
  <si>
    <t>MVPRP_C15_P6_V3_I3</t>
  </si>
  <si>
    <t>[(2, 1, 112.0), (3, 1, 132.0), (3, 2, 38.0), (5, 1, 132.0), (5, 2, 132.0), (5, 3, 114.0)]</t>
  </si>
  <si>
    <t>MVPRP_C50_P3_V3_I3</t>
  </si>
  <si>
    <t>[(1, 1, 331.0), (2, 1, 296.0), (3, 1, 359.0)]</t>
  </si>
  <si>
    <t>MVPRP_C30_P6_V3_I3</t>
  </si>
  <si>
    <t>[(2, 1, 218.0), (3, 1, 212.0), (5, 1, 228.0), (5, 2, 227.0), (6, 1, 220.0)]</t>
  </si>
  <si>
    <t>MVPRP_C45_P3_V3_I1</t>
  </si>
  <si>
    <t>[(1, 1, 122.0), (2, 1, 353.0), (3, 1, 289.0), (3, 2, 338.0)]</t>
  </si>
  <si>
    <t>MVPRP_C25_P6_V3_I1</t>
  </si>
  <si>
    <t>[(2, 1, 164.0), (3, 1, 141.0), (4, 1, 115.0), (5, 1, 188.0), (6, 1, 168.0), (6, 2, 170.0)]</t>
  </si>
  <si>
    <t>MVPRP_C35_P6_V3_I1</t>
  </si>
  <si>
    <t>[(2, 1, 129.0), (3, 1, 271.0), (4, 1, 197.0), (5, 1, 262.0), (5, 2, 120.0), (6, 1, 231.0), (6, 2, 220.0)]</t>
  </si>
  <si>
    <t>MVPRP_C25_P3_V3_I1</t>
  </si>
  <si>
    <t>[(1, 1, 130.0), (2, 1, 71.0), (3, 1, 141.0), (3, 2, 136.0)]</t>
  </si>
  <si>
    <t>MVPRP_C10_P6_V3_I1</t>
  </si>
  <si>
    <t>[(2, 1, 70.0), (3, 1, 106.0), (5, 1, 121.0), (6, 1, 126.0)]</t>
  </si>
  <si>
    <t>MVPRP_C35_P3_V3_I1</t>
  </si>
  <si>
    <t>[(1, 1, 246.0), (2, 1, 62.0), (3, 1, 220.0), (3, 2, 192.0)]</t>
  </si>
  <si>
    <t>MVPRP_C10_P6_V3_I3</t>
  </si>
  <si>
    <t>[(2, 1, 100.0), (3, 1, 102.0), (5, 1, 125.0), (5, 2, 96.0)]</t>
  </si>
  <si>
    <t>MVPRP_C50_P3_V3_I1</t>
  </si>
  <si>
    <t>[(1, 1, 69.0), (2, 1, 312.0), (3, 1, 355.0), (3, 2, 250.0)]</t>
  </si>
  <si>
    <t>MVPRP_C30_P6_V3_I1</t>
  </si>
  <si>
    <t>[(2, 1, 111.0), (3, 1, 221.0), (4, 1, 97.0), (5, 1, 221.99999999833366), (5, 2, 227.00000073939393), (6, 1, 226.9999992606061)]</t>
  </si>
  <si>
    <t>MVPRP_C25_P9_V3_I1</t>
  </si>
  <si>
    <t>[(2, 1, 180.0), (2, 2, 69.0), (3, 1, 28.0), (4, 1, 143.0), (5, 1, 176.0), (6, 1, 185.0), (6, 2, 170.0), (7, 1, 175.0), (7, 2, 170.0), (8, 1, 185.0), (8, 2, 170.0), (9, 1, 175.0), (9, 2, 170.0)]</t>
  </si>
  <si>
    <t>MVPRP_C25_P3_V3_I3</t>
  </si>
  <si>
    <t>[(1, 1, 171.0), (1, 2, 144.0), (3, 1, 163.0)]</t>
  </si>
  <si>
    <t>MVPRP_C15_P6_V3_I1</t>
  </si>
  <si>
    <t>[(2, 1, 31.0), (3, 1, 122.0), (4, 1, 113.0), (5, 1, 130.0), (5, 2, 132.0), (6, 1, 132.0)]</t>
  </si>
  <si>
    <t>MVPRP_C15_P3_V3_I1</t>
  </si>
  <si>
    <t>[(1, 1, 97.0), (2, 1, 103.0), (3, 1, 132.0)]</t>
  </si>
  <si>
    <t>MVPRP_C20_P6_V3_I3</t>
  </si>
  <si>
    <t>[(2, 1, 176.0), (2, 2, 78.0), (3, 1, 162.0), (5, 1, 189.0), (5, 2, 189.0)]</t>
  </si>
  <si>
    <t>MVPRP_C20_P9_V3_I3</t>
  </si>
  <si>
    <t>[(2, 1, 188.0), (2, 2, 121.0), (4, 1, 189.0), (5, 1, 189.0), (5, 2, 189.0), (6, 1, 189.0), (8, 1, 168.0), (8, 2, 182.0), (8, 3, 189.0)]</t>
  </si>
  <si>
    <t>MVPRP_C40_P6_V3_I3</t>
  </si>
  <si>
    <t>[(2, 1, 360.0), (2, 2, 14.0), (3, 1, 360.0), (4, 1, 36.0), (5, 1, 357.0), (5, 2, 352.0), (6, 1, 360.0)]</t>
  </si>
  <si>
    <t>MVPRP_C20_P9_V3_I1</t>
  </si>
  <si>
    <t>[(2, 1, 184.0), (2, 2, 70.0), (4, 1, 130.0), (5, 1, 140.0), (6, 1, 182.0), (6, 2, 177.0), (7, 1, 181.0), (8, 1, 182.0), (8, 2, 177.0), (9, 1, 181.0)]</t>
  </si>
  <si>
    <t>MVPRP_C15_P9_V3_I3</t>
  </si>
  <si>
    <t>[(2, 1, 132.0), (2, 2, 78.0), (3, 1, 132.0), (5, 1, 132.0), (5, 2, 125.0), (5, 3, 74.0), (6, 1, 132.0), (6, 2, 76.0), (7, 1, 132.0), (7, 2, 132.0), (8, 1, 132.0), (8, 2, 88.0)]</t>
  </si>
  <si>
    <t>MVPRP_C30_P9_V3_I1</t>
  </si>
  <si>
    <t>[(2, 1, 86.0), (3, 1, 179.0), (4, 1, 228.0), (5, 1, 228.0), (6, 1, 219.0), (6, 2, 223.0), (7, 1, 227.0), (7, 2, 99.0), (8, 1, 206.0), (8, 2, 226.0), (9, 1, 228.0), (9, 2, 108.0)]</t>
  </si>
  <si>
    <t>MVPRP_C10_P9_V3_I1</t>
  </si>
  <si>
    <t>[(2, 1, 119.0), (4, 1, 115.0), (5, 1, 37.0), (6, 1, 129.0), (6, 2, 59.0), (7, 1, 116.0), (8, 1, 129.00001526710815), (8, 2, 59.00000046520273), (9, 1, 115.99997549227372)]</t>
  </si>
  <si>
    <t>MVPRP_C30_P3_V3_I1</t>
  </si>
  <si>
    <t>[(1, 1, 172.0), (2, 1, 156.0), (3, 1, 228.0)]</t>
  </si>
  <si>
    <t>MVPRP_C10_P9_V3_I3</t>
  </si>
  <si>
    <t>[(2, 1, 119.0), (3, 1, 132.0), (5, 1, 132.0), (5, 2, 132.0), (7, 1, 132.0), (7, 2, 114.0), (8, 1, 118.0)]</t>
  </si>
  <si>
    <t>MVPRP_C25_P9_V3_I3</t>
  </si>
  <si>
    <t>[(2, 1, 183.0), (2, 2, 144.0), (4, 1, 71.0), (5, 1, 189.0), (5, 2, 138.0), (5, 3, 159.0), (6, 1, 189.0), (6, 2, 186.0), (7, 1, 189.0), (8, 1, 189.0), (8, 2, 170.0), (9, 1, 189.0)]</t>
  </si>
  <si>
    <t>Instance String</t>
  </si>
  <si>
    <t>Customers</t>
  </si>
  <si>
    <t>Periods</t>
  </si>
  <si>
    <t>MED</t>
  </si>
  <si>
    <t>Instance Type</t>
  </si>
  <si>
    <t>model1_determ_var_cost_all_own_vehicle</t>
  </si>
  <si>
    <t>[]</t>
  </si>
  <si>
    <t>False</t>
  </si>
  <si>
    <t>ufcc</t>
  </si>
  <si>
    <t>lsec</t>
  </si>
  <si>
    <t>usec</t>
  </si>
  <si>
    <t>var_cost_type</t>
  </si>
  <si>
    <t>Zeilenbeschriftungen</t>
  </si>
  <si>
    <t>I1</t>
  </si>
  <si>
    <t>I3</t>
  </si>
  <si>
    <t>Gesamtergebnis</t>
  </si>
  <si>
    <t>Spaltenbeschriftungen</t>
  </si>
  <si>
    <t>Mittelwert von ObjVal</t>
  </si>
  <si>
    <t>Mittelwert von ObjBound</t>
  </si>
  <si>
    <t>Mittelwert von Gap</t>
  </si>
  <si>
    <t>Mittelwert von runtime</t>
  </si>
  <si>
    <t>VCDs[%]</t>
  </si>
  <si>
    <t>VCDsMax[%]</t>
  </si>
  <si>
    <t>VCDsMin[%]</t>
  </si>
  <si>
    <t>model1_ScenarioPRP_VSSCalc</t>
  </si>
  <si>
    <t>model1_ScenarioPRP_vss_routeGen</t>
  </si>
  <si>
    <t>VSS</t>
  </si>
  <si>
    <t>VSS[%]</t>
  </si>
  <si>
    <t>VSSmax[%]</t>
  </si>
  <si>
    <t>UB_model1_determ_var_cost_all_own_vehicle</t>
  </si>
  <si>
    <t>LB_model1_determ_var_cost_all_own_vehicle</t>
  </si>
  <si>
    <t>Gap_model1_determ_var_cost_all_own_vehicle</t>
  </si>
  <si>
    <t>CT[s]_model1_determ_var_cost_all_own_vehicle</t>
  </si>
  <si>
    <t>UB_model4_HPRP_comb_stoch_var_cost_MIPstart</t>
  </si>
  <si>
    <t>LB_model4_HPRP_comb_stoch_var_cost_MIPstart</t>
  </si>
  <si>
    <t>Gap_model4_HPRP_comb_stoch_var_cost_MIPstart</t>
  </si>
  <si>
    <t>CT[s]_model4_HPRP_comb_stoch_var_cost_MIPstart</t>
  </si>
  <si>
    <t>UB_model1_ScenarioPRP_VSSCalc</t>
  </si>
  <si>
    <t>LB_model1_ScenarioPRP_VSSCalc</t>
  </si>
  <si>
    <t>Gap_model1_ScenarioPRP_VSSCalc</t>
  </si>
  <si>
    <t>CT[s]_model1_ScenarioPRP_VSSCalc</t>
  </si>
  <si>
    <t>UB_model1_ScenarioPRP_vss_routeGen</t>
  </si>
  <si>
    <t>LB_model1_ScenarioPRP_vss_routeGen</t>
  </si>
  <si>
    <t>Gap_model1_ScenarioPRP_vss_routeGen</t>
  </si>
  <si>
    <t>CT[s]_model1_ScenarioPRP_vss_routeGen</t>
  </si>
  <si>
    <t>VCD</t>
  </si>
  <si>
    <t>P3</t>
  </si>
  <si>
    <t>P6</t>
  </si>
  <si>
    <t>P9</t>
  </si>
  <si>
    <t>Mittelwert von UB_model1_determ_var_cost_all_own_vehicle</t>
  </si>
  <si>
    <t>Mittelwert von LB_model1_determ_var_cost_all_own_vehicle</t>
  </si>
  <si>
    <t>Mittelwert von Gap_model1_determ_var_cost_all_own_vehicle</t>
  </si>
  <si>
    <t>Mittelwert von UB_model1_ScenarioPRP_VSSCalc</t>
  </si>
  <si>
    <t>Mittelwert von Gap_model1_ScenarioPRP_vss_routeGen</t>
  </si>
  <si>
    <t>Mittelwert von UB_model4_HPRP_comb_stoch_var_cost_MIPstart</t>
  </si>
  <si>
    <t>Mittelwert von LB_model4_HPRP_comb_stoch_var_cost_MIPstart</t>
  </si>
  <si>
    <t>Mittelwert von Gap_model4_HPRP_comb_stoch_var_cost_MIPstart</t>
  </si>
  <si>
    <t>Mittelwert von VCD</t>
  </si>
  <si>
    <t>Mittelwert von VCDs[%]</t>
  </si>
  <si>
    <t>Mittelwert von VCDsMin[%]</t>
  </si>
  <si>
    <t>Mittelwert von VCDsMax[%]</t>
  </si>
  <si>
    <t>Mittelwert von VSS</t>
  </si>
  <si>
    <t>Mittelwert von VSS[%]</t>
  </si>
  <si>
    <t>Mittelwert von VSSmax[%]</t>
  </si>
  <si>
    <t>model4_HPRP_comb_stoch_var_cost_MIPstart_HetPRP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</si>
</sst>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" fontId="0" fillId="0" borderId="0" xfId="0" applyNumberFormat="1"/>
    <xf numFmtId="2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[model4_16_threads_MIPstart_med3_2.0_CrowdDrivers_twoFleets_Torres_QEqual.xlsm]Tabelle3!PivotTable2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Tabelle3!$B$1</c:f>
              <c:strCache>
                <c:ptCount val="1"/>
                <c:pt idx="0">
                  <c:v>Mittelwert von UB_model1_determ_var_cost_all_own_vehicle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Tabelle3!$B$2:$B$10</c:f>
              <c:numCache>
                <c:formatCode>General</c:formatCode>
                <c:ptCount val="6"/>
                <c:pt idx="0">
                  <c:v>32359.777777777777</c:v>
                </c:pt>
                <c:pt idx="1">
                  <c:v>59037.857113200771</c:v>
                </c:pt>
                <c:pt idx="2">
                  <c:v>85088.199748724306</c:v>
                </c:pt>
                <c:pt idx="3">
                  <c:v>45719.333333333336</c:v>
                </c:pt>
                <c:pt idx="4">
                  <c:v>79285.571253627175</c:v>
                </c:pt>
                <c:pt idx="5">
                  <c:v>118595.39991085604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38-4AE9-90FC-73AA56B1FE18}"/>
            </c:ext>
          </c:extLst>
        </c:ser>
        <c:ser>
          <c:idx val="1"/>
          <c:order val="1"/>
          <c:tx>
            <c:strRef>
              <c:f>Tabelle3!$C$1</c:f>
              <c:strCache>
                <c:ptCount val="1"/>
                <c:pt idx="0">
                  <c:v>Mittelwert von LB_model1_determ_var_cost_all_own_vehicle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Tabelle3!$C$2:$C$10</c:f>
              <c:numCache>
                <c:formatCode>General</c:formatCode>
                <c:ptCount val="6"/>
                <c:pt idx="0">
                  <c:v>32359.777777777777</c:v>
                </c:pt>
                <c:pt idx="1">
                  <c:v>58986.336931182421</c:v>
                </c:pt>
                <c:pt idx="2">
                  <c:v>84787.813285518016</c:v>
                </c:pt>
                <c:pt idx="3">
                  <c:v>45692.23615730142</c:v>
                </c:pt>
                <c:pt idx="4">
                  <c:v>78337.205578847526</c:v>
                </c:pt>
                <c:pt idx="5">
                  <c:v>116146.86756241406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38-4AE9-90FC-73AA56B1FE18}"/>
            </c:ext>
          </c:extLst>
        </c:ser>
        <c:ser>
          <c:idx val="2"/>
          <c:order val="2"/>
          <c:tx>
            <c:strRef>
              <c:f>Tabelle3!$D$1</c:f>
              <c:strCache>
                <c:ptCount val="1"/>
                <c:pt idx="0">
                  <c:v>Mittelwert von Gap_model1_determ_var_cost_all_own_vehicle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Tabelle3!$D$2:$D$10</c:f>
              <c:numCache>
                <c:formatCode>General</c:formatCode>
                <c:ptCount val="6"/>
                <c:pt idx="0">
                  <c:v>0</c:v>
                </c:pt>
                <c:pt idx="1">
                  <c:v>5.9254860355219968E-4</c:v>
                </c:pt>
                <c:pt idx="2">
                  <c:v>3.354761129418815E-3</c:v>
                </c:pt>
                <c:pt idx="3">
                  <c:v>4.1416544954960645E-4</c:v>
                </c:pt>
                <c:pt idx="4">
                  <c:v>8.1891386217161112E-3</c:v>
                </c:pt>
                <c:pt idx="5">
                  <c:v>1.6855187711236497E-2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38-4AE9-90FC-73AA56B1FE18}"/>
            </c:ext>
          </c:extLst>
        </c:ser>
        <c:ser>
          <c:idx val="3"/>
          <c:order val="3"/>
          <c:tx>
            <c:strRef>
              <c:f>Tabelle3!$E$1</c:f>
              <c:strCache>
                <c:ptCount val="1"/>
                <c:pt idx="0">
                  <c:v>Mittelwert von UB_model1_ScenarioPRP_VSSCalc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Tabelle3!$E$2:$E$10</c:f>
              <c:numCache>
                <c:formatCode>General</c:formatCode>
                <c:ptCount val="6"/>
                <c:pt idx="0">
                  <c:v>30111.387378918422</c:v>
                </c:pt>
                <c:pt idx="1">
                  <c:v>55727.393806437241</c:v>
                </c:pt>
                <c:pt idx="2">
                  <c:v>79412.983008638053</c:v>
                </c:pt>
                <c:pt idx="3">
                  <c:v>37814.639596484769</c:v>
                </c:pt>
                <c:pt idx="4">
                  <c:v>67801.154767240878</c:v>
                </c:pt>
                <c:pt idx="5">
                  <c:v>100547.36934144006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38-4AE9-90FC-73AA56B1FE18}"/>
            </c:ext>
          </c:extLst>
        </c:ser>
        <c:ser>
          <c:idx val="4"/>
          <c:order val="4"/>
          <c:tx>
            <c:strRef>
              <c:f>Tabelle3!$F$1</c:f>
              <c:strCache>
                <c:ptCount val="1"/>
                <c:pt idx="0">
                  <c:v>Mittelwert von Gap_model1_ScenarioPRP_vss_routeGen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Tabelle3!$F$2:$F$10</c:f>
              <c:numCache>
                <c:formatCode>General</c:formatCode>
                <c:ptCount val="6"/>
                <c:pt idx="0">
                  <c:v>1.8597950387882526E-5</c:v>
                </c:pt>
                <c:pt idx="1">
                  <c:v>6.8497574310851211E-4</c:v>
                </c:pt>
                <c:pt idx="2">
                  <c:v>1.3752713267247525E-3</c:v>
                </c:pt>
                <c:pt idx="3">
                  <c:v>1.2381637642274554E-3</c:v>
                </c:pt>
                <c:pt idx="4">
                  <c:v>5.5192489340452353E-3</c:v>
                </c:pt>
                <c:pt idx="5">
                  <c:v>7.5144800807818574E-3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38-4AE9-90FC-73AA56B1FE18}"/>
            </c:ext>
          </c:extLst>
        </c:ser>
        <c:ser>
          <c:idx val="5"/>
          <c:order val="5"/>
          <c:tx>
            <c:strRef>
              <c:f>Tabelle3!$G$1</c:f>
              <c:strCache>
                <c:ptCount val="1"/>
                <c:pt idx="0">
                  <c:v>Mittelwert von UB_model4_HPRP_comb_stoch_var_cost_MIPstart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Tabelle3!$G$2:$G$10</c:f>
              <c:numCache>
                <c:formatCode>General</c:formatCode>
                <c:ptCount val="6"/>
                <c:pt idx="0">
                  <c:v>30110.004165290557</c:v>
                </c:pt>
                <c:pt idx="1">
                  <c:v>55722.403436235552</c:v>
                </c:pt>
                <c:pt idx="2">
                  <c:v>79414.202902289646</c:v>
                </c:pt>
                <c:pt idx="3">
                  <c:v>37811.426150314277</c:v>
                </c:pt>
                <c:pt idx="4">
                  <c:v>67608.623775048662</c:v>
                </c:pt>
                <c:pt idx="5">
                  <c:v>102929.34151632404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38-4AE9-90FC-73AA56B1FE18}"/>
            </c:ext>
          </c:extLst>
        </c:ser>
        <c:ser>
          <c:idx val="6"/>
          <c:order val="6"/>
          <c:tx>
            <c:strRef>
              <c:f>Tabelle3!$H$1</c:f>
              <c:strCache>
                <c:ptCount val="1"/>
                <c:pt idx="0">
                  <c:v>Mittelwert von LB_model4_HPRP_comb_stoch_var_cost_MIPstart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Tabelle3!$H$2:$H$10</c:f>
              <c:numCache>
                <c:formatCode>General</c:formatCode>
                <c:ptCount val="6"/>
                <c:pt idx="0">
                  <c:v>30109.68543036723</c:v>
                </c:pt>
                <c:pt idx="1">
                  <c:v>55705.518339724469</c:v>
                </c:pt>
                <c:pt idx="2">
                  <c:v>79299.187142537965</c:v>
                </c:pt>
                <c:pt idx="3">
                  <c:v>37811.076554371131</c:v>
                </c:pt>
                <c:pt idx="4">
                  <c:v>67082.995485710926</c:v>
                </c:pt>
                <c:pt idx="5">
                  <c:v>97373.554254965173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38-4AE9-90FC-73AA56B1FE18}"/>
            </c:ext>
          </c:extLst>
        </c:ser>
        <c:ser>
          <c:idx val="7"/>
          <c:order val="7"/>
          <c:tx>
            <c:strRef>
              <c:f>Tabelle3!$I$1</c:f>
              <c:strCache>
                <c:ptCount val="1"/>
                <c:pt idx="0">
                  <c:v>Mittelwert von Gap_model4_HPRP_comb_stoch_var_cost_MIPstart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Tabelle3!$I$2:$I$10</c:f>
              <c:numCache>
                <c:formatCode>General</c:formatCode>
                <c:ptCount val="6"/>
                <c:pt idx="0">
                  <c:v>9.4583746248736707E-6</c:v>
                </c:pt>
                <c:pt idx="1">
                  <c:v>1.9503236883533455E-4</c:v>
                </c:pt>
                <c:pt idx="2">
                  <c:v>1.2431960867306988E-3</c:v>
                </c:pt>
                <c:pt idx="3">
                  <c:v>6.3781913102604891E-6</c:v>
                </c:pt>
                <c:pt idx="4">
                  <c:v>5.2887661257802494E-3</c:v>
                </c:pt>
                <c:pt idx="5">
                  <c:v>4.5508569002486683E-2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38-4AE9-90FC-73AA56B1FE18}"/>
            </c:ext>
          </c:extLst>
        </c:ser>
        <c:ser>
          <c:idx val="8"/>
          <c:order val="8"/>
          <c:tx>
            <c:strRef>
              <c:f>Tabelle3!$J$1</c:f>
              <c:strCache>
                <c:ptCount val="1"/>
                <c:pt idx="0">
                  <c:v>Mittelwert von VCD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Tabelle3!$J$2:$J$10</c:f>
              <c:numCache>
                <c:formatCode>0</c:formatCode>
                <c:ptCount val="6"/>
                <c:pt idx="0">
                  <c:v>2249.7736124872226</c:v>
                </c:pt>
                <c:pt idx="1">
                  <c:v>3315.4536769652154</c:v>
                </c:pt>
                <c:pt idx="2">
                  <c:v>5673.9968464346621</c:v>
                </c:pt>
                <c:pt idx="3">
                  <c:v>7907.907183019056</c:v>
                </c:pt>
                <c:pt idx="4">
                  <c:v>11676.947478578513</c:v>
                </c:pt>
                <c:pt idx="5">
                  <c:v>15666.058394532005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38-4AE9-90FC-73AA56B1FE18}"/>
            </c:ext>
          </c:extLst>
        </c:ser>
        <c:ser>
          <c:idx val="9"/>
          <c:order val="9"/>
          <c:tx>
            <c:strRef>
              <c:f>Tabelle3!$K$1</c:f>
              <c:strCache>
                <c:ptCount val="1"/>
                <c:pt idx="0">
                  <c:v>Mittelwert von VCDs[%]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Tabelle3!$K$2:$K$10</c:f>
              <c:numCache>
                <c:formatCode>0.00</c:formatCode>
                <c:ptCount val="6"/>
                <c:pt idx="0">
                  <c:v>7.7335127672783273</c:v>
                </c:pt>
                <c:pt idx="1">
                  <c:v>6.1596506076865385</c:v>
                </c:pt>
                <c:pt idx="2">
                  <c:v>7.306531639384195</c:v>
                </c:pt>
                <c:pt idx="3">
                  <c:v>21.705347739528705</c:v>
                </c:pt>
                <c:pt idx="4">
                  <c:v>17.863382300674612</c:v>
                </c:pt>
                <c:pt idx="5">
                  <c:v>15.895808841236711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38-4AE9-90FC-73AA56B1FE18}"/>
            </c:ext>
          </c:extLst>
        </c:ser>
        <c:ser>
          <c:idx val="10"/>
          <c:order val="10"/>
          <c:tx>
            <c:strRef>
              <c:f>Tabelle3!$L$1</c:f>
              <c:strCache>
                <c:ptCount val="1"/>
                <c:pt idx="0">
                  <c:v>Mittelwert von VCDsMin[%]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Tabelle3!$L$2:$L$10</c:f>
              <c:numCache>
                <c:formatCode>0.00</c:formatCode>
                <c:ptCount val="6"/>
                <c:pt idx="0">
                  <c:v>7.7335127672783273</c:v>
                </c:pt>
                <c:pt idx="1">
                  <c:v>6.0971253000932686</c:v>
                </c:pt>
                <c:pt idx="2">
                  <c:v>6.9452576796575114</c:v>
                </c:pt>
                <c:pt idx="3">
                  <c:v>21.655805494185401</c:v>
                </c:pt>
                <c:pt idx="4">
                  <c:v>16.9141996545175</c:v>
                </c:pt>
                <c:pt idx="5">
                  <c:v>13.997604692262104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38-4AE9-90FC-73AA56B1FE18}"/>
            </c:ext>
          </c:extLst>
        </c:ser>
        <c:ser>
          <c:idx val="11"/>
          <c:order val="11"/>
          <c:tx>
            <c:strRef>
              <c:f>Tabelle3!$M$1</c:f>
              <c:strCache>
                <c:ptCount val="1"/>
                <c:pt idx="0">
                  <c:v>Mittelwert von VCDsMax[%]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Tabelle3!$M$2:$M$10</c:f>
              <c:numCache>
                <c:formatCode>0.00</c:formatCode>
                <c:ptCount val="6"/>
                <c:pt idx="0">
                  <c:v>7.734458604740734</c:v>
                </c:pt>
                <c:pt idx="1">
                  <c:v>6.1791538445700436</c:v>
                </c:pt>
                <c:pt idx="2">
                  <c:v>7.4308512480572064</c:v>
                </c:pt>
                <c:pt idx="3">
                  <c:v>21.705985558659727</c:v>
                </c:pt>
                <c:pt idx="4">
                  <c:v>18.392258913252611</c:v>
                </c:pt>
                <c:pt idx="5">
                  <c:v>20.446665741485457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38-4AE9-90FC-73AA56B1FE18}"/>
            </c:ext>
          </c:extLst>
        </c:ser>
        <c:ser>
          <c:idx val="12"/>
          <c:order val="12"/>
          <c:tx>
            <c:strRef>
              <c:f>Tabelle3!$N$1</c:f>
              <c:strCache>
                <c:ptCount val="1"/>
                <c:pt idx="0">
                  <c:v>Mittelwert von VSS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Tabelle3!$N$2:$N$10</c:f>
              <c:numCache>
                <c:formatCode>0</c:formatCode>
                <c:ptCount val="6"/>
                <c:pt idx="0">
                  <c:v>1.3832136278674119</c:v>
                </c:pt>
                <c:pt idx="1">
                  <c:v>4.9903793013285656</c:v>
                </c:pt>
                <c:pt idx="2">
                  <c:v>5.8969756599981341E-2</c:v>
                </c:pt>
                <c:pt idx="3">
                  <c:v>3.2134461704998909</c:v>
                </c:pt>
                <c:pt idx="4">
                  <c:v>214.07972313358601</c:v>
                </c:pt>
                <c:pt idx="5">
                  <c:v>71.25282443307951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F38-4AE9-90FC-73AA56B1FE18}"/>
            </c:ext>
          </c:extLst>
        </c:ser>
        <c:ser>
          <c:idx val="13"/>
          <c:order val="13"/>
          <c:tx>
            <c:strRef>
              <c:f>Tabelle3!$O$1</c:f>
              <c:strCache>
                <c:ptCount val="1"/>
                <c:pt idx="0">
                  <c:v>Mittelwert von VSS[%]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Tabelle3!$O$2:$O$10</c:f>
              <c:numCache>
                <c:formatCode>0.00</c:formatCode>
                <c:ptCount val="6"/>
                <c:pt idx="0">
                  <c:v>3.1563370154391807E-3</c:v>
                </c:pt>
                <c:pt idx="1">
                  <c:v>8.7797127275672897E-3</c:v>
                </c:pt>
                <c:pt idx="2">
                  <c:v>7.5425302511860956E-5</c:v>
                </c:pt>
                <c:pt idx="3">
                  <c:v>9.8109382051157386E-3</c:v>
                </c:pt>
                <c:pt idx="4">
                  <c:v>0.29941560482722973</c:v>
                </c:pt>
                <c:pt idx="5">
                  <c:v>0.11568152863396348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F38-4AE9-90FC-73AA56B1FE18}"/>
            </c:ext>
          </c:extLst>
        </c:ser>
        <c:ser>
          <c:idx val="14"/>
          <c:order val="14"/>
          <c:tx>
            <c:strRef>
              <c:f>Tabelle3!$P$1</c:f>
              <c:strCache>
                <c:ptCount val="1"/>
                <c:pt idx="0">
                  <c:v>Mittelwert von VSSmax[%]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Tabelle3!$A$2:$A$10</c:f>
              <c:multiLvlStrCache>
                <c:ptCount val="6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</c:lvl>
                <c:lvl>
                  <c:pt idx="0">
                    <c:v>I1</c:v>
                  </c:pt>
                  <c:pt idx="3">
                    <c:v>I3</c:v>
                  </c:pt>
                </c:lvl>
              </c:multiLvlStrCache>
            </c:multiLvlStrRef>
          </c:cat>
          <c:val>
            <c:numRef>
              <c:f>Tabelle3!$P$2:$P$10</c:f>
              <c:numCache>
                <c:formatCode>0.00</c:formatCode>
                <c:ptCount val="6"/>
                <c:pt idx="0">
                  <c:v>4.1021744778461829E-3</c:v>
                </c:pt>
                <c:pt idx="1">
                  <c:v>2.8282936867996971E-2</c:v>
                </c:pt>
                <c:pt idx="2">
                  <c:v>0.12317077138482849</c:v>
                </c:pt>
                <c:pt idx="3">
                  <c:v>1.0448757336105488E-2</c:v>
                </c:pt>
                <c:pt idx="4">
                  <c:v>0.80336240366757339</c:v>
                </c:pt>
                <c:pt idx="5">
                  <c:v>2.8650289131054403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F38-4AE9-90FC-73AA56B1F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6884504"/>
        <c:axId val="836884864"/>
      </c:barChart>
      <c:catAx>
        <c:axId val="83688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6884864"/>
        <c:crosses val="autoZero"/>
        <c:auto val="1"/>
        <c:lblAlgn val="ctr"/>
        <c:lblOffset val="100"/>
        <c:noMultiLvlLbl val="0"/>
      </c:catAx>
      <c:valAx>
        <c:axId val="83688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688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[model4_16_threads_MIPstart_med3_2.0_CrowdDrivers_twoFleets_Torres_QEqual.xlsm]Pivot!PivotTable3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Pivot!$B$1:$B$3</c:f>
              <c:strCache>
                <c:ptCount val="1"/>
                <c:pt idx="0">
                  <c:v>model1_determ_var_cost_all_own_vehicle - Mittelwert von ObjVal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Pivot!$B$4:$B$48</c:f>
              <c:numCache>
                <c:formatCode>General</c:formatCode>
                <c:ptCount val="42"/>
                <c:pt idx="0">
                  <c:v>14236</c:v>
                </c:pt>
                <c:pt idx="1">
                  <c:v>30297</c:v>
                </c:pt>
                <c:pt idx="2">
                  <c:v>52638.999136016602</c:v>
                </c:pt>
                <c:pt idx="3">
                  <c:v>19989</c:v>
                </c:pt>
                <c:pt idx="4">
                  <c:v>42791</c:v>
                </c:pt>
                <c:pt idx="5">
                  <c:v>75988</c:v>
                </c:pt>
                <c:pt idx="6">
                  <c:v>22675</c:v>
                </c:pt>
                <c:pt idx="7">
                  <c:v>48181</c:v>
                </c:pt>
                <c:pt idx="8">
                  <c:v>83684.999949504898</c:v>
                </c:pt>
                <c:pt idx="9">
                  <c:v>26569</c:v>
                </c:pt>
                <c:pt idx="10">
                  <c:v>57677</c:v>
                </c:pt>
                <c:pt idx="11">
                  <c:v>101897.9996581</c:v>
                </c:pt>
                <c:pt idx="12">
                  <c:v>29172</c:v>
                </c:pt>
                <c:pt idx="13">
                  <c:v>61786.999969999997</c:v>
                </c:pt>
                <c:pt idx="14">
                  <c:v>111231</c:v>
                </c:pt>
                <c:pt idx="15">
                  <c:v>35803</c:v>
                </c:pt>
                <c:pt idx="16">
                  <c:v>75538.9998224054</c:v>
                </c:pt>
                <c:pt idx="17">
                  <c:v>44822</c:v>
                </c:pt>
                <c:pt idx="18">
                  <c:v>96993</c:v>
                </c:pt>
                <c:pt idx="19">
                  <c:v>50846</c:v>
                </c:pt>
                <c:pt idx="20">
                  <c:v>47126</c:v>
                </c:pt>
                <c:pt idx="21">
                  <c:v>20750</c:v>
                </c:pt>
                <c:pt idx="22">
                  <c:v>42067.999985979397</c:v>
                </c:pt>
                <c:pt idx="23">
                  <c:v>72847.999958617205</c:v>
                </c:pt>
                <c:pt idx="24">
                  <c:v>30676</c:v>
                </c:pt>
                <c:pt idx="25">
                  <c:v>60686.999585325299</c:v>
                </c:pt>
                <c:pt idx="26">
                  <c:v>109246</c:v>
                </c:pt>
                <c:pt idx="27">
                  <c:v>33151</c:v>
                </c:pt>
                <c:pt idx="28">
                  <c:v>66288.999920291695</c:v>
                </c:pt>
                <c:pt idx="29">
                  <c:v>116181.999595663</c:v>
                </c:pt>
                <c:pt idx="30">
                  <c:v>38054</c:v>
                </c:pt>
                <c:pt idx="31">
                  <c:v>76711.999283793804</c:v>
                </c:pt>
                <c:pt idx="32">
                  <c:v>140566</c:v>
                </c:pt>
                <c:pt idx="33">
                  <c:v>41464</c:v>
                </c:pt>
                <c:pt idx="34">
                  <c:v>82749</c:v>
                </c:pt>
                <c:pt idx="35">
                  <c:v>154135</c:v>
                </c:pt>
                <c:pt idx="36">
                  <c:v>49960</c:v>
                </c:pt>
                <c:pt idx="37">
                  <c:v>99886</c:v>
                </c:pt>
                <c:pt idx="38">
                  <c:v>61830</c:v>
                </c:pt>
                <c:pt idx="39">
                  <c:v>126608</c:v>
                </c:pt>
                <c:pt idx="40">
                  <c:v>70029</c:v>
                </c:pt>
                <c:pt idx="41">
                  <c:v>65560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0E-45F3-8C5F-9D427818C452}"/>
            </c:ext>
          </c:extLst>
        </c:ser>
        <c:ser>
          <c:idx val="1"/>
          <c:order val="1"/>
          <c:tx>
            <c:strRef>
              <c:f>Pivot!$C$1:$C$3</c:f>
              <c:strCache>
                <c:ptCount val="1"/>
                <c:pt idx="0">
                  <c:v>model1_determ_var_cost_all_own_vehicle - Mittelwert von ObjBound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Pivot!$C$4:$C$48</c:f>
              <c:numCache>
                <c:formatCode>General</c:formatCode>
                <c:ptCount val="42"/>
                <c:pt idx="0">
                  <c:v>14236</c:v>
                </c:pt>
                <c:pt idx="1">
                  <c:v>30297</c:v>
                </c:pt>
                <c:pt idx="2">
                  <c:v>52635.5040288241</c:v>
                </c:pt>
                <c:pt idx="3">
                  <c:v>19989</c:v>
                </c:pt>
                <c:pt idx="4">
                  <c:v>42786.818181818198</c:v>
                </c:pt>
                <c:pt idx="5">
                  <c:v>75255.136008802001</c:v>
                </c:pt>
                <c:pt idx="6">
                  <c:v>22675</c:v>
                </c:pt>
                <c:pt idx="7">
                  <c:v>48181</c:v>
                </c:pt>
                <c:pt idx="8">
                  <c:v>83678.781075164996</c:v>
                </c:pt>
                <c:pt idx="9">
                  <c:v>26569</c:v>
                </c:pt>
                <c:pt idx="10">
                  <c:v>57671.304179105799</c:v>
                </c:pt>
                <c:pt idx="11">
                  <c:v>101701.50339873599</c:v>
                </c:pt>
                <c:pt idx="12">
                  <c:v>29172</c:v>
                </c:pt>
                <c:pt idx="13">
                  <c:v>61782.695040581501</c:v>
                </c:pt>
                <c:pt idx="14">
                  <c:v>110668.141916063</c:v>
                </c:pt>
                <c:pt idx="15">
                  <c:v>35803</c:v>
                </c:pt>
                <c:pt idx="16">
                  <c:v>75433.2378964089</c:v>
                </c:pt>
                <c:pt idx="17">
                  <c:v>44822</c:v>
                </c:pt>
                <c:pt idx="18">
                  <c:v>96752.303220362606</c:v>
                </c:pt>
                <c:pt idx="19">
                  <c:v>50846</c:v>
                </c:pt>
                <c:pt idx="20">
                  <c:v>47126</c:v>
                </c:pt>
                <c:pt idx="21">
                  <c:v>20750</c:v>
                </c:pt>
                <c:pt idx="22">
                  <c:v>42067.999985979397</c:v>
                </c:pt>
                <c:pt idx="23">
                  <c:v>72847.999958617205</c:v>
                </c:pt>
                <c:pt idx="24">
                  <c:v>30676</c:v>
                </c:pt>
                <c:pt idx="25">
                  <c:v>60686.999585325299</c:v>
                </c:pt>
                <c:pt idx="26">
                  <c:v>108534.871643727</c:v>
                </c:pt>
                <c:pt idx="27">
                  <c:v>33151</c:v>
                </c:pt>
                <c:pt idx="28">
                  <c:v>66288.999920291695</c:v>
                </c:pt>
                <c:pt idx="29">
                  <c:v>115809.362405917</c:v>
                </c:pt>
                <c:pt idx="30">
                  <c:v>38054</c:v>
                </c:pt>
                <c:pt idx="31">
                  <c:v>76416.527816995702</c:v>
                </c:pt>
                <c:pt idx="32">
                  <c:v>137113.438898578</c:v>
                </c:pt>
                <c:pt idx="33">
                  <c:v>41464</c:v>
                </c:pt>
                <c:pt idx="34">
                  <c:v>82465.450241958504</c:v>
                </c:pt>
                <c:pt idx="35">
                  <c:v>146428.66490523101</c:v>
                </c:pt>
                <c:pt idx="36">
                  <c:v>49958.861801242201</c:v>
                </c:pt>
                <c:pt idx="37">
                  <c:v>98851.925147300106</c:v>
                </c:pt>
                <c:pt idx="38">
                  <c:v>61827.609761093801</c:v>
                </c:pt>
                <c:pt idx="39">
                  <c:v>121582.536354082</c:v>
                </c:pt>
                <c:pt idx="40">
                  <c:v>70029</c:v>
                </c:pt>
                <c:pt idx="41">
                  <c:v>65319.653853376803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0E-45F3-8C5F-9D427818C452}"/>
            </c:ext>
          </c:extLst>
        </c:ser>
        <c:ser>
          <c:idx val="2"/>
          <c:order val="2"/>
          <c:tx>
            <c:strRef>
              <c:f>Pivot!$D$1:$D$3</c:f>
              <c:strCache>
                <c:ptCount val="1"/>
                <c:pt idx="0">
                  <c:v>model1_determ_var_cost_all_own_vehicle - Mittelwert von Gap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Pivot!$D$4:$D$48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6.6397675675101896E-5</c:v>
                </c:pt>
                <c:pt idx="3">
                  <c:v>0</c:v>
                </c:pt>
                <c:pt idx="4">
                  <c:v>9.7726582268017797E-5</c:v>
                </c:pt>
                <c:pt idx="5">
                  <c:v>9.64447006366774E-3</c:v>
                </c:pt>
                <c:pt idx="6">
                  <c:v>0</c:v>
                </c:pt>
                <c:pt idx="7">
                  <c:v>0</c:v>
                </c:pt>
                <c:pt idx="8">
                  <c:v>7.4312891721312597E-5</c:v>
                </c:pt>
                <c:pt idx="9">
                  <c:v>0</c:v>
                </c:pt>
                <c:pt idx="10">
                  <c:v>9.8753764832643705E-5</c:v>
                </c:pt>
                <c:pt idx="11">
                  <c:v>1.9283622840831501E-3</c:v>
                </c:pt>
                <c:pt idx="12">
                  <c:v>0</c:v>
                </c:pt>
                <c:pt idx="13">
                  <c:v>6.96737083947566E-5</c:v>
                </c:pt>
                <c:pt idx="14">
                  <c:v>5.06026273194677E-3</c:v>
                </c:pt>
                <c:pt idx="15">
                  <c:v>0</c:v>
                </c:pt>
                <c:pt idx="16">
                  <c:v>1.40009698625977E-3</c:v>
                </c:pt>
                <c:pt idx="17">
                  <c:v>0</c:v>
                </c:pt>
                <c:pt idx="18">
                  <c:v>2.4815891831102099E-3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6.5094223703681797E-3</c:v>
                </c:pt>
                <c:pt idx="27">
                  <c:v>0</c:v>
                </c:pt>
                <c:pt idx="28">
                  <c:v>0</c:v>
                </c:pt>
                <c:pt idx="29">
                  <c:v>3.2073573448852099E-3</c:v>
                </c:pt>
                <c:pt idx="30">
                  <c:v>0</c:v>
                </c:pt>
                <c:pt idx="31">
                  <c:v>3.8516981639992801E-3</c:v>
                </c:pt>
                <c:pt idx="32">
                  <c:v>2.4561850671019299E-2</c:v>
                </c:pt>
                <c:pt idx="33">
                  <c:v>0</c:v>
                </c:pt>
                <c:pt idx="34">
                  <c:v>3.4266245881103001E-3</c:v>
                </c:pt>
                <c:pt idx="35">
                  <c:v>4.9997308169909799E-2</c:v>
                </c:pt>
                <c:pt idx="36">
                  <c:v>2.2782200915835899E-5</c:v>
                </c:pt>
                <c:pt idx="37">
                  <c:v>1.03525504344943E-2</c:v>
                </c:pt>
                <c:pt idx="38">
                  <c:v>3.8658238819792197E-5</c:v>
                </c:pt>
                <c:pt idx="39">
                  <c:v>3.9693097165408898E-2</c:v>
                </c:pt>
                <c:pt idx="40">
                  <c:v>0</c:v>
                </c:pt>
                <c:pt idx="41">
                  <c:v>3.6660486062108301E-3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0E-45F3-8C5F-9D427818C452}"/>
            </c:ext>
          </c:extLst>
        </c:ser>
        <c:ser>
          <c:idx val="3"/>
          <c:order val="3"/>
          <c:tx>
            <c:strRef>
              <c:f>Pivot!$E$1:$E$3</c:f>
              <c:strCache>
                <c:ptCount val="1"/>
                <c:pt idx="0">
                  <c:v>model1_determ_var_cost_all_own_vehicle - Mittelwert von runtime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Pivot!$E$4:$E$48</c:f>
              <c:numCache>
                <c:formatCode>General</c:formatCode>
                <c:ptCount val="42"/>
                <c:pt idx="0">
                  <c:v>2.5246286392211901</c:v>
                </c:pt>
                <c:pt idx="1">
                  <c:v>6.7486011981964102</c:v>
                </c:pt>
                <c:pt idx="2">
                  <c:v>249.137942075729</c:v>
                </c:pt>
                <c:pt idx="3">
                  <c:v>7.2398519515991202</c:v>
                </c:pt>
                <c:pt idx="4">
                  <c:v>581.02645182609604</c:v>
                </c:pt>
                <c:pt idx="5">
                  <c:v>3601.1645689010602</c:v>
                </c:pt>
                <c:pt idx="6">
                  <c:v>7.94667267799377</c:v>
                </c:pt>
                <c:pt idx="7">
                  <c:v>27.982041597366301</c:v>
                </c:pt>
                <c:pt idx="8">
                  <c:v>1338.0379493236501</c:v>
                </c:pt>
                <c:pt idx="9">
                  <c:v>15.451955080032301</c:v>
                </c:pt>
                <c:pt idx="10">
                  <c:v>189.830693244934</c:v>
                </c:pt>
                <c:pt idx="11">
                  <c:v>3603.4120757579799</c:v>
                </c:pt>
                <c:pt idx="12">
                  <c:v>15.691298961639401</c:v>
                </c:pt>
                <c:pt idx="13">
                  <c:v>1727.2135601043699</c:v>
                </c:pt>
                <c:pt idx="14">
                  <c:v>3601.7885897159599</c:v>
                </c:pt>
                <c:pt idx="15">
                  <c:v>26.064972877502399</c:v>
                </c:pt>
                <c:pt idx="16">
                  <c:v>3601.5368080139201</c:v>
                </c:pt>
                <c:pt idx="17">
                  <c:v>107.950572729111</c:v>
                </c:pt>
                <c:pt idx="18">
                  <c:v>3601.67462682724</c:v>
                </c:pt>
                <c:pt idx="19">
                  <c:v>68.337500810623197</c:v>
                </c:pt>
                <c:pt idx="20">
                  <c:v>169.300560951233</c:v>
                </c:pt>
                <c:pt idx="21">
                  <c:v>1.7461397647857699</c:v>
                </c:pt>
                <c:pt idx="22">
                  <c:v>11.096104145050001</c:v>
                </c:pt>
                <c:pt idx="23">
                  <c:v>22.308111429214499</c:v>
                </c:pt>
                <c:pt idx="24">
                  <c:v>23.045698881149299</c:v>
                </c:pt>
                <c:pt idx="25">
                  <c:v>867.94262433052097</c:v>
                </c:pt>
                <c:pt idx="26">
                  <c:v>3600.0643427372001</c:v>
                </c:pt>
                <c:pt idx="27">
                  <c:v>16.105900287628199</c:v>
                </c:pt>
                <c:pt idx="28">
                  <c:v>2472.0361132621802</c:v>
                </c:pt>
                <c:pt idx="29">
                  <c:v>3600.1263711452498</c:v>
                </c:pt>
                <c:pt idx="30">
                  <c:v>28.681736707687399</c:v>
                </c:pt>
                <c:pt idx="31">
                  <c:v>3600.0264861583701</c:v>
                </c:pt>
                <c:pt idx="32">
                  <c:v>3600.6079318523398</c:v>
                </c:pt>
                <c:pt idx="33">
                  <c:v>12.4477450847626</c:v>
                </c:pt>
                <c:pt idx="34">
                  <c:v>3600.7795357704199</c:v>
                </c:pt>
                <c:pt idx="35">
                  <c:v>3600.0424265861502</c:v>
                </c:pt>
                <c:pt idx="36">
                  <c:v>111.026981592178</c:v>
                </c:pt>
                <c:pt idx="37">
                  <c:v>3601.8449048995999</c:v>
                </c:pt>
                <c:pt idx="38">
                  <c:v>2714.9084372520401</c:v>
                </c:pt>
                <c:pt idx="39">
                  <c:v>3605.21713376045</c:v>
                </c:pt>
                <c:pt idx="40">
                  <c:v>1626.2620828151701</c:v>
                </c:pt>
                <c:pt idx="41">
                  <c:v>3602.6810309886901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0E-45F3-8C5F-9D427818C452}"/>
            </c:ext>
          </c:extLst>
        </c:ser>
        <c:ser>
          <c:idx val="4"/>
          <c:order val="4"/>
          <c:tx>
            <c:strRef>
              <c:f>Pivot!$F$1:$F$3</c:f>
              <c:strCache>
                <c:ptCount val="1"/>
                <c:pt idx="0">
                  <c:v>model4_HPRP_comb_stoch_var_cost_MIPstart - Mittelwert von ObjVal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Pivot!$F$4:$F$48</c:f>
              <c:numCache>
                <c:formatCode>General</c:formatCode>
                <c:ptCount val="42"/>
                <c:pt idx="0">
                  <c:v>13025.581183165399</c:v>
                </c:pt>
                <c:pt idx="1">
                  <c:v>28310.613691574901</c:v>
                </c:pt>
                <c:pt idx="2">
                  <c:v>48769.624497487697</c:v>
                </c:pt>
                <c:pt idx="3">
                  <c:v>18327.171586345099</c:v>
                </c:pt>
                <c:pt idx="4">
                  <c:v>39870.507457640299</c:v>
                </c:pt>
                <c:pt idx="5">
                  <c:v>69995.221982867806</c:v>
                </c:pt>
                <c:pt idx="6">
                  <c:v>20945.2212283318</c:v>
                </c:pt>
                <c:pt idx="7">
                  <c:v>45340.890509310302</c:v>
                </c:pt>
                <c:pt idx="8">
                  <c:v>78181.978681211694</c:v>
                </c:pt>
                <c:pt idx="9">
                  <c:v>24674.5535864923</c:v>
                </c:pt>
                <c:pt idx="10">
                  <c:v>54514.809695994598</c:v>
                </c:pt>
                <c:pt idx="11">
                  <c:v>95664.295049533001</c:v>
                </c:pt>
                <c:pt idx="12">
                  <c:v>27264.275367252099</c:v>
                </c:pt>
                <c:pt idx="13">
                  <c:v>58486.329670089297</c:v>
                </c:pt>
                <c:pt idx="14">
                  <c:v>104459.89430034799</c:v>
                </c:pt>
                <c:pt idx="15">
                  <c:v>33620.6139623454</c:v>
                </c:pt>
                <c:pt idx="16">
                  <c:v>71408.633363145593</c:v>
                </c:pt>
                <c:pt idx="17">
                  <c:v>41714.6655546361</c:v>
                </c:pt>
                <c:pt idx="18">
                  <c:v>92125.039665893899</c:v>
                </c:pt>
                <c:pt idx="19">
                  <c:v>47594.573005964499</c:v>
                </c:pt>
                <c:pt idx="20">
                  <c:v>43823.382013082301</c:v>
                </c:pt>
                <c:pt idx="21">
                  <c:v>16684.5152113289</c:v>
                </c:pt>
                <c:pt idx="22">
                  <c:v>34839.347178387397</c:v>
                </c:pt>
                <c:pt idx="23">
                  <c:v>61593.951320038199</c:v>
                </c:pt>
                <c:pt idx="24">
                  <c:v>24162.859640039998</c:v>
                </c:pt>
                <c:pt idx="25">
                  <c:v>50192.775307358701</c:v>
                </c:pt>
                <c:pt idx="26">
                  <c:v>92408.284140776203</c:v>
                </c:pt>
                <c:pt idx="27">
                  <c:v>27018.506210203599</c:v>
                </c:pt>
                <c:pt idx="28">
                  <c:v>56027.588948340199</c:v>
                </c:pt>
                <c:pt idx="29">
                  <c:v>98936.597148238798</c:v>
                </c:pt>
                <c:pt idx="30">
                  <c:v>31340.3992646923</c:v>
                </c:pt>
                <c:pt idx="31">
                  <c:v>65896.277919437605</c:v>
                </c:pt>
                <c:pt idx="32">
                  <c:v>121927.695490802</c:v>
                </c:pt>
                <c:pt idx="33">
                  <c:v>34123.400853526597</c:v>
                </c:pt>
                <c:pt idx="34">
                  <c:v>70563.605996775499</c:v>
                </c:pt>
                <c:pt idx="35">
                  <c:v>139780.17948176499</c:v>
                </c:pt>
                <c:pt idx="36">
                  <c:v>41528.485566394898</c:v>
                </c:pt>
                <c:pt idx="37">
                  <c:v>86437.593028770207</c:v>
                </c:pt>
                <c:pt idx="38">
                  <c:v>51505.656298582602</c:v>
                </c:pt>
                <c:pt idx="39">
                  <c:v>109303.178046271</c:v>
                </c:pt>
                <c:pt idx="40">
                  <c:v>59127.871321666003</c:v>
                </c:pt>
                <c:pt idx="41">
                  <c:v>54811.140986393599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0E-45F3-8C5F-9D427818C452}"/>
            </c:ext>
          </c:extLst>
        </c:ser>
        <c:ser>
          <c:idx val="5"/>
          <c:order val="5"/>
          <c:tx>
            <c:strRef>
              <c:f>Pivot!$G$1:$G$3</c:f>
              <c:strCache>
                <c:ptCount val="1"/>
                <c:pt idx="0">
                  <c:v>model4_HPRP_comb_stoch_var_cost_MIPstart - Mittelwert von ObjBound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Pivot!$G$4:$G$48</c:f>
              <c:numCache>
                <c:formatCode>General</c:formatCode>
                <c:ptCount val="42"/>
                <c:pt idx="0">
                  <c:v>13025.581183165499</c:v>
                </c:pt>
                <c:pt idx="1">
                  <c:v>28310.613691574901</c:v>
                </c:pt>
                <c:pt idx="2">
                  <c:v>48769.624497487697</c:v>
                </c:pt>
                <c:pt idx="3">
                  <c:v>18327.171586345099</c:v>
                </c:pt>
                <c:pt idx="4">
                  <c:v>39866.7900447266</c:v>
                </c:pt>
                <c:pt idx="5">
                  <c:v>69846.211570691303</c:v>
                </c:pt>
                <c:pt idx="6">
                  <c:v>20945.2212283318</c:v>
                </c:pt>
                <c:pt idx="7">
                  <c:v>45340.890509310302</c:v>
                </c:pt>
                <c:pt idx="8">
                  <c:v>78181.978681211694</c:v>
                </c:pt>
                <c:pt idx="9">
                  <c:v>24674.5535864923</c:v>
                </c:pt>
                <c:pt idx="10">
                  <c:v>54514.809695994598</c:v>
                </c:pt>
                <c:pt idx="11">
                  <c:v>95654.819448160095</c:v>
                </c:pt>
                <c:pt idx="12">
                  <c:v>27264.275367252099</c:v>
                </c:pt>
                <c:pt idx="13">
                  <c:v>58482.0909604966</c:v>
                </c:pt>
                <c:pt idx="14">
                  <c:v>104043.301515139</c:v>
                </c:pt>
                <c:pt idx="15">
                  <c:v>33617.773898749001</c:v>
                </c:pt>
                <c:pt idx="16">
                  <c:v>71407.7168238554</c:v>
                </c:pt>
                <c:pt idx="17">
                  <c:v>41714.6655546361</c:v>
                </c:pt>
                <c:pt idx="18">
                  <c:v>92015.716652112897</c:v>
                </c:pt>
                <c:pt idx="19">
                  <c:v>47594.573005964499</c:v>
                </c:pt>
                <c:pt idx="20">
                  <c:v>43823.353462368701</c:v>
                </c:pt>
                <c:pt idx="21">
                  <c:v>16684.5152113289</c:v>
                </c:pt>
                <c:pt idx="22">
                  <c:v>34839.347178387397</c:v>
                </c:pt>
                <c:pt idx="23">
                  <c:v>61593.951320038199</c:v>
                </c:pt>
                <c:pt idx="24">
                  <c:v>24162.859640039998</c:v>
                </c:pt>
                <c:pt idx="25">
                  <c:v>50192.775307358701</c:v>
                </c:pt>
                <c:pt idx="26">
                  <c:v>87666.412706197094</c:v>
                </c:pt>
                <c:pt idx="27">
                  <c:v>27018.506210203599</c:v>
                </c:pt>
                <c:pt idx="28">
                  <c:v>56027.588948340199</c:v>
                </c:pt>
                <c:pt idx="29">
                  <c:v>97086.117010916496</c:v>
                </c:pt>
                <c:pt idx="30">
                  <c:v>31340.3992646923</c:v>
                </c:pt>
                <c:pt idx="31">
                  <c:v>65892.071746189104</c:v>
                </c:pt>
                <c:pt idx="32">
                  <c:v>116243.58755247301</c:v>
                </c:pt>
                <c:pt idx="33">
                  <c:v>34123.400853526597</c:v>
                </c:pt>
                <c:pt idx="34">
                  <c:v>70563.605996775499</c:v>
                </c:pt>
                <c:pt idx="35">
                  <c:v>124277.702685201</c:v>
                </c:pt>
                <c:pt idx="36">
                  <c:v>41528.485566394898</c:v>
                </c:pt>
                <c:pt idx="37">
                  <c:v>85060.1312629186</c:v>
                </c:pt>
                <c:pt idx="38">
                  <c:v>51505.656298582602</c:v>
                </c:pt>
                <c:pt idx="39">
                  <c:v>107005.447960007</c:v>
                </c:pt>
                <c:pt idx="40">
                  <c:v>59127.871321666003</c:v>
                </c:pt>
                <c:pt idx="41">
                  <c:v>54807.994622905302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0E-45F3-8C5F-9D427818C452}"/>
            </c:ext>
          </c:extLst>
        </c:ser>
        <c:ser>
          <c:idx val="6"/>
          <c:order val="6"/>
          <c:tx>
            <c:strRef>
              <c:f>Pivot!$H$1:$H$3</c:f>
              <c:strCache>
                <c:ptCount val="1"/>
                <c:pt idx="0">
                  <c:v>model4_HPRP_comb_stoch_var_cost_MIPstart - Mittelwert von Gap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Pivot!$H$4:$H$48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9.3237160768489804E-5</c:v>
                </c:pt>
                <c:pt idx="5">
                  <c:v>2.1288654847463899E-3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9.9050553479134305E-5</c:v>
                </c:pt>
                <c:pt idx="12">
                  <c:v>0</c:v>
                </c:pt>
                <c:pt idx="13">
                  <c:v>7.2473509907007699E-5</c:v>
                </c:pt>
                <c:pt idx="14">
                  <c:v>3.9880643954279702E-3</c:v>
                </c:pt>
                <c:pt idx="15">
                  <c:v>8.4473876639703296E-5</c:v>
                </c:pt>
                <c:pt idx="16">
                  <c:v>1.28351327699142E-5</c:v>
                </c:pt>
                <c:pt idx="17">
                  <c:v>0</c:v>
                </c:pt>
                <c:pt idx="18">
                  <c:v>1.18668077840193E-3</c:v>
                </c:pt>
                <c:pt idx="19">
                  <c:v>0</c:v>
                </c:pt>
                <c:pt idx="20">
                  <c:v>6.5149498415973902E-7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5.1314354320823201E-2</c:v>
                </c:pt>
                <c:pt idx="27">
                  <c:v>0</c:v>
                </c:pt>
                <c:pt idx="28">
                  <c:v>0</c:v>
                </c:pt>
                <c:pt idx="29">
                  <c:v>1.8703697020725499E-2</c:v>
                </c:pt>
                <c:pt idx="30">
                  <c:v>0</c:v>
                </c:pt>
                <c:pt idx="31">
                  <c:v>6.3830209858651497E-5</c:v>
                </c:pt>
                <c:pt idx="32">
                  <c:v>4.6618677696220703E-2</c:v>
                </c:pt>
                <c:pt idx="33">
                  <c:v>0</c:v>
                </c:pt>
                <c:pt idx="34">
                  <c:v>0</c:v>
                </c:pt>
                <c:pt idx="35">
                  <c:v>0.110906115974664</c:v>
                </c:pt>
                <c:pt idx="36">
                  <c:v>0</c:v>
                </c:pt>
                <c:pt idx="37">
                  <c:v>1.5935910725708699E-2</c:v>
                </c:pt>
                <c:pt idx="38">
                  <c:v>0</c:v>
                </c:pt>
                <c:pt idx="39">
                  <c:v>2.10216219448944E-2</c:v>
                </c:pt>
                <c:pt idx="40">
                  <c:v>0</c:v>
                </c:pt>
                <c:pt idx="41">
                  <c:v>5.7403721792344399E-5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0E-45F3-8C5F-9D427818C452}"/>
            </c:ext>
          </c:extLst>
        </c:ser>
        <c:ser>
          <c:idx val="7"/>
          <c:order val="7"/>
          <c:tx>
            <c:strRef>
              <c:f>Pivot!$I$1:$I$3</c:f>
              <c:strCache>
                <c:ptCount val="1"/>
                <c:pt idx="0">
                  <c:v>model4_HPRP_comb_stoch_var_cost_MIPstart - Mittelwert von runtime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Pivot!$I$4:$I$48</c:f>
              <c:numCache>
                <c:formatCode>General</c:formatCode>
                <c:ptCount val="42"/>
                <c:pt idx="0">
                  <c:v>0.64924144744873102</c:v>
                </c:pt>
                <c:pt idx="1">
                  <c:v>3.781005859375</c:v>
                </c:pt>
                <c:pt idx="2">
                  <c:v>14.7140622138977</c:v>
                </c:pt>
                <c:pt idx="3">
                  <c:v>5.0224914550781303</c:v>
                </c:pt>
                <c:pt idx="4">
                  <c:v>57.2211880683899</c:v>
                </c:pt>
                <c:pt idx="5">
                  <c:v>3600.08675694466</c:v>
                </c:pt>
                <c:pt idx="6">
                  <c:v>6.7645709514617902</c:v>
                </c:pt>
                <c:pt idx="7">
                  <c:v>24.0150790214539</c:v>
                </c:pt>
                <c:pt idx="8">
                  <c:v>168.85927939415001</c:v>
                </c:pt>
                <c:pt idx="9">
                  <c:v>27.5521998405457</c:v>
                </c:pt>
                <c:pt idx="10">
                  <c:v>142.25196409225501</c:v>
                </c:pt>
                <c:pt idx="11">
                  <c:v>1795.2350549697901</c:v>
                </c:pt>
                <c:pt idx="12">
                  <c:v>178.18308544158899</c:v>
                </c:pt>
                <c:pt idx="13">
                  <c:v>628.48309421539295</c:v>
                </c:pt>
                <c:pt idx="14">
                  <c:v>3600.0950207710298</c:v>
                </c:pt>
                <c:pt idx="15">
                  <c:v>190.56372189521801</c:v>
                </c:pt>
                <c:pt idx="16">
                  <c:v>787.87908077240002</c:v>
                </c:pt>
                <c:pt idx="17">
                  <c:v>74.477678298950195</c:v>
                </c:pt>
                <c:pt idx="18">
                  <c:v>3600.18600106239</c:v>
                </c:pt>
                <c:pt idx="19">
                  <c:v>697.24698352813698</c:v>
                </c:pt>
                <c:pt idx="20">
                  <c:v>498.25829482078598</c:v>
                </c:pt>
                <c:pt idx="21">
                  <c:v>1.80661296844482</c:v>
                </c:pt>
                <c:pt idx="22">
                  <c:v>4.9504723548889196</c:v>
                </c:pt>
                <c:pt idx="23">
                  <c:v>118.246260643005</c:v>
                </c:pt>
                <c:pt idx="24">
                  <c:v>11.833907365799</c:v>
                </c:pt>
                <c:pt idx="25">
                  <c:v>149.10526490211501</c:v>
                </c:pt>
                <c:pt idx="26">
                  <c:v>3600.0904128551501</c:v>
                </c:pt>
                <c:pt idx="27">
                  <c:v>19.694522619247401</c:v>
                </c:pt>
                <c:pt idx="28">
                  <c:v>306.39131999015802</c:v>
                </c:pt>
                <c:pt idx="29">
                  <c:v>3600.0946800708798</c:v>
                </c:pt>
                <c:pt idx="30">
                  <c:v>27.796728372573899</c:v>
                </c:pt>
                <c:pt idx="31">
                  <c:v>582.43223428726196</c:v>
                </c:pt>
                <c:pt idx="32">
                  <c:v>3600.0403726100899</c:v>
                </c:pt>
                <c:pt idx="33">
                  <c:v>161.43400597572301</c:v>
                </c:pt>
                <c:pt idx="34">
                  <c:v>1732.4877917766601</c:v>
                </c:pt>
                <c:pt idx="35">
                  <c:v>3600.1860005855601</c:v>
                </c:pt>
                <c:pt idx="36">
                  <c:v>270.73729801178001</c:v>
                </c:pt>
                <c:pt idx="37">
                  <c:v>3600.08347153664</c:v>
                </c:pt>
                <c:pt idx="38">
                  <c:v>396.12451291084301</c:v>
                </c:pt>
                <c:pt idx="39">
                  <c:v>3600.1291399002098</c:v>
                </c:pt>
                <c:pt idx="40">
                  <c:v>2380.1390798091902</c:v>
                </c:pt>
                <c:pt idx="41">
                  <c:v>1380.2202379703499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0E-45F3-8C5F-9D427818C452}"/>
            </c:ext>
          </c:extLst>
        </c:ser>
        <c:ser>
          <c:idx val="8"/>
          <c:order val="8"/>
          <c:tx>
            <c:strRef>
              <c:f>Pivot!$J$1:$J$3</c:f>
              <c:strCache>
                <c:ptCount val="1"/>
                <c:pt idx="0">
                  <c:v>model1_ScenarioPRP_VSSCalc - Mittelwert von ObjVal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Pivot!$J$4:$J$48</c:f>
              <c:numCache>
                <c:formatCode>General</c:formatCode>
                <c:ptCount val="42"/>
                <c:pt idx="0">
                  <c:v>13025.581183165499</c:v>
                </c:pt>
                <c:pt idx="1">
                  <c:v>28310.613691574999</c:v>
                </c:pt>
                <c:pt idx="2">
                  <c:v>48769.624534886003</c:v>
                </c:pt>
                <c:pt idx="3">
                  <c:v>18327.171586345099</c:v>
                </c:pt>
                <c:pt idx="4">
                  <c:v>39887.0536174511</c:v>
                </c:pt>
                <c:pt idx="5">
                  <c:v>69995.222006055599</c:v>
                </c:pt>
                <c:pt idx="6">
                  <c:v>20945.2212283318</c:v>
                </c:pt>
                <c:pt idx="7">
                  <c:v>45340.890509310397</c:v>
                </c:pt>
                <c:pt idx="8">
                  <c:v>78182.2733102817</c:v>
                </c:pt>
                <c:pt idx="9">
                  <c:v>24674.5535864923</c:v>
                </c:pt>
                <c:pt idx="10">
                  <c:v>54514.809709988898</c:v>
                </c:pt>
                <c:pt idx="11">
                  <c:v>95664.295208659896</c:v>
                </c:pt>
                <c:pt idx="12">
                  <c:v>27264.275367252099</c:v>
                </c:pt>
                <c:pt idx="13">
                  <c:v>58486.329727964498</c:v>
                </c:pt>
                <c:pt idx="14">
                  <c:v>104453.499983307</c:v>
                </c:pt>
                <c:pt idx="15">
                  <c:v>33620.613962345502</c:v>
                </c:pt>
                <c:pt idx="16">
                  <c:v>71408.633299448004</c:v>
                </c:pt>
                <c:pt idx="17">
                  <c:v>41714.6655546361</c:v>
                </c:pt>
                <c:pt idx="18">
                  <c:v>92143.426089322704</c:v>
                </c:pt>
                <c:pt idx="19">
                  <c:v>47594.573005964601</c:v>
                </c:pt>
                <c:pt idx="20">
                  <c:v>43835.830935732803</c:v>
                </c:pt>
                <c:pt idx="21">
                  <c:v>16684.5152113289</c:v>
                </c:pt>
                <c:pt idx="22">
                  <c:v>34839.347178387499</c:v>
                </c:pt>
                <c:pt idx="23">
                  <c:v>61950.215442203596</c:v>
                </c:pt>
                <c:pt idx="24">
                  <c:v>24162.859640039998</c:v>
                </c:pt>
                <c:pt idx="25">
                  <c:v>50192.775307358599</c:v>
                </c:pt>
                <c:pt idx="26">
                  <c:v>92208.491951856602</c:v>
                </c:pt>
                <c:pt idx="27">
                  <c:v>27023.1053811036</c:v>
                </c:pt>
                <c:pt idx="28">
                  <c:v>56413.241189307802</c:v>
                </c:pt>
                <c:pt idx="29">
                  <c:v>98774.423249967105</c:v>
                </c:pt>
                <c:pt idx="30">
                  <c:v>31340.399264692202</c:v>
                </c:pt>
                <c:pt idx="31">
                  <c:v>66330.031882249197</c:v>
                </c:pt>
                <c:pt idx="32">
                  <c:v>120867.237712195</c:v>
                </c:pt>
                <c:pt idx="33">
                  <c:v>34147.722698161</c:v>
                </c:pt>
                <c:pt idx="34">
                  <c:v>70818.445352732306</c:v>
                </c:pt>
                <c:pt idx="35">
                  <c:v>128936.478350978</c:v>
                </c:pt>
                <c:pt idx="36">
                  <c:v>41528.485566394898</c:v>
                </c:pt>
                <c:pt idx="37">
                  <c:v>86286.751912180698</c:v>
                </c:pt>
                <c:pt idx="38">
                  <c:v>51505.656298582602</c:v>
                </c:pt>
                <c:pt idx="39">
                  <c:v>109727.49054847</c:v>
                </c:pt>
                <c:pt idx="40">
                  <c:v>59127.871321666098</c:v>
                </c:pt>
                <c:pt idx="41">
                  <c:v>54811.140986393599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C3-4026-A59F-ED782360E773}"/>
            </c:ext>
          </c:extLst>
        </c:ser>
        <c:ser>
          <c:idx val="9"/>
          <c:order val="9"/>
          <c:tx>
            <c:strRef>
              <c:f>Pivot!$K$1:$K$3</c:f>
              <c:strCache>
                <c:ptCount val="1"/>
                <c:pt idx="0">
                  <c:v>model1_ScenarioPRP_VSSCalc - Mittelwert von ObjBound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Pivot!$K$4:$K$48</c:f>
              <c:numCache>
                <c:formatCode>General</c:formatCode>
                <c:ptCount val="42"/>
                <c:pt idx="0">
                  <c:v>13025.581183165499</c:v>
                </c:pt>
                <c:pt idx="1">
                  <c:v>28310.613691574999</c:v>
                </c:pt>
                <c:pt idx="2">
                  <c:v>48769.624534886003</c:v>
                </c:pt>
                <c:pt idx="3">
                  <c:v>18327.171586345099</c:v>
                </c:pt>
                <c:pt idx="4">
                  <c:v>39884.0536174511</c:v>
                </c:pt>
                <c:pt idx="5">
                  <c:v>69995.222006055599</c:v>
                </c:pt>
                <c:pt idx="6">
                  <c:v>20945.2212283318</c:v>
                </c:pt>
                <c:pt idx="7">
                  <c:v>45340.890509310397</c:v>
                </c:pt>
                <c:pt idx="8">
                  <c:v>78174.802840074204</c:v>
                </c:pt>
                <c:pt idx="9">
                  <c:v>24674.5535864923</c:v>
                </c:pt>
                <c:pt idx="10">
                  <c:v>54511.181844027698</c:v>
                </c:pt>
                <c:pt idx="11">
                  <c:v>95661.420657705006</c:v>
                </c:pt>
                <c:pt idx="12">
                  <c:v>27262.610460611999</c:v>
                </c:pt>
                <c:pt idx="13">
                  <c:v>58480.620915703999</c:v>
                </c:pt>
                <c:pt idx="14">
                  <c:v>104445.427468687</c:v>
                </c:pt>
                <c:pt idx="15">
                  <c:v>33618.431182678403</c:v>
                </c:pt>
                <c:pt idx="16">
                  <c:v>71408.633299448004</c:v>
                </c:pt>
                <c:pt idx="17">
                  <c:v>41714.665554229701</c:v>
                </c:pt>
                <c:pt idx="18">
                  <c:v>92143.426089322704</c:v>
                </c:pt>
                <c:pt idx="19">
                  <c:v>47594.573005258302</c:v>
                </c:pt>
                <c:pt idx="20">
                  <c:v>43835.830934717596</c:v>
                </c:pt>
                <c:pt idx="21">
                  <c:v>16684.5152113289</c:v>
                </c:pt>
                <c:pt idx="22">
                  <c:v>34839.347178387397</c:v>
                </c:pt>
                <c:pt idx="23">
                  <c:v>61950.215442203502</c:v>
                </c:pt>
                <c:pt idx="24">
                  <c:v>24162.859640039998</c:v>
                </c:pt>
                <c:pt idx="25">
                  <c:v>50192.775307358497</c:v>
                </c:pt>
                <c:pt idx="26">
                  <c:v>92208.491951856398</c:v>
                </c:pt>
                <c:pt idx="27">
                  <c:v>27023.1053811036</c:v>
                </c:pt>
                <c:pt idx="28">
                  <c:v>56412.840231726303</c:v>
                </c:pt>
                <c:pt idx="29">
                  <c:v>98766.892732051696</c:v>
                </c:pt>
                <c:pt idx="30">
                  <c:v>31340.399264692202</c:v>
                </c:pt>
                <c:pt idx="31">
                  <c:v>66330.031882249095</c:v>
                </c:pt>
                <c:pt idx="32">
                  <c:v>120867.23771219399</c:v>
                </c:pt>
                <c:pt idx="33">
                  <c:v>34147.722698161</c:v>
                </c:pt>
                <c:pt idx="34">
                  <c:v>70818.445352732306</c:v>
                </c:pt>
                <c:pt idx="35">
                  <c:v>128936.478350978</c:v>
                </c:pt>
                <c:pt idx="36">
                  <c:v>41528.485566394898</c:v>
                </c:pt>
                <c:pt idx="37">
                  <c:v>86286.751912180698</c:v>
                </c:pt>
                <c:pt idx="38">
                  <c:v>51505.656298582602</c:v>
                </c:pt>
                <c:pt idx="39">
                  <c:v>109719.49054847</c:v>
                </c:pt>
                <c:pt idx="40">
                  <c:v>59127.871321666003</c:v>
                </c:pt>
                <c:pt idx="41">
                  <c:v>54811.1409863874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C3-4026-A59F-ED782360E773}"/>
            </c:ext>
          </c:extLst>
        </c:ser>
        <c:ser>
          <c:idx val="10"/>
          <c:order val="10"/>
          <c:tx>
            <c:strRef>
              <c:f>Pivot!$L$1:$L$3</c:f>
              <c:strCache>
                <c:ptCount val="1"/>
                <c:pt idx="0">
                  <c:v>model1_ScenarioPRP_VSSCalc - Mittelwert von Gap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Pivot!$L$4:$L$48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7.5212374139731902E-5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9.5551969662771105E-5</c:v>
                </c:pt>
                <c:pt idx="9">
                  <c:v>0</c:v>
                </c:pt>
                <c:pt idx="10">
                  <c:v>6.6548264233276603E-5</c:v>
                </c:pt>
                <c:pt idx="11">
                  <c:v>3.00483158173635E-5</c:v>
                </c:pt>
                <c:pt idx="12">
                  <c:v>6.1065501197963E-5</c:v>
                </c:pt>
                <c:pt idx="13">
                  <c:v>9.7609343706385706E-5</c:v>
                </c:pt>
                <c:pt idx="14">
                  <c:v>7.7283332977704503E-5</c:v>
                </c:pt>
                <c:pt idx="15">
                  <c:v>6.4923849087718404E-5</c:v>
                </c:pt>
                <c:pt idx="16">
                  <c:v>0</c:v>
                </c:pt>
                <c:pt idx="17">
                  <c:v>9.7426926250467206E-12</c:v>
                </c:pt>
                <c:pt idx="18">
                  <c:v>0</c:v>
                </c:pt>
                <c:pt idx="19">
                  <c:v>1.48394483026515E-11</c:v>
                </c:pt>
                <c:pt idx="20">
                  <c:v>2.31592984158959E-11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2.0515995215228101E-15</c:v>
                </c:pt>
                <c:pt idx="27">
                  <c:v>0</c:v>
                </c:pt>
                <c:pt idx="28">
                  <c:v>7.1075083270183598E-6</c:v>
                </c:pt>
                <c:pt idx="29">
                  <c:v>7.6239553393944899E-5</c:v>
                </c:pt>
                <c:pt idx="30">
                  <c:v>0</c:v>
                </c:pt>
                <c:pt idx="31">
                  <c:v>0</c:v>
                </c:pt>
                <c:pt idx="32">
                  <c:v>9.6316689311738502E-16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7.2907891723771997E-5</c:v>
                </c:pt>
                <c:pt idx="40">
                  <c:v>0</c:v>
                </c:pt>
                <c:pt idx="41">
                  <c:v>1.12170337514252E-13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C3-4026-A59F-ED782360E773}"/>
            </c:ext>
          </c:extLst>
        </c:ser>
        <c:ser>
          <c:idx val="11"/>
          <c:order val="11"/>
          <c:tx>
            <c:strRef>
              <c:f>Pivot!$M$1:$M$3</c:f>
              <c:strCache>
                <c:ptCount val="1"/>
                <c:pt idx="0">
                  <c:v>model1_ScenarioPRP_VSSCalc - Mittelwert von runtime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Pivot!$M$4:$M$48</c:f>
              <c:numCache>
                <c:formatCode>General</c:formatCode>
                <c:ptCount val="42"/>
                <c:pt idx="0">
                  <c:v>3.8723945617675802E-2</c:v>
                </c:pt>
                <c:pt idx="1">
                  <c:v>0.11749911308288601</c:v>
                </c:pt>
                <c:pt idx="2">
                  <c:v>0.15393519401550301</c:v>
                </c:pt>
                <c:pt idx="3">
                  <c:v>5.6643009185791002E-2</c:v>
                </c:pt>
                <c:pt idx="4">
                  <c:v>0.15292310714721699</c:v>
                </c:pt>
                <c:pt idx="5">
                  <c:v>0.48168206214904802</c:v>
                </c:pt>
                <c:pt idx="6">
                  <c:v>8.70928764343262E-2</c:v>
                </c:pt>
                <c:pt idx="7">
                  <c:v>0.403185844421387</c:v>
                </c:pt>
                <c:pt idx="8">
                  <c:v>0.51927495002746604</c:v>
                </c:pt>
                <c:pt idx="9">
                  <c:v>0.151582956314087</c:v>
                </c:pt>
                <c:pt idx="10">
                  <c:v>0.48333787918090798</c:v>
                </c:pt>
                <c:pt idx="11">
                  <c:v>0.86931490898132302</c:v>
                </c:pt>
                <c:pt idx="12">
                  <c:v>0.28699588775634799</c:v>
                </c:pt>
                <c:pt idx="13">
                  <c:v>0.91987586021423295</c:v>
                </c:pt>
                <c:pt idx="14">
                  <c:v>2.0960528850555402</c:v>
                </c:pt>
                <c:pt idx="15">
                  <c:v>0.50154209136962902</c:v>
                </c:pt>
                <c:pt idx="16">
                  <c:v>1.1596198081970199</c:v>
                </c:pt>
                <c:pt idx="17">
                  <c:v>0.58624386787414595</c:v>
                </c:pt>
                <c:pt idx="18">
                  <c:v>2.09613013267517</c:v>
                </c:pt>
                <c:pt idx="19">
                  <c:v>0.88113212585449197</c:v>
                </c:pt>
                <c:pt idx="20">
                  <c:v>0.926927089691162</c:v>
                </c:pt>
                <c:pt idx="21">
                  <c:v>3.6213874816894497E-2</c:v>
                </c:pt>
                <c:pt idx="22">
                  <c:v>8.5337162017822293E-2</c:v>
                </c:pt>
                <c:pt idx="23">
                  <c:v>0.11837506294250499</c:v>
                </c:pt>
                <c:pt idx="24">
                  <c:v>6.2053918838500997E-2</c:v>
                </c:pt>
                <c:pt idx="25">
                  <c:v>0.19164109230041501</c:v>
                </c:pt>
                <c:pt idx="26">
                  <c:v>0.23122382164001501</c:v>
                </c:pt>
                <c:pt idx="27">
                  <c:v>8.9956998825073201E-2</c:v>
                </c:pt>
                <c:pt idx="28">
                  <c:v>0.22145891189575201</c:v>
                </c:pt>
                <c:pt idx="29">
                  <c:v>0.44352793693542503</c:v>
                </c:pt>
                <c:pt idx="30">
                  <c:v>0.13144707679748499</c:v>
                </c:pt>
                <c:pt idx="31">
                  <c:v>0.448040962219238</c:v>
                </c:pt>
                <c:pt idx="32">
                  <c:v>0.71753907203674305</c:v>
                </c:pt>
                <c:pt idx="33">
                  <c:v>0.184254169464111</c:v>
                </c:pt>
                <c:pt idx="34">
                  <c:v>1.34233498573303</c:v>
                </c:pt>
                <c:pt idx="35">
                  <c:v>1.9319880008697501</c:v>
                </c:pt>
                <c:pt idx="36">
                  <c:v>0.251204013824463</c:v>
                </c:pt>
                <c:pt idx="37">
                  <c:v>1.0528998374939</c:v>
                </c:pt>
                <c:pt idx="38">
                  <c:v>0.463942050933838</c:v>
                </c:pt>
                <c:pt idx="39">
                  <c:v>1.4621059894561801</c:v>
                </c:pt>
                <c:pt idx="40">
                  <c:v>1.0181260108947801</c:v>
                </c:pt>
                <c:pt idx="41">
                  <c:v>0.75376915931701705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C3-4026-A59F-ED782360E773}"/>
            </c:ext>
          </c:extLst>
        </c:ser>
        <c:ser>
          <c:idx val="12"/>
          <c:order val="12"/>
          <c:tx>
            <c:strRef>
              <c:f>Pivot!$N$1:$N$3</c:f>
              <c:strCache>
                <c:ptCount val="1"/>
                <c:pt idx="0">
                  <c:v>model1_ScenarioPRP_vss_routeGen - Mittelwert von ObjVal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Pivot!$N$4:$N$48</c:f>
              <c:numCache>
                <c:formatCode>General</c:formatCode>
                <c:ptCount val="42"/>
                <c:pt idx="0">
                  <c:v>13002.5</c:v>
                </c:pt>
                <c:pt idx="1">
                  <c:v>28272</c:v>
                </c:pt>
                <c:pt idx="2">
                  <c:v>48654.5</c:v>
                </c:pt>
                <c:pt idx="3">
                  <c:v>18296</c:v>
                </c:pt>
                <c:pt idx="4">
                  <c:v>39771.5</c:v>
                </c:pt>
                <c:pt idx="5">
                  <c:v>69719.499487781795</c:v>
                </c:pt>
                <c:pt idx="6">
                  <c:v>20910</c:v>
                </c:pt>
                <c:pt idx="7">
                  <c:v>45263.5</c:v>
                </c:pt>
                <c:pt idx="8">
                  <c:v>77944.999831541107</c:v>
                </c:pt>
                <c:pt idx="9">
                  <c:v>24584.5</c:v>
                </c:pt>
                <c:pt idx="10">
                  <c:v>54401</c:v>
                </c:pt>
                <c:pt idx="11">
                  <c:v>95318.5</c:v>
                </c:pt>
                <c:pt idx="12">
                  <c:v>27227.5</c:v>
                </c:pt>
                <c:pt idx="13">
                  <c:v>58370.999852040499</c:v>
                </c:pt>
                <c:pt idx="14">
                  <c:v>104120</c:v>
                </c:pt>
                <c:pt idx="15">
                  <c:v>33517.5</c:v>
                </c:pt>
                <c:pt idx="16">
                  <c:v>71232</c:v>
                </c:pt>
                <c:pt idx="17">
                  <c:v>41609</c:v>
                </c:pt>
                <c:pt idx="18">
                  <c:v>91913.499942254304</c:v>
                </c:pt>
                <c:pt idx="19">
                  <c:v>47460</c:v>
                </c:pt>
                <c:pt idx="20">
                  <c:v>43699.5</c:v>
                </c:pt>
                <c:pt idx="21">
                  <c:v>16611</c:v>
                </c:pt>
                <c:pt idx="22">
                  <c:v>34625.5</c:v>
                </c:pt>
                <c:pt idx="23">
                  <c:v>61035.5</c:v>
                </c:pt>
                <c:pt idx="24">
                  <c:v>24004</c:v>
                </c:pt>
                <c:pt idx="25">
                  <c:v>49264.5</c:v>
                </c:pt>
                <c:pt idx="26">
                  <c:v>89063.999121602406</c:v>
                </c:pt>
                <c:pt idx="27">
                  <c:v>26786.5</c:v>
                </c:pt>
                <c:pt idx="28">
                  <c:v>55322.499816250303</c:v>
                </c:pt>
                <c:pt idx="29">
                  <c:v>96525.499358178204</c:v>
                </c:pt>
                <c:pt idx="30">
                  <c:v>31011.5</c:v>
                </c:pt>
                <c:pt idx="31">
                  <c:v>65227.495956007602</c:v>
                </c:pt>
                <c:pt idx="32">
                  <c:v>116251.499881542</c:v>
                </c:pt>
                <c:pt idx="33">
                  <c:v>33853</c:v>
                </c:pt>
                <c:pt idx="34">
                  <c:v>69819.4998441918</c:v>
                </c:pt>
                <c:pt idx="35">
                  <c:v>126143.50052799701</c:v>
                </c:pt>
                <c:pt idx="36">
                  <c:v>41361.5</c:v>
                </c:pt>
                <c:pt idx="37">
                  <c:v>85085.999620258503</c:v>
                </c:pt>
                <c:pt idx="38">
                  <c:v>51308.999965019801</c:v>
                </c:pt>
                <c:pt idx="39">
                  <c:v>108069.999896496</c:v>
                </c:pt>
                <c:pt idx="40">
                  <c:v>58896.5</c:v>
                </c:pt>
                <c:pt idx="41">
                  <c:v>54604.999542910897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C3-4026-A59F-ED782360E773}"/>
            </c:ext>
          </c:extLst>
        </c:ser>
        <c:ser>
          <c:idx val="13"/>
          <c:order val="13"/>
          <c:tx>
            <c:strRef>
              <c:f>Pivot!$O$1:$O$3</c:f>
              <c:strCache>
                <c:ptCount val="1"/>
                <c:pt idx="0">
                  <c:v>model1_ScenarioPRP_vss_routeGen - Mittelwert von ObjBound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Pivot!$O$4:$O$48</c:f>
              <c:numCache>
                <c:formatCode>General</c:formatCode>
                <c:ptCount val="42"/>
                <c:pt idx="0">
                  <c:v>13002.5</c:v>
                </c:pt>
                <c:pt idx="1">
                  <c:v>28270.6093319262</c:v>
                </c:pt>
                <c:pt idx="2">
                  <c:v>48654.5</c:v>
                </c:pt>
                <c:pt idx="3">
                  <c:v>18296</c:v>
                </c:pt>
                <c:pt idx="4">
                  <c:v>39771.5</c:v>
                </c:pt>
                <c:pt idx="5">
                  <c:v>69557.494086119696</c:v>
                </c:pt>
                <c:pt idx="6">
                  <c:v>20910</c:v>
                </c:pt>
                <c:pt idx="7">
                  <c:v>45263.5</c:v>
                </c:pt>
                <c:pt idx="8">
                  <c:v>77943.090053310094</c:v>
                </c:pt>
                <c:pt idx="9">
                  <c:v>24584.5</c:v>
                </c:pt>
                <c:pt idx="10">
                  <c:v>54401</c:v>
                </c:pt>
                <c:pt idx="11">
                  <c:v>95309.500866150003</c:v>
                </c:pt>
                <c:pt idx="12">
                  <c:v>27227.5</c:v>
                </c:pt>
                <c:pt idx="13">
                  <c:v>58337.748184958597</c:v>
                </c:pt>
                <c:pt idx="14">
                  <c:v>103658.355906187</c:v>
                </c:pt>
                <c:pt idx="15">
                  <c:v>33517.5</c:v>
                </c:pt>
                <c:pt idx="16">
                  <c:v>71100.599730043003</c:v>
                </c:pt>
                <c:pt idx="17">
                  <c:v>41605.111582441001</c:v>
                </c:pt>
                <c:pt idx="18">
                  <c:v>91699.221977955298</c:v>
                </c:pt>
                <c:pt idx="19">
                  <c:v>47456.491272926498</c:v>
                </c:pt>
                <c:pt idx="20">
                  <c:v>43699.5</c:v>
                </c:pt>
                <c:pt idx="21">
                  <c:v>16611</c:v>
                </c:pt>
                <c:pt idx="22">
                  <c:v>34625.5</c:v>
                </c:pt>
                <c:pt idx="23">
                  <c:v>61033.606355002797</c:v>
                </c:pt>
                <c:pt idx="24">
                  <c:v>24004</c:v>
                </c:pt>
                <c:pt idx="25">
                  <c:v>49260.743995347599</c:v>
                </c:pt>
                <c:pt idx="26">
                  <c:v>88001.963644798205</c:v>
                </c:pt>
                <c:pt idx="27">
                  <c:v>26786.5</c:v>
                </c:pt>
                <c:pt idx="28">
                  <c:v>54992.145958273097</c:v>
                </c:pt>
                <c:pt idx="29">
                  <c:v>96159.489974376498</c:v>
                </c:pt>
                <c:pt idx="30">
                  <c:v>31011.5</c:v>
                </c:pt>
                <c:pt idx="31">
                  <c:v>64960.846244726403</c:v>
                </c:pt>
                <c:pt idx="32">
                  <c:v>115245.010231066</c:v>
                </c:pt>
                <c:pt idx="33">
                  <c:v>33853</c:v>
                </c:pt>
                <c:pt idx="34">
                  <c:v>69466.623639525802</c:v>
                </c:pt>
                <c:pt idx="35">
                  <c:v>124482.53603504501</c:v>
                </c:pt>
                <c:pt idx="36">
                  <c:v>41361.5</c:v>
                </c:pt>
                <c:pt idx="37">
                  <c:v>84172.390987884894</c:v>
                </c:pt>
                <c:pt idx="38">
                  <c:v>51308.999965019801</c:v>
                </c:pt>
                <c:pt idx="39">
                  <c:v>106696.701272203</c:v>
                </c:pt>
                <c:pt idx="40">
                  <c:v>58643.676779328598</c:v>
                </c:pt>
                <c:pt idx="41">
                  <c:v>54230.911383608298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C3-4026-A59F-ED782360E773}"/>
            </c:ext>
          </c:extLst>
        </c:ser>
        <c:ser>
          <c:idx val="14"/>
          <c:order val="14"/>
          <c:tx>
            <c:strRef>
              <c:f>Pivot!$P$1:$P$3</c:f>
              <c:strCache>
                <c:ptCount val="1"/>
                <c:pt idx="0">
                  <c:v>model1_ScenarioPRP_vss_routeGen - Mittelwert von Gap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Pivot!$P$4:$P$48</c:f>
              <c:numCache>
                <c:formatCode>General</c:formatCode>
                <c:ptCount val="42"/>
                <c:pt idx="0">
                  <c:v>0</c:v>
                </c:pt>
                <c:pt idx="1">
                  <c:v>4.9188882066678302E-5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2.3236741923323202E-3</c:v>
                </c:pt>
                <c:pt idx="6">
                  <c:v>0</c:v>
                </c:pt>
                <c:pt idx="7">
                  <c:v>0</c:v>
                </c:pt>
                <c:pt idx="8">
                  <c:v>2.45016131255053E-5</c:v>
                </c:pt>
                <c:pt idx="9">
                  <c:v>0</c:v>
                </c:pt>
                <c:pt idx="10">
                  <c:v>0</c:v>
                </c:pt>
                <c:pt idx="11">
                  <c:v>9.4411198770556399E-5</c:v>
                </c:pt>
                <c:pt idx="12">
                  <c:v>0</c:v>
                </c:pt>
                <c:pt idx="13">
                  <c:v>5.6966074191187595E-4</c:v>
                </c:pt>
                <c:pt idx="14">
                  <c:v>4.4337696293953802E-3</c:v>
                </c:pt>
                <c:pt idx="15">
                  <c:v>0</c:v>
                </c:pt>
                <c:pt idx="16">
                  <c:v>1.84468033969259E-3</c:v>
                </c:pt>
                <c:pt idx="17">
                  <c:v>9.3451358095235603E-5</c:v>
                </c:pt>
                <c:pt idx="18">
                  <c:v>2.3313002380884401E-3</c:v>
                </c:pt>
                <c:pt idx="19">
                  <c:v>7.3930195395707107E-5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3.1025304900483003E-5</c:v>
                </c:pt>
                <c:pt idx="24">
                  <c:v>0</c:v>
                </c:pt>
                <c:pt idx="25">
                  <c:v>7.6241607088590503E-5</c:v>
                </c:pt>
                <c:pt idx="26">
                  <c:v>1.19244081478321E-2</c:v>
                </c:pt>
                <c:pt idx="27">
                  <c:v>0</c:v>
                </c:pt>
                <c:pt idx="28">
                  <c:v>5.9714195684285399E-3</c:v>
                </c:pt>
                <c:pt idx="29">
                  <c:v>3.7918413915008901E-3</c:v>
                </c:pt>
                <c:pt idx="30">
                  <c:v>0</c:v>
                </c:pt>
                <c:pt idx="31">
                  <c:v>4.0879955204947797E-3</c:v>
                </c:pt>
                <c:pt idx="32">
                  <c:v>8.65786378241621E-3</c:v>
                </c:pt>
                <c:pt idx="33">
                  <c:v>0</c:v>
                </c:pt>
                <c:pt idx="34">
                  <c:v>5.0541210615012398E-3</c:v>
                </c:pt>
                <c:pt idx="35">
                  <c:v>1.31672617772596E-2</c:v>
                </c:pt>
                <c:pt idx="36">
                  <c:v>0</c:v>
                </c:pt>
                <c:pt idx="37">
                  <c:v>1.0737473103108E-2</c:v>
                </c:pt>
                <c:pt idx="38">
                  <c:v>0</c:v>
                </c:pt>
                <c:pt idx="39">
                  <c:v>1.27074916776955E-2</c:v>
                </c:pt>
                <c:pt idx="40">
                  <c:v>4.2926696946576099E-3</c:v>
                </c:pt>
                <c:pt idx="41">
                  <c:v>6.8508041833894896E-3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C3-4026-A59F-ED782360E773}"/>
            </c:ext>
          </c:extLst>
        </c:ser>
        <c:ser>
          <c:idx val="15"/>
          <c:order val="15"/>
          <c:tx>
            <c:strRef>
              <c:f>Pivot!$Q$1:$Q$3</c:f>
              <c:strCache>
                <c:ptCount val="1"/>
                <c:pt idx="0">
                  <c:v>model1_ScenarioPRP_vss_routeGen - Mittelwert von runtime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Pivot!$A$4:$A$48</c:f>
              <c:multiLvlStrCache>
                <c:ptCount val="42"/>
                <c:lvl>
                  <c:pt idx="0">
                    <c:v>MVPRP_C10_P3_V3_I1</c:v>
                  </c:pt>
                  <c:pt idx="1">
                    <c:v>MVPRP_C10_P6_V3_I1</c:v>
                  </c:pt>
                  <c:pt idx="2">
                    <c:v>MVPRP_C10_P9_V3_I1</c:v>
                  </c:pt>
                  <c:pt idx="3">
                    <c:v>MVPRP_C15_P3_V3_I1</c:v>
                  </c:pt>
                  <c:pt idx="4">
                    <c:v>MVPRP_C15_P6_V3_I1</c:v>
                  </c:pt>
                  <c:pt idx="5">
                    <c:v>MVPRP_C15_P9_V3_I1</c:v>
                  </c:pt>
                  <c:pt idx="6">
                    <c:v>MVPRP_C20_P3_V3_I1</c:v>
                  </c:pt>
                  <c:pt idx="7">
                    <c:v>MVPRP_C20_P6_V3_I1</c:v>
                  </c:pt>
                  <c:pt idx="8">
                    <c:v>MVPRP_C20_P9_V3_I1</c:v>
                  </c:pt>
                  <c:pt idx="9">
                    <c:v>MVPRP_C25_P3_V3_I1</c:v>
                  </c:pt>
                  <c:pt idx="10">
                    <c:v>MVPRP_C25_P6_V3_I1</c:v>
                  </c:pt>
                  <c:pt idx="11">
                    <c:v>MVPRP_C25_P9_V3_I1</c:v>
                  </c:pt>
                  <c:pt idx="12">
                    <c:v>MVPRP_C30_P3_V3_I1</c:v>
                  </c:pt>
                  <c:pt idx="13">
                    <c:v>MVPRP_C30_P6_V3_I1</c:v>
                  </c:pt>
                  <c:pt idx="14">
                    <c:v>MVPRP_C30_P9_V3_I1</c:v>
                  </c:pt>
                  <c:pt idx="15">
                    <c:v>MVPRP_C35_P3_V3_I1</c:v>
                  </c:pt>
                  <c:pt idx="16">
                    <c:v>MVPRP_C35_P6_V3_I1</c:v>
                  </c:pt>
                  <c:pt idx="17">
                    <c:v>MVPRP_C40_P3_V3_I1</c:v>
                  </c:pt>
                  <c:pt idx="18">
                    <c:v>MVPRP_C40_P6_V3_I1</c:v>
                  </c:pt>
                  <c:pt idx="19">
                    <c:v>MVPRP_C45_P3_V3_I1</c:v>
                  </c:pt>
                  <c:pt idx="20">
                    <c:v>MVPRP_C50_P3_V3_I1</c:v>
                  </c:pt>
                  <c:pt idx="21">
                    <c:v>MVPRP_C10_P3_V3_I3</c:v>
                  </c:pt>
                  <c:pt idx="22">
                    <c:v>MVPRP_C10_P6_V3_I3</c:v>
                  </c:pt>
                  <c:pt idx="23">
                    <c:v>MVPRP_C10_P9_V3_I3</c:v>
                  </c:pt>
                  <c:pt idx="24">
                    <c:v>MVPRP_C15_P3_V3_I3</c:v>
                  </c:pt>
                  <c:pt idx="25">
                    <c:v>MVPRP_C15_P6_V3_I3</c:v>
                  </c:pt>
                  <c:pt idx="26">
                    <c:v>MVPRP_C15_P9_V3_I3</c:v>
                  </c:pt>
                  <c:pt idx="27">
                    <c:v>MVPRP_C20_P3_V3_I3</c:v>
                  </c:pt>
                  <c:pt idx="28">
                    <c:v>MVPRP_C20_P6_V3_I3</c:v>
                  </c:pt>
                  <c:pt idx="29">
                    <c:v>MVPRP_C20_P9_V3_I3</c:v>
                  </c:pt>
                  <c:pt idx="30">
                    <c:v>MVPRP_C25_P3_V3_I3</c:v>
                  </c:pt>
                  <c:pt idx="31">
                    <c:v>MVPRP_C25_P6_V3_I3</c:v>
                  </c:pt>
                  <c:pt idx="32">
                    <c:v>MVPRP_C25_P9_V3_I3</c:v>
                  </c:pt>
                  <c:pt idx="33">
                    <c:v>MVPRP_C30_P3_V3_I3</c:v>
                  </c:pt>
                  <c:pt idx="34">
                    <c:v>MVPRP_C30_P6_V3_I3</c:v>
                  </c:pt>
                  <c:pt idx="35">
                    <c:v>MVPRP_C30_P9_V3_I3</c:v>
                  </c:pt>
                  <c:pt idx="36">
                    <c:v>MVPRP_C35_P3_V3_I3</c:v>
                  </c:pt>
                  <c:pt idx="37">
                    <c:v>MVPRP_C35_P6_V3_I3</c:v>
                  </c:pt>
                  <c:pt idx="38">
                    <c:v>MVPRP_C40_P3_V3_I3</c:v>
                  </c:pt>
                  <c:pt idx="39">
                    <c:v>MVPRP_C40_P6_V3_I3</c:v>
                  </c:pt>
                  <c:pt idx="40">
                    <c:v>MVPRP_C45_P3_V3_I3</c:v>
                  </c:pt>
                  <c:pt idx="41">
                    <c:v>MVPRP_C50_P3_V3_I3</c:v>
                  </c:pt>
                </c:lvl>
                <c:lvl>
                  <c:pt idx="0">
                    <c:v>I1</c:v>
                  </c:pt>
                  <c:pt idx="21">
                    <c:v>I3</c:v>
                  </c:pt>
                </c:lvl>
              </c:multiLvlStrCache>
            </c:multiLvlStrRef>
          </c:cat>
          <c:val>
            <c:numRef>
              <c:f>Pivot!$Q$4:$Q$48</c:f>
              <c:numCache>
                <c:formatCode>General</c:formatCode>
                <c:ptCount val="42"/>
                <c:pt idx="0">
                  <c:v>0.41492295265197798</c:v>
                </c:pt>
                <c:pt idx="1">
                  <c:v>3.55665111541748</c:v>
                </c:pt>
                <c:pt idx="2">
                  <c:v>39.388911008834803</c:v>
                </c:pt>
                <c:pt idx="3">
                  <c:v>19.071405172348001</c:v>
                </c:pt>
                <c:pt idx="4">
                  <c:v>1815.4872729778299</c:v>
                </c:pt>
                <c:pt idx="5">
                  <c:v>3600.0968580245999</c:v>
                </c:pt>
                <c:pt idx="6">
                  <c:v>3.2538580894470202</c:v>
                </c:pt>
                <c:pt idx="7">
                  <c:v>31.1466820240021</c:v>
                </c:pt>
                <c:pt idx="8">
                  <c:v>192.42560005188</c:v>
                </c:pt>
                <c:pt idx="9">
                  <c:v>32.363929033279398</c:v>
                </c:pt>
                <c:pt idx="10">
                  <c:v>175.58229088783301</c:v>
                </c:pt>
                <c:pt idx="11">
                  <c:v>1717.50952887535</c:v>
                </c:pt>
                <c:pt idx="12">
                  <c:v>293.42446899414102</c:v>
                </c:pt>
                <c:pt idx="13">
                  <c:v>3600.0510439872701</c:v>
                </c:pt>
                <c:pt idx="14">
                  <c:v>3600.1525189876602</c:v>
                </c:pt>
                <c:pt idx="15">
                  <c:v>134.83490800857501</c:v>
                </c:pt>
                <c:pt idx="16">
                  <c:v>3600.1047670841199</c:v>
                </c:pt>
                <c:pt idx="17">
                  <c:v>387.69830894470198</c:v>
                </c:pt>
                <c:pt idx="18">
                  <c:v>3600.1507289409601</c:v>
                </c:pt>
                <c:pt idx="19">
                  <c:v>921.40168499946606</c:v>
                </c:pt>
                <c:pt idx="20">
                  <c:v>1575.5385169982901</c:v>
                </c:pt>
                <c:pt idx="21">
                  <c:v>1.19254899024963</c:v>
                </c:pt>
                <c:pt idx="22">
                  <c:v>1.75228595733643</c:v>
                </c:pt>
                <c:pt idx="23">
                  <c:v>234.87872982025101</c:v>
                </c:pt>
                <c:pt idx="24">
                  <c:v>19.826627016067501</c:v>
                </c:pt>
                <c:pt idx="25">
                  <c:v>57.6475670337677</c:v>
                </c:pt>
                <c:pt idx="26">
                  <c:v>3600.0441670417799</c:v>
                </c:pt>
                <c:pt idx="27">
                  <c:v>18.750438928604101</c:v>
                </c:pt>
                <c:pt idx="28">
                  <c:v>3600.04701304436</c:v>
                </c:pt>
                <c:pt idx="29">
                  <c:v>3600.0966207981101</c:v>
                </c:pt>
                <c:pt idx="30">
                  <c:v>49.085165977477999</c:v>
                </c:pt>
                <c:pt idx="31">
                  <c:v>3600.07558894157</c:v>
                </c:pt>
                <c:pt idx="32">
                  <c:v>3600.0542008876801</c:v>
                </c:pt>
                <c:pt idx="33">
                  <c:v>102.931480884552</c:v>
                </c:pt>
                <c:pt idx="34">
                  <c:v>3600.04102897644</c:v>
                </c:pt>
                <c:pt idx="35">
                  <c:v>3600.10951900482</c:v>
                </c:pt>
                <c:pt idx="36">
                  <c:v>621.01512908935604</c:v>
                </c:pt>
                <c:pt idx="37">
                  <c:v>3600.0619230270399</c:v>
                </c:pt>
                <c:pt idx="38">
                  <c:v>313.60271191597002</c:v>
                </c:pt>
                <c:pt idx="39">
                  <c:v>3600.1495361328102</c:v>
                </c:pt>
                <c:pt idx="40">
                  <c:v>3600.0592207908599</c:v>
                </c:pt>
                <c:pt idx="41">
                  <c:v>3600.0583188533801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CC3-4026-A59F-ED782360E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097608"/>
        <c:axId val="656098688"/>
      </c:barChart>
      <c:catAx>
        <c:axId val="656097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6098688"/>
        <c:crosses val="autoZero"/>
        <c:auto val="1"/>
        <c:lblAlgn val="ctr"/>
        <c:lblOffset val="100"/>
        <c:noMultiLvlLbl val="0"/>
      </c:catAx>
      <c:valAx>
        <c:axId val="65609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6097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3543300</xdr:colOff>
      <xdr:row>21</xdr:row>
      <xdr:rowOff>85725</xdr:rowOff>
    </xdr:from>
    <xdr:to>
      <xdr:col>9</xdr:col>
      <xdr:colOff>857250</xdr:colOff>
      <xdr:row>38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1F840AD-3E4A-DA30-A147-DE684AC99F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552450</xdr:colOff>
      <xdr:row>12</xdr:row>
      <xdr:rowOff>19050</xdr:rowOff>
    </xdr:from>
    <xdr:to>
      <xdr:col>42</xdr:col>
      <xdr:colOff>76200</xdr:colOff>
      <xdr:row>29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1B83FF3-9D75-7BA4-8D86-6CB5B80A0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988.460575925928" createdVersion="8" refreshedVersion="8" minRefreshableVersion="3" recordCount="168" xr:uid="{2899D4F0-5722-4AAD-BBF6-C1616A494D25}">
  <cacheSource type="worksheet">
    <worksheetSource ref="A1:AG169" sheet="model4_16_threads_MIPstart_med3"/>
  </cacheSource>
  <cacheFields count="33">
    <cacheField name="instance" numFmtId="0">
      <sharedItems count="42">
        <s v="MVPRP_C15_P3_V3_I3"/>
        <s v="MVPRP_C30_P9_V3_I3"/>
        <s v="MVPRP_C15_P9_V3_I1"/>
        <s v="MVPRP_C40_P3_V3_I3"/>
        <s v="MVPRP_C40_P3_V3_I1"/>
        <s v="MVPRP_C20_P6_V3_I1"/>
        <s v="MVPRP_C10_P3_V3_I1"/>
        <s v="MVPRP_C45_P3_V3_I3"/>
        <s v="MVPRP_C20_P3_V3_I1"/>
        <s v="MVPRP_C35_P3_V3_I3"/>
        <s v="MVPRP_C40_P6_V3_I1"/>
        <s v="MVPRP_C10_P3_V3_I3"/>
        <s v="MVPRP_C30_P3_V3_I3"/>
        <s v="MVPRP_C20_P3_V3_I3"/>
        <s v="MVPRP_C35_P6_V3_I3"/>
        <s v="MVPRP_C25_P6_V3_I3"/>
        <s v="MVPRP_C15_P6_V3_I3"/>
        <s v="MVPRP_C50_P3_V3_I3"/>
        <s v="MVPRP_C30_P6_V3_I3"/>
        <s v="MVPRP_C45_P3_V3_I1"/>
        <s v="MVPRP_C25_P6_V3_I1"/>
        <s v="MVPRP_C35_P6_V3_I1"/>
        <s v="MVPRP_C25_P3_V3_I1"/>
        <s v="MVPRP_C10_P6_V3_I1"/>
        <s v="MVPRP_C35_P3_V3_I1"/>
        <s v="MVPRP_C10_P6_V3_I3"/>
        <s v="MVPRP_C50_P3_V3_I1"/>
        <s v="MVPRP_C30_P6_V3_I1"/>
        <s v="MVPRP_C25_P9_V3_I1"/>
        <s v="MVPRP_C25_P3_V3_I3"/>
        <s v="MVPRP_C15_P6_V3_I1"/>
        <s v="MVPRP_C15_P3_V3_I1"/>
        <s v="MVPRP_C20_P6_V3_I3"/>
        <s v="MVPRP_C20_P9_V3_I3"/>
        <s v="MVPRP_C40_P6_V3_I3"/>
        <s v="MVPRP_C20_P9_V3_I1"/>
        <s v="MVPRP_C15_P9_V3_I3"/>
        <s v="MVPRP_C30_P9_V3_I1"/>
        <s v="MVPRP_C10_P9_V3_I1"/>
        <s v="MVPRP_C30_P3_V3_I1"/>
        <s v="MVPRP_C10_P9_V3_I3"/>
        <s v="MVPRP_C25_P9_V3_I3"/>
      </sharedItems>
    </cacheField>
    <cacheField name="Instance String" numFmtId="0">
      <sharedItems/>
    </cacheField>
    <cacheField name="Customers" numFmtId="0">
      <sharedItems/>
    </cacheField>
    <cacheField name="Periods" numFmtId="0">
      <sharedItems/>
    </cacheField>
    <cacheField name="MED" numFmtId="0">
      <sharedItems/>
    </cacheField>
    <cacheField name="Instance Type" numFmtId="0">
      <sharedItems count="2">
        <s v="I3"/>
        <s v="I1"/>
      </sharedItems>
    </cacheField>
    <cacheField name="Model" numFmtId="0">
      <sharedItems count="4">
        <s v="model4_HPRP_comb_stoch_var_cost_MIPstart"/>
        <s v="model1_determ_var_cost_all_own_vehicle"/>
        <s v="model1_ScenarioPRP_VSSCalc"/>
        <s v="model1_ScenarioPRP_vss_routeGen"/>
      </sharedItems>
    </cacheField>
    <cacheField name="status" numFmtId="0">
      <sharedItems/>
    </cacheField>
    <cacheField name="ObjVal" numFmtId="0">
      <sharedItems containsSemiMixedTypes="0" containsString="0" containsNumber="1" minValue="13002.5" maxValue="154135"/>
    </cacheField>
    <cacheField name="ObjBound" numFmtId="0">
      <sharedItems containsSemiMixedTypes="0" containsString="0" containsNumber="1" minValue="13002.5" maxValue="146428.66490523101"/>
    </cacheField>
    <cacheField name="Gap" numFmtId="0">
      <sharedItems containsSemiMixedTypes="0" containsString="0" containsNumber="1" minValue="0" maxValue="0.110906115974664"/>
    </cacheField>
    <cacheField name="runtime" numFmtId="0">
      <sharedItems containsSemiMixedTypes="0" containsString="0" containsNumber="1" minValue="3.6213874816894497E-2" maxValue="3605.21713376045"/>
    </cacheField>
    <cacheField name="period_vehicle" numFmtId="0">
      <sharedItems/>
    </cacheField>
    <cacheField name="Q" numFmtId="0">
      <sharedItems containsSemiMixedTypes="0" containsString="0" containsNumber="1" containsInteger="1" minValue="132" maxValue="360"/>
    </cacheField>
    <cacheField name="error" numFmtId="0">
      <sharedItems containsNonDate="0" containsString="0" containsBlank="1"/>
    </cacheField>
    <cacheField name="recourse_gamma" numFmtId="0">
      <sharedItems containsSemiMixedTypes="0" containsString="0" containsNumber="1" containsInteger="1" minValue="2" maxValue="2"/>
    </cacheField>
    <cacheField name="variable_crowd_factor" numFmtId="0">
      <sharedItems containsSemiMixedTypes="0" containsString="0" containsNumber="1" minValue="0.5" maxValue="0.5"/>
    </cacheField>
    <cacheField name="fixed_own" numFmtId="0">
      <sharedItems containsSemiMixedTypes="0" containsString="0" containsNumber="1" containsInteger="1" minValue="100" maxValue="100"/>
    </cacheField>
    <cacheField name="fixed_crowd" numFmtId="0">
      <sharedItems containsSemiMixedTypes="0" containsString="0" containsNumber="1" containsInteger="1" minValue="50" maxValue="50"/>
    </cacheField>
    <cacheField name="r_payment" numFmtId="0">
      <sharedItems containsSemiMixedTypes="0" containsString="0" containsNumber="1" containsInteger="1" minValue="0" maxValue="0"/>
    </cacheField>
    <cacheField name="var_cost_type" numFmtId="0">
      <sharedItems containsSemiMixedTypes="0" containsString="0" containsNumber="1" containsInteger="1" minValue="1" maxValue="2"/>
    </cacheField>
    <cacheField name="binom_dist" numFmtId="49">
      <sharedItems/>
    </cacheField>
    <cacheField name="binom_p" numFmtId="0">
      <sharedItems containsSemiMixedTypes="0" containsString="0" containsNumber="1" minValue="0" maxValue="0.05"/>
    </cacheField>
    <cacheField name="fixed_prod_cost" numFmtId="0">
      <sharedItems containsSemiMixedTypes="0" containsString="0" containsNumber="1" minValue="3000" maxValue="12000"/>
    </cacheField>
    <cacheField name="variable_prod_cost" numFmtId="0">
      <sharedItems containsSemiMixedTypes="0" containsString="0" containsNumber="1" minValue="6390" maxValue="67710"/>
    </cacheField>
    <cacheField name="inv_hold_cost" numFmtId="0">
      <sharedItems containsSemiMixedTypes="0" containsString="0" containsNumber="1" minValue="2313" maxValue="31048.000066417098"/>
    </cacheField>
    <cacheField name="routing_cost" numFmtId="0">
      <sharedItems containsSemiMixedTypes="0" containsString="0" containsNumber="1" minValue="1299.5" maxValue="49468"/>
    </cacheField>
    <cacheField name="recourse_cost" numFmtId="0">
      <sharedItems containsSemiMixedTypes="0" containsString="0" containsNumber="1" minValue="-1" maxValue="3077.1584747963602"/>
    </cacheField>
    <cacheField name="unused_routing_cost" numFmtId="0">
      <sharedItems containsSemiMixedTypes="0" containsString="0" containsNumber="1" minValue="-1" maxValue="1538.5792373981801"/>
    </cacheField>
    <cacheField name="expected_cost_diff" numFmtId="0">
      <sharedItems containsSemiMixedTypes="0" containsString="0" containsNumber="1" minValue="-1" maxValue="4615.7377121945301"/>
    </cacheField>
    <cacheField name="ufcc" numFmtId="0">
      <sharedItems containsString="0" containsBlank="1" containsNumber="1" containsInteger="1" minValue="0" maxValue="3719"/>
    </cacheField>
    <cacheField name="lsec" numFmtId="0">
      <sharedItems containsString="0" containsBlank="1" containsNumber="1" containsInteger="1" minValue="0" maxValue="0"/>
    </cacheField>
    <cacheField name="usec" numFmtId="0">
      <sharedItems containsString="0" containsBlank="1" containsNumber="1" containsInteger="1" minValue="0" maxValue="26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988.512677893516" createdVersion="8" refreshedVersion="8" minRefreshableVersion="3" recordCount="42" xr:uid="{DBBB6ECE-DD84-4AF4-8E23-EBD7791BF68B}">
  <cacheSource type="worksheet">
    <worksheetSource ref="A1:AC43" sheet="GenPivot"/>
  </cacheSource>
  <cacheFields count="29">
    <cacheField name="Zeilenbeschriftungen" numFmtId="0">
      <sharedItems/>
    </cacheField>
    <cacheField name="Instance String" numFmtId="0">
      <sharedItems/>
    </cacheField>
    <cacheField name="Customers" numFmtId="0">
      <sharedItems/>
    </cacheField>
    <cacheField name="Periods" numFmtId="0">
      <sharedItems count="3">
        <s v="P3"/>
        <s v="P6"/>
        <s v="P9"/>
      </sharedItems>
    </cacheField>
    <cacheField name="MED" numFmtId="0">
      <sharedItems/>
    </cacheField>
    <cacheField name="Instance Type" numFmtId="0">
      <sharedItems count="2">
        <s v="I1"/>
        <s v="I3"/>
      </sharedItems>
    </cacheField>
    <cacheField name="UB_model1_determ_var_cost_all_own_vehicle" numFmtId="0">
      <sharedItems containsSemiMixedTypes="0" containsString="0" containsNumber="1" minValue="14236" maxValue="154135"/>
    </cacheField>
    <cacheField name="LB_model1_determ_var_cost_all_own_vehicle" numFmtId="0">
      <sharedItems containsSemiMixedTypes="0" containsString="0" containsNumber="1" minValue="14236" maxValue="146428.66490523101"/>
    </cacheField>
    <cacheField name="Gap_model1_determ_var_cost_all_own_vehicle" numFmtId="0">
      <sharedItems containsSemiMixedTypes="0" containsString="0" containsNumber="1" minValue="0" maxValue="4.9997308169909799E-2"/>
    </cacheField>
    <cacheField name="CT[s]_model1_determ_var_cost_all_own_vehicle" numFmtId="0">
      <sharedItems containsSemiMixedTypes="0" containsString="0" containsNumber="1" minValue="1.7461397647857699" maxValue="3605.21713376045"/>
    </cacheField>
    <cacheField name="UB_model4_HPRP_comb_stoch_var_cost_MIPstart" numFmtId="0">
      <sharedItems containsSemiMixedTypes="0" containsString="0" containsNumber="1" minValue="13025.581183165399" maxValue="139780.17948176499"/>
    </cacheField>
    <cacheField name="LB_model4_HPRP_comb_stoch_var_cost_MIPstart" numFmtId="0">
      <sharedItems containsSemiMixedTypes="0" containsString="0" containsNumber="1" minValue="13025.581183165499" maxValue="124277.702685201"/>
    </cacheField>
    <cacheField name="Gap_model4_HPRP_comb_stoch_var_cost_MIPstart" numFmtId="0">
      <sharedItems containsSemiMixedTypes="0" containsString="0" containsNumber="1" minValue="0" maxValue="0.110906115974664"/>
    </cacheField>
    <cacheField name="CT[s]_model4_HPRP_comb_stoch_var_cost_MIPstart" numFmtId="0">
      <sharedItems containsSemiMixedTypes="0" containsString="0" containsNumber="1" minValue="0.64924144744873102" maxValue="3600.18600106239"/>
    </cacheField>
    <cacheField name="UB_model1_ScenarioPRP_VSSCalc" numFmtId="0">
      <sharedItems containsSemiMixedTypes="0" containsString="0" containsNumber="1" minValue="13025.581183165499" maxValue="128936.478350978"/>
    </cacheField>
    <cacheField name="LB_model1_ScenarioPRP_VSSCalc" numFmtId="0">
      <sharedItems containsSemiMixedTypes="0" containsString="0" containsNumber="1" minValue="13025.581183165499" maxValue="128936.478350978"/>
    </cacheField>
    <cacheField name="Gap_model1_ScenarioPRP_VSSCalc" numFmtId="0">
      <sharedItems containsSemiMixedTypes="0" containsString="0" containsNumber="1" minValue="0" maxValue="9.7609343706385706E-5"/>
    </cacheField>
    <cacheField name="CT[s]_model1_ScenarioPRP_VSSCalc" numFmtId="0">
      <sharedItems containsSemiMixedTypes="0" containsString="0" containsNumber="1" minValue="3.6213874816894497E-2" maxValue="2.09613013267517"/>
    </cacheField>
    <cacheField name="UB_model1_ScenarioPRP_vss_routeGen" numFmtId="0">
      <sharedItems containsSemiMixedTypes="0" containsString="0" containsNumber="1" minValue="13002.5" maxValue="126143.50052799701"/>
    </cacheField>
    <cacheField name="LB_model1_ScenarioPRP_vss_routeGen" numFmtId="0">
      <sharedItems containsSemiMixedTypes="0" containsString="0" containsNumber="1" minValue="13002.5" maxValue="124482.53603504501"/>
    </cacheField>
    <cacheField name="Gap_model1_ScenarioPRP_vss_routeGen" numFmtId="0">
      <sharedItems containsSemiMixedTypes="0" containsString="0" containsNumber="1" minValue="0" maxValue="1.31672617772596E-2"/>
    </cacheField>
    <cacheField name="CT[s]_model1_ScenarioPRP_vss_routeGen" numFmtId="0">
      <sharedItems containsSemiMixedTypes="0" containsString="0" containsNumber="1" minValue="0.41492295265197798" maxValue="3600.1525189876602"/>
    </cacheField>
    <cacheField name="VCD" numFmtId="1">
      <sharedItems containsSemiMixedTypes="0" containsString="0" containsNumber="1" minValue="1210.4188168346009" maxValue="18638.304509198002"/>
    </cacheField>
    <cacheField name="VCDs[%]" numFmtId="2">
      <sharedItems containsSemiMixedTypes="0" containsString="0" containsNumber="1" minValue="5.2840794986472002" maxValue="26.955171933239026"/>
    </cacheField>
    <cacheField name="VCDsMin[%]" numFmtId="2">
      <sharedItems containsSemiMixedTypes="0" containsString="0" containsNumber="1" minValue="4.7563863833307947" maxValue="26.955171933239026"/>
    </cacheField>
    <cacheField name="VCDsMax[%]" numFmtId="2">
      <sharedItems containsSemiMixedTypes="0" containsString="0" containsNumber="1" minValue="5.4027475764873625" maxValue="26.955171933239026"/>
    </cacheField>
    <cacheField name="VSS" numFmtId="1">
      <sharedItems containsSemiMixedTypes="0" containsString="0" containsNumber="1" minValue="0" maxValue="433.75396281159192"/>
    </cacheField>
    <cacheField name="VSS[%]" numFmtId="2">
      <sharedItems containsSemiMixedTypes="0" containsString="0" containsNumber="1" minValue="0" maxValue="0.68832560566400813"/>
    </cacheField>
    <cacheField name="VSSmax[%]" numFmtId="2">
      <sharedItems containsSemiMixedTypes="0" containsString="0" containsNumber="1" minValue="-3.1341473017587167E-13" maxValue="4.91522950338525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x v="0"/>
    <s v="MVPRP"/>
    <s v="C15"/>
    <s v="P3"/>
    <s v="V3"/>
    <x v="0"/>
    <x v="0"/>
    <s v="OPTIMAL"/>
    <n v="24162.859640039998"/>
    <n v="24162.859640039998"/>
    <n v="0"/>
    <n v="11.833907365799"/>
    <s v="[(1, 1, 129.0), (2, 1, 132.0), (2, 2, 38.0), (3, 1, 33.0)]"/>
    <n v="132"/>
    <m/>
    <n v="2"/>
    <n v="0.5"/>
    <n v="100"/>
    <n v="50"/>
    <n v="0"/>
    <n v="2"/>
    <s v="True"/>
    <n v="0.05"/>
    <n v="3000"/>
    <n v="9960"/>
    <n v="4200"/>
    <n v="7002.8596400400002"/>
    <n v="-1"/>
    <n v="-1"/>
    <n v="-1"/>
    <m/>
    <m/>
    <m/>
  </r>
  <r>
    <x v="1"/>
    <s v="MVPRP"/>
    <s v="C30"/>
    <s v="P9"/>
    <s v="V3"/>
    <x v="0"/>
    <x v="0"/>
    <s v="TIME_LIMIT"/>
    <n v="139780.17948176499"/>
    <n v="124277.702685201"/>
    <n v="0.110906115974664"/>
    <n v="3600.1860005855601"/>
    <s v="[(2, 1, 205.0), (2, 2, 56.0), (3, 1, 202.0), (3, 2, 43.0), (4, 1, 74.0), (5, 1, 228.0), (5, 2, 227.0), (5, 3, 17.0), (6, 1, 228.0), (6, 2, 219.0), (6, 3, 64.0), (7, 1, 228.0), (8, 1, 228.0), (8, 2, 26.0), (9, 1, 212.0)]"/>
    <n v="228"/>
    <m/>
    <n v="2"/>
    <n v="0.5"/>
    <n v="100"/>
    <n v="50"/>
    <n v="0"/>
    <n v="2"/>
    <s v="True"/>
    <n v="0.05"/>
    <n v="12000"/>
    <n v="67710"/>
    <n v="27125"/>
    <n v="32945.179481765103"/>
    <n v="-1"/>
    <n v="-1"/>
    <n v="-1"/>
    <m/>
    <m/>
    <m/>
  </r>
  <r>
    <x v="2"/>
    <s v="MVPRP"/>
    <s v="C15"/>
    <s v="P9"/>
    <s v="V3"/>
    <x v="1"/>
    <x v="0"/>
    <s v="TIME_LIMIT"/>
    <n v="69995.221982867806"/>
    <n v="69846.211570691303"/>
    <n v="2.1288654847463899E-3"/>
    <n v="3600.08675694466"/>
    <s v="[(2, 1, 114.0), (2, 2, 77.0), (4, 1, 107.0), (5, 1, 128.0), (6, 1, 132.0), (6, 2, 128.0), (7, 1, 132.0), (7, 2, 78.0), (8, 1, 132.0), (8, 2, 127.00001153298969), (9, 1, 131.99997791139248), (9, 2, 77.99998455752224)]"/>
    <n v="132"/>
    <m/>
    <n v="2"/>
    <n v="0.5"/>
    <n v="100"/>
    <n v="50"/>
    <n v="0"/>
    <n v="2"/>
    <s v="True"/>
    <n v="0.05"/>
    <n v="9000"/>
    <n v="40950"/>
    <n v="13146.000034598999"/>
    <n v="6899.2219482688297"/>
    <n v="-1"/>
    <n v="-1"/>
    <n v="-1"/>
    <m/>
    <m/>
    <m/>
  </r>
  <r>
    <x v="3"/>
    <s v="MVPRP"/>
    <s v="C40"/>
    <s v="P3"/>
    <s v="V3"/>
    <x v="0"/>
    <x v="0"/>
    <s v="OPTIMAL"/>
    <n v="51505.656298582602"/>
    <n v="51505.656298582602"/>
    <n v="0"/>
    <n v="396.12451291084301"/>
    <s v="[(1, 1, 355.0), (2, 1, 207.0), (3, 1, 360.0)]"/>
    <n v="360"/>
    <m/>
    <n v="2"/>
    <n v="0.5"/>
    <n v="100"/>
    <n v="50"/>
    <n v="0"/>
    <n v="2"/>
    <s v="True"/>
    <n v="0.05"/>
    <n v="3000"/>
    <n v="27660"/>
    <n v="9577"/>
    <n v="11268.6562985826"/>
    <n v="-1"/>
    <n v="-1"/>
    <n v="-1"/>
    <m/>
    <m/>
    <m/>
  </r>
  <r>
    <x v="4"/>
    <s v="MVPRP"/>
    <s v="C40"/>
    <s v="P3"/>
    <s v="V3"/>
    <x v="1"/>
    <x v="0"/>
    <s v="OPTIMAL"/>
    <n v="41714.6655546361"/>
    <n v="41714.6655546361"/>
    <n v="0"/>
    <n v="74.477678298950195"/>
    <s v="[(1, 1, 129.0), (2, 1, 257.0), (3, 1, 354.0), (3, 2, 182.0)]"/>
    <n v="360"/>
    <m/>
    <n v="2"/>
    <n v="0.5"/>
    <n v="100"/>
    <n v="50"/>
    <n v="0"/>
    <n v="2"/>
    <s v="True"/>
    <n v="0.05"/>
    <n v="6000"/>
    <n v="27660"/>
    <n v="4692"/>
    <n v="3362.6655546361098"/>
    <n v="-1"/>
    <n v="-1"/>
    <n v="-1"/>
    <m/>
    <m/>
    <m/>
  </r>
  <r>
    <x v="5"/>
    <s v="MVPRP"/>
    <s v="C20"/>
    <s v="P6"/>
    <s v="V3"/>
    <x v="1"/>
    <x v="0"/>
    <s v="OPTIMAL"/>
    <n v="45340.890509310302"/>
    <n v="45340.890509310302"/>
    <n v="0"/>
    <n v="24.0150790214539"/>
    <s v="[(2, 1, 174.0), (3, 1, 188.0), (5, 1, 188.0), (5, 2, 58.0), (6, 1, 186.0)]"/>
    <n v="189"/>
    <m/>
    <n v="2"/>
    <n v="0.5"/>
    <n v="100"/>
    <n v="50"/>
    <n v="0"/>
    <n v="2"/>
    <s v="True"/>
    <n v="0.05"/>
    <n v="6000"/>
    <n v="23820"/>
    <n v="12510"/>
    <n v="3010.8905093103999"/>
    <n v="-1"/>
    <n v="-1"/>
    <n v="-1"/>
    <m/>
    <m/>
    <m/>
  </r>
  <r>
    <x v="6"/>
    <s v="MVPRP"/>
    <s v="C10"/>
    <s v="P3"/>
    <s v="V3"/>
    <x v="1"/>
    <x v="0"/>
    <s v="OPTIMAL"/>
    <n v="13025.581183165399"/>
    <n v="13025.581183165499"/>
    <n v="0"/>
    <n v="0.64924144744873102"/>
    <s v="[(1, 1, 89.0), (3, 1, 124.0)]"/>
    <n v="132"/>
    <m/>
    <n v="2"/>
    <n v="0.5"/>
    <n v="100"/>
    <n v="50"/>
    <n v="0"/>
    <n v="2"/>
    <s v="True"/>
    <n v="0.05"/>
    <n v="3000"/>
    <n v="6390"/>
    <n v="2313"/>
    <n v="1322.5811831654701"/>
    <n v="-1"/>
    <n v="-1"/>
    <n v="-1"/>
    <m/>
    <m/>
    <m/>
  </r>
  <r>
    <x v="7"/>
    <s v="MVPRP"/>
    <s v="C45"/>
    <s v="P3"/>
    <s v="V3"/>
    <x v="0"/>
    <x v="0"/>
    <s v="OPTIMAL"/>
    <n v="59127.871321666003"/>
    <n v="59127.871321666003"/>
    <n v="0"/>
    <n v="2380.1390798091902"/>
    <s v="[(1, 1, 360.0), (1, 2, 23.0), (2, 1, 359.0), (3, 1, 360.0)]"/>
    <n v="360"/>
    <m/>
    <n v="2"/>
    <n v="0.5"/>
    <n v="100"/>
    <n v="50"/>
    <n v="0"/>
    <n v="2"/>
    <s v="True"/>
    <n v="0.05"/>
    <n v="3000"/>
    <n v="33060"/>
    <n v="11010"/>
    <n v="12057.871321666"/>
    <n v="-1"/>
    <n v="-1"/>
    <n v="-1"/>
    <m/>
    <m/>
    <m/>
  </r>
  <r>
    <x v="8"/>
    <s v="MVPRP"/>
    <s v="C20"/>
    <s v="P3"/>
    <s v="V3"/>
    <x v="1"/>
    <x v="0"/>
    <s v="OPTIMAL"/>
    <n v="20945.2212283318"/>
    <n v="20945.2212283318"/>
    <n v="0"/>
    <n v="6.7645709514617902"/>
    <s v="[(1, 1, 137.0), (2, 1, 75.0), (3, 1, 189.0)]"/>
    <n v="189"/>
    <m/>
    <n v="2"/>
    <n v="0.5"/>
    <n v="100"/>
    <n v="50"/>
    <n v="0"/>
    <n v="2"/>
    <s v="True"/>
    <n v="0.05"/>
    <n v="3000"/>
    <n v="12030"/>
    <n v="3897"/>
    <n v="2018.2212283317699"/>
    <n v="-1"/>
    <n v="-1"/>
    <n v="-1"/>
    <m/>
    <m/>
    <m/>
  </r>
  <r>
    <x v="9"/>
    <s v="MVPRP"/>
    <s v="C35"/>
    <s v="P3"/>
    <s v="V3"/>
    <x v="0"/>
    <x v="0"/>
    <s v="OPTIMAL"/>
    <n v="41528.485566394898"/>
    <n v="41528.485566394898"/>
    <n v="0"/>
    <n v="270.73729801178001"/>
    <s v="[(1, 1, 268.0), (2, 1, 250.0), (3, 1, 202.0)]"/>
    <n v="276"/>
    <m/>
    <n v="2"/>
    <n v="0.5"/>
    <n v="100"/>
    <n v="50"/>
    <n v="0"/>
    <n v="2"/>
    <s v="True"/>
    <n v="0.05"/>
    <n v="3000"/>
    <n v="21600"/>
    <n v="7360"/>
    <n v="9568.4855663949093"/>
    <n v="-1"/>
    <n v="-1"/>
    <n v="-1"/>
    <m/>
    <m/>
    <m/>
  </r>
  <r>
    <x v="10"/>
    <s v="MVPRP"/>
    <s v="C40"/>
    <s v="P6"/>
    <s v="V3"/>
    <x v="1"/>
    <x v="0"/>
    <s v="TIME_LIMIT"/>
    <n v="92125.039665893899"/>
    <n v="92015.716652112897"/>
    <n v="1.18668077840193E-3"/>
    <n v="3600.18600106239"/>
    <s v="[(2, 1, 198.00000424999598), (3, 1, 314.999995750004), (4, 1, 257.0), (5, 1, 349.0), (5, 2, 107.0), (6, 1, 300.0), (6, 2, 313.0)]"/>
    <n v="360"/>
    <m/>
    <n v="2"/>
    <n v="0.5"/>
    <n v="100"/>
    <n v="50"/>
    <n v="0"/>
    <n v="2"/>
    <s v="True"/>
    <n v="0.05"/>
    <n v="6000"/>
    <n v="55170"/>
    <n v="25151.00001575"/>
    <n v="5804.0396447052499"/>
    <n v="-1"/>
    <n v="-1"/>
    <n v="-1"/>
    <m/>
    <m/>
    <m/>
  </r>
  <r>
    <x v="11"/>
    <s v="MVPRP"/>
    <s v="C10"/>
    <s v="P3"/>
    <s v="V3"/>
    <x v="0"/>
    <x v="0"/>
    <s v="OPTIMAL"/>
    <n v="16684.5152113289"/>
    <n v="16684.5152113289"/>
    <n v="0"/>
    <n v="1.80661296844482"/>
    <s v="[(1, 1, 130.0), (2, 1, 83.0)]"/>
    <n v="132"/>
    <m/>
    <n v="2"/>
    <n v="0.5"/>
    <n v="100"/>
    <n v="50"/>
    <n v="0"/>
    <n v="2"/>
    <s v="True"/>
    <n v="0.05"/>
    <n v="3000"/>
    <n v="6390"/>
    <n v="3082"/>
    <n v="4212.5152113288896"/>
    <n v="-1"/>
    <n v="-1"/>
    <n v="-1"/>
    <m/>
    <m/>
    <m/>
  </r>
  <r>
    <x v="12"/>
    <s v="MVPRP"/>
    <s v="C30"/>
    <s v="P3"/>
    <s v="V3"/>
    <x v="0"/>
    <x v="0"/>
    <s v="OPTIMAL"/>
    <n v="34123.400853526597"/>
    <n v="34123.400853526597"/>
    <n v="0"/>
    <n v="161.43400597572301"/>
    <s v="[(1, 1, 223.0), (2, 1, 228.0), (3, 1, 105.0)]"/>
    <n v="228"/>
    <m/>
    <n v="2"/>
    <n v="0.5"/>
    <n v="100"/>
    <n v="50"/>
    <n v="0"/>
    <n v="2"/>
    <s v="True"/>
    <n v="0.05"/>
    <n v="3000"/>
    <n v="16680"/>
    <n v="6255"/>
    <n v="8188.4008535265903"/>
    <n v="-1"/>
    <n v="-1"/>
    <n v="-1"/>
    <m/>
    <m/>
    <m/>
  </r>
  <r>
    <x v="13"/>
    <s v="MVPRP"/>
    <s v="C20"/>
    <s v="P3"/>
    <s v="V3"/>
    <x v="0"/>
    <x v="0"/>
    <s v="OPTIMAL"/>
    <n v="27018.506210203599"/>
    <n v="27018.506210203599"/>
    <n v="0"/>
    <n v="19.694522619247401"/>
    <s v="[(1, 1, 185.0), (1, 2, 69.0), (2, 1, 147.0)]"/>
    <n v="189"/>
    <m/>
    <n v="2"/>
    <n v="0.5"/>
    <n v="100"/>
    <n v="50"/>
    <n v="0"/>
    <n v="2"/>
    <s v="True"/>
    <n v="0.05"/>
    <n v="3000"/>
    <n v="12030"/>
    <n v="5255"/>
    <n v="6733.50621020363"/>
    <n v="-1"/>
    <n v="-1"/>
    <n v="-1"/>
    <m/>
    <m/>
    <m/>
  </r>
  <r>
    <x v="14"/>
    <s v="MVPRP"/>
    <s v="C35"/>
    <s v="P6"/>
    <s v="V3"/>
    <x v="0"/>
    <x v="0"/>
    <s v="TIME_LIMIT"/>
    <n v="86437.593028770207"/>
    <n v="85060.1312629186"/>
    <n v="1.5935910725708699E-2"/>
    <n v="3600.08347153664"/>
    <s v="[(2, 1, 267.0), (3, 1, 276.0), (3, 2, 62.0), (5, 1, 273.0), (5, 2, 276.0), (6, 1, 276.0)]"/>
    <n v="276"/>
    <m/>
    <n v="2"/>
    <n v="0.5"/>
    <n v="100"/>
    <n v="50"/>
    <n v="0"/>
    <n v="2"/>
    <s v="True"/>
    <n v="0.05"/>
    <n v="6000"/>
    <n v="42900"/>
    <n v="19630"/>
    <n v="17907.593028770199"/>
    <n v="-1"/>
    <n v="-1"/>
    <n v="-1"/>
    <m/>
    <m/>
    <m/>
  </r>
  <r>
    <x v="15"/>
    <s v="MVPRP"/>
    <s v="C25"/>
    <s v="P6"/>
    <s v="V3"/>
    <x v="0"/>
    <x v="0"/>
    <s v="OPTIMAL"/>
    <n v="65896.277919437605"/>
    <n v="65892.071746189104"/>
    <n v="6.3830209858651497E-5"/>
    <n v="582.43223428726196"/>
    <s v="[(2, 1, 178.0), (2, 2, 84.0), (3, 1, 142.0), (5, 1, 189.0), (5, 2, 164.0), (6, 1, 189.0)]"/>
    <n v="189"/>
    <m/>
    <n v="2"/>
    <n v="0.5"/>
    <n v="100"/>
    <n v="50"/>
    <n v="0"/>
    <n v="2"/>
    <s v="True"/>
    <n v="0.05"/>
    <n v="6000"/>
    <n v="28380"/>
    <n v="17593"/>
    <n v="13923.2779194377"/>
    <n v="-1"/>
    <n v="-1"/>
    <n v="-1"/>
    <m/>
    <m/>
    <m/>
  </r>
  <r>
    <x v="16"/>
    <s v="MVPRP"/>
    <s v="C15"/>
    <s v="P6"/>
    <s v="V3"/>
    <x v="0"/>
    <x v="0"/>
    <s v="OPTIMAL"/>
    <n v="50192.775307358701"/>
    <n v="50192.775307358701"/>
    <n v="0"/>
    <n v="149.10526490211501"/>
    <s v="[(2, 1, 112.0), (3, 1, 132.0), (3, 2, 38.0), (5, 1, 132.0), (5, 2, 132.0), (5, 3, 114.0)]"/>
    <n v="132"/>
    <m/>
    <n v="2"/>
    <n v="0.5"/>
    <n v="100"/>
    <n v="50"/>
    <n v="0"/>
    <n v="2"/>
    <s v="True"/>
    <n v="0.05"/>
    <n v="6000"/>
    <n v="19800"/>
    <n v="12042"/>
    <n v="12350.775307358599"/>
    <n v="-1"/>
    <n v="-1"/>
    <n v="-1"/>
    <m/>
    <m/>
    <m/>
  </r>
  <r>
    <x v="17"/>
    <s v="MVPRP"/>
    <s v="C50"/>
    <s v="P3"/>
    <s v="V3"/>
    <x v="0"/>
    <x v="0"/>
    <s v="OPTIMAL"/>
    <n v="54811.140986393599"/>
    <n v="54807.994622905302"/>
    <n v="5.7403721792344399E-5"/>
    <n v="1380.2202379703499"/>
    <s v="[(1, 1, 331.0), (2, 1, 296.0), (3, 1, 359.0)]"/>
    <n v="360"/>
    <m/>
    <n v="2"/>
    <n v="0.5"/>
    <n v="100"/>
    <n v="50"/>
    <n v="0"/>
    <n v="2"/>
    <s v="True"/>
    <n v="0.05"/>
    <n v="3000"/>
    <n v="29580"/>
    <n v="10419"/>
    <n v="11812.140986393601"/>
    <n v="-1"/>
    <n v="-1"/>
    <n v="-1"/>
    <m/>
    <m/>
    <m/>
  </r>
  <r>
    <x v="18"/>
    <s v="MVPRP"/>
    <s v="C30"/>
    <s v="P6"/>
    <s v="V3"/>
    <x v="0"/>
    <x v="0"/>
    <s v="OPTIMAL"/>
    <n v="70563.605996775499"/>
    <n v="70563.605996775499"/>
    <n v="0"/>
    <n v="1732.4877917766601"/>
    <s v="[(2, 1, 218.0), (3, 1, 212.0), (5, 1, 228.0), (5, 2, 227.0), (6, 1, 220.0)]"/>
    <n v="228"/>
    <m/>
    <n v="2"/>
    <n v="0.5"/>
    <n v="100"/>
    <n v="50"/>
    <n v="0"/>
    <n v="2"/>
    <s v="True"/>
    <n v="0.05"/>
    <n v="6000"/>
    <n v="33150"/>
    <n v="16451"/>
    <n v="14962.605996775501"/>
    <n v="-1"/>
    <n v="-1"/>
    <n v="-1"/>
    <m/>
    <m/>
    <m/>
  </r>
  <r>
    <x v="19"/>
    <s v="MVPRP"/>
    <s v="C45"/>
    <s v="P3"/>
    <s v="V3"/>
    <x v="1"/>
    <x v="0"/>
    <s v="OPTIMAL"/>
    <n v="47594.573005964499"/>
    <n v="47594.573005964499"/>
    <n v="0"/>
    <n v="697.24698352813698"/>
    <s v="[(1, 1, 122.0), (2, 1, 353.0), (3, 1, 289.0), (3, 2, 338.0)]"/>
    <n v="360"/>
    <m/>
    <n v="2"/>
    <n v="0.5"/>
    <n v="100"/>
    <n v="50"/>
    <n v="0"/>
    <n v="2"/>
    <s v="True"/>
    <n v="0.05"/>
    <n v="6000"/>
    <n v="33060"/>
    <n v="4926"/>
    <n v="3608.5730059645898"/>
    <n v="-1"/>
    <n v="-1"/>
    <n v="-1"/>
    <m/>
    <m/>
    <m/>
  </r>
  <r>
    <x v="20"/>
    <s v="MVPRP"/>
    <s v="C25"/>
    <s v="P6"/>
    <s v="V3"/>
    <x v="1"/>
    <x v="0"/>
    <s v="OPTIMAL"/>
    <n v="54514.809695994598"/>
    <n v="54514.809695994598"/>
    <n v="0"/>
    <n v="142.25196409225501"/>
    <s v="[(2, 1, 164.0), (3, 1, 141.0), (4, 1, 115.0), (5, 1, 188.0), (6, 1, 168.0), (6, 2, 170.0)]"/>
    <n v="189"/>
    <m/>
    <n v="2"/>
    <n v="0.5"/>
    <n v="100"/>
    <n v="50"/>
    <n v="0"/>
    <n v="2"/>
    <s v="True"/>
    <n v="0.05"/>
    <n v="6000"/>
    <n v="28380"/>
    <n v="16316"/>
    <n v="3818.8096959946602"/>
    <n v="-1"/>
    <n v="-1"/>
    <n v="-1"/>
    <m/>
    <m/>
    <m/>
  </r>
  <r>
    <x v="21"/>
    <s v="MVPRP"/>
    <s v="C35"/>
    <s v="P6"/>
    <s v="V3"/>
    <x v="1"/>
    <x v="0"/>
    <s v="OPTIMAL"/>
    <n v="71408.633363145593"/>
    <n v="71407.7168238554"/>
    <n v="1.28351327699142E-5"/>
    <n v="787.87908077240002"/>
    <s v="[(2, 1, 129.0), (3, 1, 271.0), (4, 1, 197.0), (5, 1, 262.0), (5, 2, 120.0), (6, 1, 231.0), (6, 2, 220.0)]"/>
    <n v="276"/>
    <m/>
    <n v="2"/>
    <n v="0.5"/>
    <n v="100"/>
    <n v="50"/>
    <n v="0"/>
    <n v="2"/>
    <s v="True"/>
    <n v="0.05"/>
    <n v="6000"/>
    <n v="42900"/>
    <n v="17311"/>
    <n v="5197.63336314559"/>
    <n v="-1"/>
    <n v="-1"/>
    <n v="-1"/>
    <m/>
    <m/>
    <m/>
  </r>
  <r>
    <x v="22"/>
    <s v="MVPRP"/>
    <s v="C25"/>
    <s v="P3"/>
    <s v="V3"/>
    <x v="1"/>
    <x v="0"/>
    <s v="OPTIMAL"/>
    <n v="24674.5535864923"/>
    <n v="24674.5535864923"/>
    <n v="0"/>
    <n v="27.5521998405457"/>
    <s v="[(1, 1, 130.0), (2, 1, 71.0), (3, 1, 141.0), (3, 2, 136.0)]"/>
    <n v="189"/>
    <m/>
    <n v="2"/>
    <n v="0.5"/>
    <n v="100"/>
    <n v="50"/>
    <n v="0"/>
    <n v="2"/>
    <s v="True"/>
    <n v="0.05"/>
    <n v="3000"/>
    <n v="14340"/>
    <n v="4877"/>
    <n v="2457.5535864922899"/>
    <n v="-1"/>
    <n v="-1"/>
    <n v="-1"/>
    <m/>
    <m/>
    <m/>
  </r>
  <r>
    <x v="23"/>
    <s v="MVPRP"/>
    <s v="C10"/>
    <s v="P6"/>
    <s v="V3"/>
    <x v="1"/>
    <x v="0"/>
    <s v="OPTIMAL"/>
    <n v="28310.613691574901"/>
    <n v="28310.613691574901"/>
    <n v="0"/>
    <n v="3.781005859375"/>
    <s v="[(2, 1, 70.0), (3, 1, 106.0), (5, 1, 121.0), (6, 1, 126.0)]"/>
    <n v="132"/>
    <m/>
    <n v="2"/>
    <n v="0.5"/>
    <n v="100"/>
    <n v="50"/>
    <n v="0"/>
    <n v="2"/>
    <s v="True"/>
    <n v="0.05"/>
    <n v="6000"/>
    <n v="12690"/>
    <n v="7408"/>
    <n v="2212.6136915750199"/>
    <n v="-1"/>
    <n v="-1"/>
    <n v="-1"/>
    <m/>
    <m/>
    <m/>
  </r>
  <r>
    <x v="24"/>
    <s v="MVPRP"/>
    <s v="C35"/>
    <s v="P3"/>
    <s v="V3"/>
    <x v="1"/>
    <x v="0"/>
    <s v="OPTIMAL"/>
    <n v="33620.6139623454"/>
    <n v="33617.773898749001"/>
    <n v="8.4473876639703296E-5"/>
    <n v="190.56372189521801"/>
    <s v="[(1, 1, 246.0), (2, 1, 62.0), (3, 1, 220.0), (3, 2, 192.0)]"/>
    <n v="276"/>
    <m/>
    <n v="2"/>
    <n v="0.5"/>
    <n v="100"/>
    <n v="50"/>
    <n v="0"/>
    <n v="2"/>
    <s v="True"/>
    <n v="0.05"/>
    <n v="3000"/>
    <n v="21600"/>
    <n v="6341"/>
    <n v="2679.6139623455401"/>
    <n v="-1"/>
    <n v="-1"/>
    <n v="-1"/>
    <m/>
    <m/>
    <m/>
  </r>
  <r>
    <x v="25"/>
    <s v="MVPRP"/>
    <s v="C10"/>
    <s v="P6"/>
    <s v="V3"/>
    <x v="0"/>
    <x v="0"/>
    <s v="OPTIMAL"/>
    <n v="34839.347178387397"/>
    <n v="34839.347178387397"/>
    <n v="0"/>
    <n v="4.9504723548889196"/>
    <s v="[(2, 1, 100.0), (3, 1, 102.0), (5, 1, 125.0), (5, 2, 96.0)]"/>
    <n v="132"/>
    <m/>
    <n v="2"/>
    <n v="0.5"/>
    <n v="100"/>
    <n v="50"/>
    <n v="0"/>
    <n v="2"/>
    <s v="True"/>
    <n v="0.05"/>
    <n v="6000"/>
    <n v="12690"/>
    <n v="8493"/>
    <n v="7656.3471783874602"/>
    <n v="-1"/>
    <n v="-1"/>
    <n v="-1"/>
    <m/>
    <m/>
    <m/>
  </r>
  <r>
    <x v="26"/>
    <s v="MVPRP"/>
    <s v="C50"/>
    <s v="P3"/>
    <s v="V3"/>
    <x v="1"/>
    <x v="0"/>
    <s v="OPTIMAL"/>
    <n v="43823.382013082301"/>
    <n v="43823.353462368701"/>
    <n v="6.5149498415973902E-7"/>
    <n v="498.25829482078598"/>
    <s v="[(1, 1, 69.0), (2, 1, 312.0), (3, 1, 355.0), (3, 2, 250.0)]"/>
    <n v="360"/>
    <m/>
    <n v="2"/>
    <n v="0.5"/>
    <n v="100"/>
    <n v="50"/>
    <n v="0"/>
    <n v="2"/>
    <s v="True"/>
    <n v="0.05"/>
    <n v="6000"/>
    <n v="29580"/>
    <n v="4586"/>
    <n v="3657.3820130863201"/>
    <n v="-1"/>
    <n v="-1"/>
    <n v="-1"/>
    <m/>
    <m/>
    <m/>
  </r>
  <r>
    <x v="27"/>
    <s v="MVPRP"/>
    <s v="C30"/>
    <s v="P6"/>
    <s v="V3"/>
    <x v="1"/>
    <x v="0"/>
    <s v="OPTIMAL"/>
    <n v="58486.329670089297"/>
    <n v="58482.0909604966"/>
    <n v="7.2473509907007699E-5"/>
    <n v="628.48309421539295"/>
    <s v="[(2, 1, 111.0), (3, 1, 221.0), (4, 1, 97.0), (5, 1, 221.99999999833366), (5, 2, 227.00000073939393), (6, 1, 226.9999992606061)]"/>
    <n v="228"/>
    <m/>
    <n v="2"/>
    <n v="0.5"/>
    <n v="100"/>
    <n v="50"/>
    <n v="0"/>
    <n v="2"/>
    <s v="True"/>
    <n v="0.05"/>
    <n v="6000"/>
    <n v="33150"/>
    <n v="15612.0000029576"/>
    <n v="3724.3296671317898"/>
    <n v="-1"/>
    <n v="-1"/>
    <n v="-1"/>
    <m/>
    <m/>
    <m/>
  </r>
  <r>
    <x v="28"/>
    <s v="MVPRP"/>
    <s v="C25"/>
    <s v="P9"/>
    <s v="V3"/>
    <x v="1"/>
    <x v="0"/>
    <s v="OPTIMAL"/>
    <n v="95664.295049533001"/>
    <n v="95654.819448160095"/>
    <n v="9.9050553479134305E-5"/>
    <n v="1795.2350549697901"/>
    <s v="[(2, 1, 180.0), (2, 2, 69.0), (3, 1, 28.0), (4, 1, 143.0), (5, 1, 176.0), (6, 1, 185.0), (6, 2, 170.0), (7, 1, 175.0), (7, 2, 170.0), (8, 1, 185.0), (8, 2, 170.0), (9, 1, 175.0), (9, 2, 170.0)]"/>
    <n v="189"/>
    <m/>
    <n v="2"/>
    <n v="0.5"/>
    <n v="100"/>
    <n v="50"/>
    <n v="0"/>
    <n v="2"/>
    <s v="True"/>
    <n v="0.05"/>
    <n v="9000"/>
    <n v="59880"/>
    <n v="19204"/>
    <n v="7580.2950495329897"/>
    <n v="-1"/>
    <n v="-1"/>
    <n v="-1"/>
    <m/>
    <m/>
    <m/>
  </r>
  <r>
    <x v="29"/>
    <s v="MVPRP"/>
    <s v="C25"/>
    <s v="P3"/>
    <s v="V3"/>
    <x v="0"/>
    <x v="0"/>
    <s v="OPTIMAL"/>
    <n v="31340.3992646923"/>
    <n v="31340.3992646923"/>
    <n v="0"/>
    <n v="27.796728372573899"/>
    <s v="[(1, 1, 171.0), (1, 2, 144.0), (3, 1, 163.0)]"/>
    <n v="189"/>
    <m/>
    <n v="2"/>
    <n v="0.5"/>
    <n v="100"/>
    <n v="50"/>
    <n v="0"/>
    <n v="2"/>
    <s v="True"/>
    <n v="0.05"/>
    <n v="3000"/>
    <n v="14340"/>
    <n v="6083"/>
    <n v="7917.3992646921997"/>
    <n v="-1"/>
    <n v="-1"/>
    <n v="-1"/>
    <m/>
    <m/>
    <m/>
  </r>
  <r>
    <x v="30"/>
    <s v="MVPRP"/>
    <s v="C15"/>
    <s v="P6"/>
    <s v="V3"/>
    <x v="1"/>
    <x v="0"/>
    <s v="OPTIMAL"/>
    <n v="39870.507457640299"/>
    <n v="39866.7900447266"/>
    <n v="9.3237160768489804E-5"/>
    <n v="57.2211880683899"/>
    <s v="[(2, 1, 31.0), (3, 1, 122.0), (4, 1, 113.0), (5, 1, 130.0), (5, 2, 132.0), (6, 1, 132.0)]"/>
    <n v="132"/>
    <m/>
    <n v="2"/>
    <n v="0.5"/>
    <n v="100"/>
    <n v="50"/>
    <n v="0"/>
    <n v="2"/>
    <s v="True"/>
    <n v="0.05"/>
    <n v="6000"/>
    <n v="19800"/>
    <n v="10256"/>
    <n v="3814.5074576403399"/>
    <n v="-1"/>
    <n v="-1"/>
    <n v="-1"/>
    <m/>
    <m/>
    <m/>
  </r>
  <r>
    <x v="31"/>
    <s v="MVPRP"/>
    <s v="C15"/>
    <s v="P3"/>
    <s v="V3"/>
    <x v="1"/>
    <x v="0"/>
    <s v="OPTIMAL"/>
    <n v="18327.171586345099"/>
    <n v="18327.171586345099"/>
    <n v="0"/>
    <n v="5.0224914550781303"/>
    <s v="[(1, 1, 97.0), (2, 1, 103.0), (3, 1, 132.0)]"/>
    <n v="132"/>
    <m/>
    <n v="2"/>
    <n v="0.5"/>
    <n v="100"/>
    <n v="50"/>
    <n v="0"/>
    <n v="2"/>
    <s v="True"/>
    <n v="0.05"/>
    <n v="3000"/>
    <n v="9960"/>
    <n v="3581"/>
    <n v="1786.1715863450599"/>
    <n v="-1"/>
    <n v="-1"/>
    <n v="-1"/>
    <m/>
    <m/>
    <m/>
  </r>
  <r>
    <x v="32"/>
    <s v="MVPRP"/>
    <s v="C20"/>
    <s v="P6"/>
    <s v="V3"/>
    <x v="0"/>
    <x v="0"/>
    <s v="OPTIMAL"/>
    <n v="56027.588948340199"/>
    <n v="56027.588948340199"/>
    <n v="0"/>
    <n v="306.39131999015802"/>
    <s v="[(2, 1, 176.0), (2, 2, 78.0), (3, 1, 162.0), (5, 1, 189.0), (5, 2, 189.0)]"/>
    <n v="189"/>
    <m/>
    <n v="2"/>
    <n v="0.5"/>
    <n v="100"/>
    <n v="50"/>
    <n v="0"/>
    <n v="2"/>
    <s v="True"/>
    <n v="0.05"/>
    <n v="6000"/>
    <n v="23820"/>
    <n v="14713"/>
    <n v="11494.588948340201"/>
    <n v="-1"/>
    <n v="-1"/>
    <n v="-1"/>
    <m/>
    <m/>
    <m/>
  </r>
  <r>
    <x v="33"/>
    <s v="MVPRP"/>
    <s v="C20"/>
    <s v="P9"/>
    <s v="V3"/>
    <x v="0"/>
    <x v="0"/>
    <s v="TIME_LIMIT"/>
    <n v="98936.597148238798"/>
    <n v="97086.117010916496"/>
    <n v="1.8703697020725499E-2"/>
    <n v="3600.0946800708798"/>
    <s v="[(2, 1, 188.0), (2, 2, 121.0), (4, 1, 189.0), (5, 1, 189.0), (5, 2, 189.0), (6, 1, 189.0), (8, 1, 168.0), (8, 2, 182.0), (8, 3, 189.0)]"/>
    <n v="189"/>
    <m/>
    <n v="2"/>
    <n v="0.5"/>
    <n v="100"/>
    <n v="50"/>
    <n v="0"/>
    <n v="2"/>
    <s v="True"/>
    <n v="0.05"/>
    <n v="9000"/>
    <n v="48120"/>
    <n v="20915"/>
    <n v="20901.597148238699"/>
    <n v="-1"/>
    <n v="-1"/>
    <n v="-1"/>
    <m/>
    <m/>
    <m/>
  </r>
  <r>
    <x v="34"/>
    <s v="MVPRP"/>
    <s v="C40"/>
    <s v="P6"/>
    <s v="V3"/>
    <x v="0"/>
    <x v="0"/>
    <s v="TIME_LIMIT"/>
    <n v="109303.178046271"/>
    <n v="107005.447960007"/>
    <n v="2.10216219448944E-2"/>
    <n v="3600.1291399002098"/>
    <s v="[(2, 1, 360.0), (2, 2, 14.0), (3, 1, 360.0), (4, 1, 36.0), (5, 1, 357.0), (5, 2, 352.0), (6, 1, 360.0)]"/>
    <n v="360"/>
    <m/>
    <n v="2"/>
    <n v="0.5"/>
    <n v="100"/>
    <n v="50"/>
    <n v="0"/>
    <n v="2"/>
    <s v="True"/>
    <n v="0.05"/>
    <n v="6000"/>
    <n v="55170"/>
    <n v="27975"/>
    <n v="20158.178046271001"/>
    <n v="-1"/>
    <n v="-1"/>
    <n v="-1"/>
    <m/>
    <m/>
    <m/>
  </r>
  <r>
    <x v="35"/>
    <s v="MVPRP"/>
    <s v="C20"/>
    <s v="P9"/>
    <s v="V3"/>
    <x v="1"/>
    <x v="0"/>
    <s v="OPTIMAL"/>
    <n v="78181.978681211694"/>
    <n v="78181.978681211694"/>
    <n v="0"/>
    <n v="168.85927939415001"/>
    <s v="[(2, 1, 184.0), (2, 2, 70.0), (4, 1, 130.0), (5, 1, 140.0), (6, 1, 182.0), (6, 2, 177.0), (7, 1, 181.0), (8, 1, 182.0), (8, 2, 177.0), (9, 1, 181.0)]"/>
    <n v="189"/>
    <m/>
    <n v="2"/>
    <n v="0.5"/>
    <n v="100"/>
    <n v="50"/>
    <n v="0"/>
    <n v="2"/>
    <s v="True"/>
    <n v="0.05"/>
    <n v="9000"/>
    <n v="48120"/>
    <n v="15062"/>
    <n v="5999.9786812116999"/>
    <n v="-1"/>
    <n v="-1"/>
    <n v="-1"/>
    <m/>
    <m/>
    <m/>
  </r>
  <r>
    <x v="36"/>
    <s v="MVPRP"/>
    <s v="C15"/>
    <s v="P9"/>
    <s v="V3"/>
    <x v="0"/>
    <x v="0"/>
    <s v="TIME_LIMIT"/>
    <n v="92408.284140776203"/>
    <n v="87666.412706197094"/>
    <n v="5.1314354320823201E-2"/>
    <n v="3600.0904128551501"/>
    <s v="[(2, 1, 132.0), (2, 2, 78.0), (3, 1, 132.0), (5, 1, 132.0), (5, 2, 125.0), (5, 3, 74.0), (6, 1, 132.0), (6, 2, 76.0), (7, 1, 132.0), (7, 2, 132.0), (8, 1, 132.0), (8, 2, 88.0)]"/>
    <n v="132"/>
    <m/>
    <n v="2"/>
    <n v="0.5"/>
    <n v="100"/>
    <n v="50"/>
    <n v="0"/>
    <n v="2"/>
    <s v="True"/>
    <n v="0.05"/>
    <n v="9000.0003701808491"/>
    <n v="40950"/>
    <n v="20876.998955999999"/>
    <n v="21581.284814595401"/>
    <n v="-1"/>
    <n v="-1"/>
    <n v="-1"/>
    <m/>
    <m/>
    <m/>
  </r>
  <r>
    <x v="37"/>
    <s v="MVPRP"/>
    <s v="C30"/>
    <s v="P9"/>
    <s v="V3"/>
    <x v="1"/>
    <x v="0"/>
    <s v="TIME_LIMIT"/>
    <n v="104459.89430034799"/>
    <n v="104043.301515139"/>
    <n v="3.9880643954279702E-3"/>
    <n v="3600.0950207710298"/>
    <s v="[(2, 1, 86.0), (3, 1, 179.0), (4, 1, 228.0), (5, 1, 228.0), (6, 1, 219.0), (6, 2, 223.0), (7, 1, 227.0), (7, 2, 99.0), (8, 1, 206.0), (8, 2, 226.0), (9, 1, 228.0), (9, 2, 108.0)]"/>
    <n v="228"/>
    <m/>
    <n v="2"/>
    <n v="0.5"/>
    <n v="100"/>
    <n v="50"/>
    <n v="0"/>
    <n v="2"/>
    <s v="True"/>
    <n v="0.05"/>
    <n v="12000"/>
    <n v="67710"/>
    <n v="16479"/>
    <n v="8270.8943003483691"/>
    <n v="-1"/>
    <n v="-1"/>
    <n v="-1"/>
    <m/>
    <m/>
    <m/>
  </r>
  <r>
    <x v="38"/>
    <s v="MVPRP"/>
    <s v="C10"/>
    <s v="P9"/>
    <s v="V3"/>
    <x v="1"/>
    <x v="0"/>
    <s v="OPTIMAL"/>
    <n v="48769.624497487697"/>
    <n v="48769.624497487697"/>
    <n v="0"/>
    <n v="14.7140622138977"/>
    <s v="[(2, 1, 119.0), (4, 1, 115.0), (5, 1, 37.0), (6, 1, 129.0), (6, 2, 59.0), (7, 1, 116.0), (8, 1, 129.00001526710815), (8, 2, 59.00000046520273), (9, 1, 115.99997549227372)]"/>
    <n v="132"/>
    <m/>
    <n v="2"/>
    <n v="0.5"/>
    <n v="100"/>
    <n v="50"/>
    <n v="0"/>
    <n v="2"/>
    <s v="True"/>
    <n v="0.05"/>
    <n v="9000"/>
    <n v="26370"/>
    <n v="9066.0000763355401"/>
    <n v="4333.6244211521898"/>
    <n v="-1"/>
    <n v="-1"/>
    <n v="-1"/>
    <m/>
    <m/>
    <m/>
  </r>
  <r>
    <x v="39"/>
    <s v="MVPRP"/>
    <s v="C30"/>
    <s v="P3"/>
    <s v="V3"/>
    <x v="1"/>
    <x v="0"/>
    <s v="OPTIMAL"/>
    <n v="27264.275367252099"/>
    <n v="27264.275367252099"/>
    <n v="0"/>
    <n v="178.18308544158899"/>
    <s v="[(1, 1, 172.0), (2, 1, 156.0), (3, 1, 228.0)]"/>
    <n v="228"/>
    <m/>
    <n v="2"/>
    <n v="0.5"/>
    <n v="100"/>
    <n v="50"/>
    <n v="0"/>
    <n v="2"/>
    <s v="True"/>
    <n v="0.05"/>
    <n v="3000"/>
    <n v="16680"/>
    <n v="5477"/>
    <n v="2107.2753672520998"/>
    <n v="-1"/>
    <n v="-1"/>
    <n v="-1"/>
    <m/>
    <m/>
    <m/>
  </r>
  <r>
    <x v="40"/>
    <s v="MVPRP"/>
    <s v="C10"/>
    <s v="P9"/>
    <s v="V3"/>
    <x v="0"/>
    <x v="0"/>
    <s v="OPTIMAL"/>
    <n v="61593.951320038199"/>
    <n v="61593.951320038199"/>
    <n v="0"/>
    <n v="118.246260643005"/>
    <s v="[(2, 1, 119.0), (3, 1, 132.0), (5, 1, 132.0), (5, 2, 132.0), (7, 1, 132.0), (7, 2, 114.0), (8, 1, 118.0)]"/>
    <n v="132"/>
    <m/>
    <n v="2"/>
    <n v="0.5"/>
    <n v="100"/>
    <n v="50"/>
    <n v="0"/>
    <n v="2"/>
    <s v="True"/>
    <n v="0.05"/>
    <n v="9000"/>
    <n v="26370"/>
    <n v="14133"/>
    <n v="12090.951320038201"/>
    <n v="-1"/>
    <n v="-1"/>
    <n v="-1"/>
    <m/>
    <m/>
    <m/>
  </r>
  <r>
    <x v="41"/>
    <s v="MVPRP"/>
    <s v="C25"/>
    <s v="P9"/>
    <s v="V3"/>
    <x v="0"/>
    <x v="0"/>
    <s v="TIME_LIMIT"/>
    <n v="121927.695490802"/>
    <n v="116243.58755247301"/>
    <n v="4.6618677696220703E-2"/>
    <n v="3600.0403726100899"/>
    <s v="[(2, 1, 183.0), (2, 2, 144.0), (4, 1, 71.0), (5, 1, 189.0), (5, 2, 138.0), (5, 3, 159.0), (6, 1, 189.0), (6, 2, 186.0), (7, 1, 189.0), (8, 1, 189.0), (8, 2, 170.0), (9, 1, 189.0)]"/>
    <n v="189"/>
    <m/>
    <n v="2"/>
    <n v="0.5"/>
    <n v="100"/>
    <n v="50"/>
    <n v="0"/>
    <n v="2"/>
    <s v="True"/>
    <n v="0.05"/>
    <n v="12000"/>
    <n v="59880"/>
    <n v="23270"/>
    <n v="26777.695490801601"/>
    <n v="-1"/>
    <n v="-1"/>
    <n v="-1"/>
    <m/>
    <m/>
    <m/>
  </r>
  <r>
    <x v="0"/>
    <s v="MVPRP"/>
    <s v="C15"/>
    <s v="P3"/>
    <s v="V3"/>
    <x v="0"/>
    <x v="1"/>
    <s v="OPTIMAL"/>
    <n v="30676"/>
    <n v="30676"/>
    <n v="0"/>
    <n v="23.045698881149299"/>
    <s v="[]"/>
    <n v="132"/>
    <m/>
    <n v="2"/>
    <n v="0.5"/>
    <n v="100"/>
    <n v="50"/>
    <n v="0"/>
    <n v="1"/>
    <s v="False"/>
    <n v="0"/>
    <n v="3000"/>
    <n v="9960"/>
    <n v="4874"/>
    <n v="12842"/>
    <n v="0"/>
    <n v="0"/>
    <n v="0"/>
    <n v="187"/>
    <n v="0"/>
    <n v="25"/>
  </r>
  <r>
    <x v="1"/>
    <s v="MVPRP"/>
    <s v="C30"/>
    <s v="P9"/>
    <s v="V3"/>
    <x v="0"/>
    <x v="1"/>
    <s v="TIME_LIMIT"/>
    <n v="154135"/>
    <n v="146428.66490523101"/>
    <n v="4.9997308169909799E-2"/>
    <n v="3600.0424265861502"/>
    <s v="[]"/>
    <n v="228"/>
    <m/>
    <n v="2"/>
    <n v="0.5"/>
    <n v="100"/>
    <n v="50"/>
    <n v="0"/>
    <n v="1"/>
    <s v="False"/>
    <n v="0"/>
    <n v="12000"/>
    <n v="67710"/>
    <n v="24957"/>
    <n v="49468"/>
    <n v="0"/>
    <n v="0"/>
    <n v="0"/>
    <n v="3719"/>
    <n v="0"/>
    <n v="382"/>
  </r>
  <r>
    <x v="3"/>
    <s v="MVPRP"/>
    <s v="C40"/>
    <s v="P3"/>
    <s v="V3"/>
    <x v="0"/>
    <x v="1"/>
    <s v="OPTIMAL"/>
    <n v="61830"/>
    <n v="61827.609761093801"/>
    <n v="3.8658238819792197E-5"/>
    <n v="2714.9084372520401"/>
    <s v="[]"/>
    <n v="360"/>
    <m/>
    <n v="2"/>
    <n v="0.5"/>
    <n v="100"/>
    <n v="50"/>
    <n v="0"/>
    <n v="1"/>
    <s v="False"/>
    <n v="0"/>
    <n v="3000"/>
    <n v="27660"/>
    <n v="12624"/>
    <n v="18546"/>
    <n v="0"/>
    <n v="0"/>
    <n v="0"/>
    <n v="925"/>
    <n v="0"/>
    <n v="122"/>
  </r>
  <r>
    <x v="7"/>
    <s v="MVPRP"/>
    <s v="C45"/>
    <s v="P3"/>
    <s v="V3"/>
    <x v="0"/>
    <x v="1"/>
    <s v="OPTIMAL"/>
    <n v="70029"/>
    <n v="70029"/>
    <n v="0"/>
    <n v="1626.2620828151701"/>
    <s v="[]"/>
    <n v="360"/>
    <m/>
    <n v="2"/>
    <n v="0.5"/>
    <n v="100"/>
    <n v="50"/>
    <n v="0"/>
    <n v="1"/>
    <s v="False"/>
    <n v="0"/>
    <n v="3000"/>
    <n v="33060"/>
    <n v="14204"/>
    <n v="19765"/>
    <n v="0"/>
    <n v="0"/>
    <n v="0"/>
    <n v="708"/>
    <n v="0"/>
    <n v="107"/>
  </r>
  <r>
    <x v="9"/>
    <s v="MVPRP"/>
    <s v="C35"/>
    <s v="P3"/>
    <s v="V3"/>
    <x v="0"/>
    <x v="1"/>
    <s v="OPTIMAL"/>
    <n v="49960"/>
    <n v="49958.861801242201"/>
    <n v="2.2782200915835899E-5"/>
    <n v="111.026981592178"/>
    <s v="[]"/>
    <n v="276"/>
    <m/>
    <n v="2"/>
    <n v="0.5"/>
    <n v="100"/>
    <n v="50"/>
    <n v="0"/>
    <n v="1"/>
    <s v="False"/>
    <n v="0"/>
    <n v="3000"/>
    <n v="21600"/>
    <n v="8870"/>
    <n v="16490"/>
    <n v="0"/>
    <n v="0"/>
    <n v="0"/>
    <n v="271"/>
    <n v="0"/>
    <n v="73"/>
  </r>
  <r>
    <x v="11"/>
    <s v="MVPRP"/>
    <s v="C10"/>
    <s v="P3"/>
    <s v="V3"/>
    <x v="0"/>
    <x v="1"/>
    <s v="OPTIMAL"/>
    <n v="20750"/>
    <n v="20750"/>
    <n v="0"/>
    <n v="1.7461397647857699"/>
    <s v="[]"/>
    <n v="132"/>
    <m/>
    <n v="2"/>
    <n v="0.5"/>
    <n v="100"/>
    <n v="50"/>
    <n v="0"/>
    <n v="1"/>
    <s v="False"/>
    <n v="0"/>
    <n v="3000"/>
    <n v="6390"/>
    <n v="3082"/>
    <n v="8278"/>
    <n v="0"/>
    <n v="0"/>
    <n v="0"/>
    <n v="25"/>
    <n v="0"/>
    <n v="3"/>
  </r>
  <r>
    <x v="12"/>
    <s v="MVPRP"/>
    <s v="C30"/>
    <s v="P3"/>
    <s v="V3"/>
    <x v="0"/>
    <x v="1"/>
    <s v="OPTIMAL"/>
    <n v="41464"/>
    <n v="41464"/>
    <n v="0"/>
    <n v="12.4477450847626"/>
    <s v="[]"/>
    <n v="228"/>
    <m/>
    <n v="2"/>
    <n v="0.5"/>
    <n v="100"/>
    <n v="50"/>
    <n v="0"/>
    <n v="1"/>
    <s v="False"/>
    <n v="0"/>
    <n v="3000"/>
    <n v="16680"/>
    <n v="6562"/>
    <n v="15222"/>
    <n v="0"/>
    <n v="0"/>
    <n v="0"/>
    <n v="276"/>
    <n v="0"/>
    <n v="37"/>
  </r>
  <r>
    <x v="13"/>
    <s v="MVPRP"/>
    <s v="C20"/>
    <s v="P3"/>
    <s v="V3"/>
    <x v="0"/>
    <x v="1"/>
    <s v="OPTIMAL"/>
    <n v="33151"/>
    <n v="33151"/>
    <n v="0"/>
    <n v="16.105900287628199"/>
    <s v="[]"/>
    <n v="189"/>
    <m/>
    <n v="2"/>
    <n v="0.5"/>
    <n v="100"/>
    <n v="50"/>
    <n v="0"/>
    <n v="1"/>
    <s v="False"/>
    <n v="0"/>
    <n v="3000"/>
    <n v="12030"/>
    <n v="5961"/>
    <n v="12160"/>
    <n v="0"/>
    <n v="0"/>
    <n v="0"/>
    <n v="133"/>
    <n v="0"/>
    <n v="19"/>
  </r>
  <r>
    <x v="14"/>
    <s v="MVPRP"/>
    <s v="C35"/>
    <s v="P6"/>
    <s v="V3"/>
    <x v="0"/>
    <x v="1"/>
    <s v="TIME_LIMIT"/>
    <n v="99886"/>
    <n v="98851.925147300106"/>
    <n v="1.03525504344943E-2"/>
    <n v="3601.8449048995999"/>
    <s v="[]"/>
    <n v="276"/>
    <m/>
    <n v="2"/>
    <n v="0.5"/>
    <n v="100"/>
    <n v="50"/>
    <n v="0"/>
    <n v="1"/>
    <s v="False"/>
    <n v="0"/>
    <n v="6000"/>
    <n v="42900"/>
    <n v="22352"/>
    <n v="28634"/>
    <n v="0"/>
    <n v="0"/>
    <n v="0"/>
    <n v="1326"/>
    <n v="0"/>
    <n v="221"/>
  </r>
  <r>
    <x v="15"/>
    <s v="MVPRP"/>
    <s v="C25"/>
    <s v="P6"/>
    <s v="V3"/>
    <x v="0"/>
    <x v="1"/>
    <s v="TIME_LIMIT"/>
    <n v="76711.999283793804"/>
    <n v="76416.527816995702"/>
    <n v="3.8516981639992801E-3"/>
    <n v="3600.0264861583701"/>
    <s v="[]"/>
    <n v="189"/>
    <m/>
    <n v="2"/>
    <n v="0.5"/>
    <n v="100"/>
    <n v="50"/>
    <n v="0"/>
    <n v="1"/>
    <s v="False"/>
    <n v="0"/>
    <n v="6000"/>
    <n v="28379.999999990301"/>
    <n v="19686.999970307599"/>
    <n v="22644.9993134959"/>
    <n v="0"/>
    <n v="0"/>
    <n v="0"/>
    <n v="1021"/>
    <n v="0"/>
    <n v="91"/>
  </r>
  <r>
    <x v="16"/>
    <s v="MVPRP"/>
    <s v="C15"/>
    <s v="P6"/>
    <s v="V3"/>
    <x v="0"/>
    <x v="1"/>
    <s v="OPTIMAL"/>
    <n v="60686.999585325299"/>
    <n v="60686.999585325299"/>
    <n v="0"/>
    <n v="867.94262433052097"/>
    <s v="[]"/>
    <n v="132"/>
    <m/>
    <n v="2"/>
    <n v="0.5"/>
    <n v="100"/>
    <n v="50"/>
    <n v="0"/>
    <n v="1"/>
    <s v="False"/>
    <n v="0"/>
    <n v="6000"/>
    <n v="19800"/>
    <n v="12042.0007707271"/>
    <n v="22844.998812239399"/>
    <n v="0"/>
    <n v="0"/>
    <n v="0"/>
    <n v="604"/>
    <n v="0"/>
    <n v="26"/>
  </r>
  <r>
    <x v="17"/>
    <s v="MVPRP"/>
    <s v="C50"/>
    <s v="P3"/>
    <s v="V3"/>
    <x v="0"/>
    <x v="1"/>
    <s v="TIME_LIMIT"/>
    <n v="65560"/>
    <n v="65319.653853376803"/>
    <n v="3.6660486062108301E-3"/>
    <n v="3602.6810309886901"/>
    <s v="[]"/>
    <n v="360"/>
    <m/>
    <n v="2"/>
    <n v="0.5"/>
    <n v="100"/>
    <n v="50"/>
    <n v="0"/>
    <n v="1"/>
    <s v="False"/>
    <n v="0"/>
    <n v="3000"/>
    <n v="29580"/>
    <n v="12059"/>
    <n v="20921"/>
    <n v="0"/>
    <n v="0"/>
    <n v="0"/>
    <n v="1523"/>
    <n v="0"/>
    <n v="171"/>
  </r>
  <r>
    <x v="18"/>
    <s v="MVPRP"/>
    <s v="C30"/>
    <s v="P6"/>
    <s v="V3"/>
    <x v="0"/>
    <x v="1"/>
    <s v="TIME_LIMIT"/>
    <n v="82749"/>
    <n v="82465.450241958504"/>
    <n v="3.4266245881103001E-3"/>
    <n v="3600.7795357704199"/>
    <s v="[]"/>
    <n v="228"/>
    <m/>
    <n v="2"/>
    <n v="0.5"/>
    <n v="100"/>
    <n v="50"/>
    <n v="0"/>
    <n v="1"/>
    <s v="False"/>
    <n v="0"/>
    <n v="6000"/>
    <n v="33150"/>
    <n v="17740"/>
    <n v="25859"/>
    <n v="0"/>
    <n v="0"/>
    <n v="0"/>
    <n v="1316"/>
    <n v="0"/>
    <n v="130"/>
  </r>
  <r>
    <x v="25"/>
    <s v="MVPRP"/>
    <s v="C10"/>
    <s v="P6"/>
    <s v="V3"/>
    <x v="0"/>
    <x v="1"/>
    <s v="OPTIMAL"/>
    <n v="42067.999985979397"/>
    <n v="42067.999985979397"/>
    <n v="0"/>
    <n v="11.096104145050001"/>
    <s v="[]"/>
    <n v="132"/>
    <m/>
    <n v="2"/>
    <n v="0.5"/>
    <n v="100"/>
    <n v="50"/>
    <n v="0"/>
    <n v="1"/>
    <s v="False"/>
    <n v="0"/>
    <n v="6000"/>
    <n v="12690"/>
    <n v="8493"/>
    <n v="14884.999985979401"/>
    <n v="0"/>
    <n v="0"/>
    <n v="0"/>
    <n v="96"/>
    <n v="0"/>
    <n v="12"/>
  </r>
  <r>
    <x v="29"/>
    <s v="MVPRP"/>
    <s v="C25"/>
    <s v="P3"/>
    <s v="V3"/>
    <x v="0"/>
    <x v="1"/>
    <s v="OPTIMAL"/>
    <n v="38054"/>
    <n v="38054"/>
    <n v="0"/>
    <n v="28.681736707687399"/>
    <s v="[]"/>
    <n v="189"/>
    <m/>
    <n v="2"/>
    <n v="0.5"/>
    <n v="100"/>
    <n v="50"/>
    <n v="0"/>
    <n v="1"/>
    <s v="False"/>
    <n v="0"/>
    <n v="3000"/>
    <n v="14340"/>
    <n v="7653"/>
    <n v="13061"/>
    <n v="0"/>
    <n v="0"/>
    <n v="0"/>
    <n v="183"/>
    <n v="0"/>
    <n v="39"/>
  </r>
  <r>
    <x v="32"/>
    <s v="MVPRP"/>
    <s v="C20"/>
    <s v="P6"/>
    <s v="V3"/>
    <x v="0"/>
    <x v="1"/>
    <s v="OPTIMAL"/>
    <n v="66288.999920291695"/>
    <n v="66288.999920291695"/>
    <n v="0"/>
    <n v="2472.0361132621802"/>
    <s v="[]"/>
    <n v="189"/>
    <m/>
    <n v="2"/>
    <n v="0.5"/>
    <n v="100"/>
    <n v="50"/>
    <n v="0"/>
    <n v="1"/>
    <s v="False"/>
    <n v="0"/>
    <n v="6000"/>
    <n v="23819.999967546901"/>
    <n v="15462.9999525648"/>
    <n v="21006"/>
    <n v="0"/>
    <n v="0"/>
    <n v="0"/>
    <n v="901"/>
    <n v="0"/>
    <n v="56"/>
  </r>
  <r>
    <x v="33"/>
    <s v="MVPRP"/>
    <s v="C20"/>
    <s v="P9"/>
    <s v="V3"/>
    <x v="0"/>
    <x v="1"/>
    <s v="TIME_LIMIT"/>
    <n v="116181.999595663"/>
    <n v="115809.362405917"/>
    <n v="3.2073573448852099E-3"/>
    <n v="3600.1263711452498"/>
    <s v="[]"/>
    <n v="189"/>
    <m/>
    <n v="2"/>
    <n v="0.5"/>
    <n v="100"/>
    <n v="50"/>
    <n v="0"/>
    <n v="1"/>
    <s v="False"/>
    <n v="0"/>
    <n v="9000"/>
    <n v="48119.9997550021"/>
    <n v="21360.9998407245"/>
    <n v="37701"/>
    <n v="0"/>
    <n v="0"/>
    <n v="0"/>
    <n v="1115"/>
    <n v="0"/>
    <n v="77"/>
  </r>
  <r>
    <x v="34"/>
    <s v="MVPRP"/>
    <s v="C40"/>
    <s v="P6"/>
    <s v="V3"/>
    <x v="0"/>
    <x v="1"/>
    <s v="TIME_LIMIT"/>
    <n v="126608"/>
    <n v="121582.536354082"/>
    <n v="3.9693097165408898E-2"/>
    <n v="3605.21713376045"/>
    <s v="[]"/>
    <n v="360"/>
    <m/>
    <n v="2"/>
    <n v="0.5"/>
    <n v="100"/>
    <n v="50"/>
    <n v="0"/>
    <n v="1"/>
    <s v="False"/>
    <n v="0"/>
    <n v="6000"/>
    <n v="55170"/>
    <n v="30041"/>
    <n v="35397"/>
    <n v="0"/>
    <n v="0"/>
    <n v="0"/>
    <n v="2057"/>
    <n v="0"/>
    <n v="789"/>
  </r>
  <r>
    <x v="36"/>
    <s v="MVPRP"/>
    <s v="C15"/>
    <s v="P9"/>
    <s v="V3"/>
    <x v="0"/>
    <x v="1"/>
    <s v="TIME_LIMIT"/>
    <n v="109246"/>
    <n v="108534.871643727"/>
    <n v="6.5094223703681797E-3"/>
    <n v="3600.0643427372001"/>
    <s v="[]"/>
    <n v="132"/>
    <m/>
    <n v="2"/>
    <n v="0.5"/>
    <n v="100"/>
    <n v="50"/>
    <n v="0"/>
    <n v="1"/>
    <s v="False"/>
    <n v="0"/>
    <n v="9000"/>
    <n v="40950"/>
    <n v="22165"/>
    <n v="37131"/>
    <n v="0"/>
    <n v="0"/>
    <n v="0"/>
    <n v="1045"/>
    <n v="0"/>
    <n v="30"/>
  </r>
  <r>
    <x v="40"/>
    <s v="MVPRP"/>
    <s v="C10"/>
    <s v="P9"/>
    <s v="V3"/>
    <x v="0"/>
    <x v="1"/>
    <s v="OPTIMAL"/>
    <n v="72847.999958617205"/>
    <n v="72847.999958617205"/>
    <n v="0"/>
    <n v="22.308111429214499"/>
    <s v="[]"/>
    <n v="132"/>
    <m/>
    <n v="2"/>
    <n v="0.5"/>
    <n v="100"/>
    <n v="50"/>
    <n v="0"/>
    <n v="1"/>
    <s v="False"/>
    <n v="0"/>
    <n v="9000"/>
    <n v="26370"/>
    <n v="14132.9999374242"/>
    <n v="23345.000021192998"/>
    <n v="0"/>
    <n v="0"/>
    <n v="0"/>
    <n v="128"/>
    <n v="0"/>
    <n v="10"/>
  </r>
  <r>
    <x v="41"/>
    <s v="MVPRP"/>
    <s v="C25"/>
    <s v="P9"/>
    <s v="V3"/>
    <x v="0"/>
    <x v="1"/>
    <s v="TIME_LIMIT"/>
    <n v="140566"/>
    <n v="137113.438898578"/>
    <n v="2.4561850671019299E-2"/>
    <n v="3600.6079318523398"/>
    <s v="[]"/>
    <n v="189"/>
    <m/>
    <n v="2"/>
    <n v="0.5"/>
    <n v="100"/>
    <n v="50"/>
    <n v="0"/>
    <n v="1"/>
    <s v="False"/>
    <n v="0"/>
    <n v="12000"/>
    <n v="59880"/>
    <n v="25707"/>
    <n v="42979"/>
    <n v="0"/>
    <n v="0"/>
    <n v="0"/>
    <n v="2812"/>
    <n v="0"/>
    <n v="96"/>
  </r>
  <r>
    <x v="2"/>
    <s v="MVPRP"/>
    <s v="C15"/>
    <s v="P9"/>
    <s v="V3"/>
    <x v="1"/>
    <x v="1"/>
    <s v="TIME_LIMIT"/>
    <n v="75988"/>
    <n v="75255.136008802001"/>
    <n v="9.64447006366774E-3"/>
    <n v="3601.1645689010602"/>
    <s v="[]"/>
    <n v="132"/>
    <m/>
    <n v="2"/>
    <n v="0.5"/>
    <n v="100"/>
    <n v="50"/>
    <n v="0"/>
    <n v="1"/>
    <s v="False"/>
    <n v="0"/>
    <n v="9000"/>
    <n v="40950"/>
    <n v="14725"/>
    <n v="11313"/>
    <n v="0"/>
    <n v="0"/>
    <n v="0"/>
    <n v="1613"/>
    <n v="0"/>
    <n v="49"/>
  </r>
  <r>
    <x v="4"/>
    <s v="MVPRP"/>
    <s v="C40"/>
    <s v="P3"/>
    <s v="V3"/>
    <x v="1"/>
    <x v="1"/>
    <s v="OPTIMAL"/>
    <n v="44822"/>
    <n v="44822"/>
    <n v="0"/>
    <n v="107.950572729111"/>
    <s v="[]"/>
    <n v="360"/>
    <m/>
    <n v="2"/>
    <n v="0.5"/>
    <n v="100"/>
    <n v="50"/>
    <n v="0"/>
    <n v="1"/>
    <s v="False"/>
    <n v="0"/>
    <n v="6000"/>
    <n v="27660"/>
    <n v="5480"/>
    <n v="5682"/>
    <n v="0"/>
    <n v="0"/>
    <n v="0"/>
    <n v="324"/>
    <n v="0"/>
    <n v="82"/>
  </r>
  <r>
    <x v="5"/>
    <s v="MVPRP"/>
    <s v="C20"/>
    <s v="P6"/>
    <s v="V3"/>
    <x v="1"/>
    <x v="1"/>
    <s v="OPTIMAL"/>
    <n v="48181"/>
    <n v="48181"/>
    <n v="0"/>
    <n v="27.982041597366301"/>
    <s v="[]"/>
    <n v="189"/>
    <m/>
    <n v="2"/>
    <n v="0.5"/>
    <n v="100"/>
    <n v="50"/>
    <n v="0"/>
    <n v="1"/>
    <s v="False"/>
    <n v="0"/>
    <n v="6000"/>
    <n v="23820"/>
    <n v="12552"/>
    <n v="5809"/>
    <n v="0"/>
    <n v="0"/>
    <n v="0"/>
    <n v="201"/>
    <n v="0"/>
    <n v="52"/>
  </r>
  <r>
    <x v="6"/>
    <s v="MVPRP"/>
    <s v="C10"/>
    <s v="P3"/>
    <s v="V3"/>
    <x v="1"/>
    <x v="1"/>
    <s v="OPTIMAL"/>
    <n v="14236"/>
    <n v="14236"/>
    <n v="0"/>
    <n v="2.5246286392211901"/>
    <s v="[]"/>
    <n v="132"/>
    <m/>
    <n v="2"/>
    <n v="0.5"/>
    <n v="100"/>
    <n v="50"/>
    <n v="0"/>
    <n v="1"/>
    <s v="False"/>
    <n v="0"/>
    <n v="3000"/>
    <n v="6390"/>
    <n v="2845"/>
    <n v="2001"/>
    <n v="0"/>
    <n v="0"/>
    <n v="0"/>
    <n v="39"/>
    <n v="0"/>
    <n v="9"/>
  </r>
  <r>
    <x v="8"/>
    <s v="MVPRP"/>
    <s v="C20"/>
    <s v="P3"/>
    <s v="V3"/>
    <x v="1"/>
    <x v="1"/>
    <s v="OPTIMAL"/>
    <n v="22675"/>
    <n v="22675"/>
    <n v="0"/>
    <n v="7.94667267799377"/>
    <s v="[]"/>
    <n v="189"/>
    <m/>
    <n v="2"/>
    <n v="0.5"/>
    <n v="100"/>
    <n v="50"/>
    <n v="0"/>
    <n v="1"/>
    <s v="False"/>
    <n v="0"/>
    <n v="3000"/>
    <n v="12030"/>
    <n v="4455"/>
    <n v="3190"/>
    <n v="0"/>
    <n v="0"/>
    <n v="0"/>
    <n v="154"/>
    <n v="0"/>
    <n v="33"/>
  </r>
  <r>
    <x v="10"/>
    <s v="MVPRP"/>
    <s v="C40"/>
    <s v="P6"/>
    <s v="V3"/>
    <x v="1"/>
    <x v="1"/>
    <s v="TIME_LIMIT"/>
    <n v="96993"/>
    <n v="96752.303220362606"/>
    <n v="2.4815891831102099E-3"/>
    <n v="3601.67462682724"/>
    <s v="[]"/>
    <n v="360"/>
    <m/>
    <n v="2"/>
    <n v="0.5"/>
    <n v="100"/>
    <n v="50"/>
    <n v="0"/>
    <n v="1"/>
    <s v="False"/>
    <n v="0"/>
    <n v="6000"/>
    <n v="55170"/>
    <n v="26811"/>
    <n v="9012"/>
    <n v="0"/>
    <n v="0"/>
    <n v="0"/>
    <n v="843"/>
    <n v="0"/>
    <n v="2681"/>
  </r>
  <r>
    <x v="19"/>
    <s v="MVPRP"/>
    <s v="C45"/>
    <s v="P3"/>
    <s v="V3"/>
    <x v="1"/>
    <x v="1"/>
    <s v="OPTIMAL"/>
    <n v="50846"/>
    <n v="50846"/>
    <n v="0"/>
    <n v="68.337500810623197"/>
    <s v="[]"/>
    <n v="360"/>
    <m/>
    <n v="2"/>
    <n v="0.5"/>
    <n v="100"/>
    <n v="50"/>
    <n v="0"/>
    <n v="1"/>
    <s v="False"/>
    <n v="0"/>
    <n v="6000"/>
    <n v="33060"/>
    <n v="5021"/>
    <n v="6765"/>
    <n v="0"/>
    <n v="0"/>
    <n v="0"/>
    <n v="296"/>
    <n v="0"/>
    <n v="181"/>
  </r>
  <r>
    <x v="20"/>
    <s v="MVPRP"/>
    <s v="C25"/>
    <s v="P6"/>
    <s v="V3"/>
    <x v="1"/>
    <x v="1"/>
    <s v="OPTIMAL"/>
    <n v="57677"/>
    <n v="57671.304179105799"/>
    <n v="9.8753764832643705E-5"/>
    <n v="189.830693244934"/>
    <s v="[]"/>
    <n v="189"/>
    <m/>
    <n v="2"/>
    <n v="0.5"/>
    <n v="100"/>
    <n v="50"/>
    <n v="0"/>
    <n v="1"/>
    <s v="False"/>
    <n v="0"/>
    <n v="6000"/>
    <n v="28380"/>
    <n v="17248"/>
    <n v="6049"/>
    <n v="0"/>
    <n v="0"/>
    <n v="0"/>
    <n v="465"/>
    <n v="0"/>
    <n v="96"/>
  </r>
  <r>
    <x v="21"/>
    <s v="MVPRP"/>
    <s v="C35"/>
    <s v="P6"/>
    <s v="V3"/>
    <x v="1"/>
    <x v="1"/>
    <s v="TIME_LIMIT"/>
    <n v="75538.9998224054"/>
    <n v="75433.2378964089"/>
    <n v="1.40009698625977E-3"/>
    <n v="3601.5368080139201"/>
    <s v="[]"/>
    <n v="276"/>
    <m/>
    <n v="2"/>
    <n v="0.5"/>
    <n v="100"/>
    <n v="50"/>
    <n v="0"/>
    <n v="1"/>
    <s v="False"/>
    <n v="0"/>
    <n v="6000"/>
    <n v="42900"/>
    <n v="18867.999802736598"/>
    <n v="7771.0000196688097"/>
    <n v="0"/>
    <n v="0"/>
    <n v="0"/>
    <n v="1284"/>
    <n v="0"/>
    <n v="160"/>
  </r>
  <r>
    <x v="22"/>
    <s v="MVPRP"/>
    <s v="C25"/>
    <s v="P3"/>
    <s v="V3"/>
    <x v="1"/>
    <x v="1"/>
    <s v="OPTIMAL"/>
    <n v="26569"/>
    <n v="26569"/>
    <n v="0"/>
    <n v="15.451955080032301"/>
    <s v="[]"/>
    <n v="189"/>
    <m/>
    <n v="2"/>
    <n v="0.5"/>
    <n v="100"/>
    <n v="50"/>
    <n v="0"/>
    <n v="1"/>
    <s v="False"/>
    <n v="0"/>
    <n v="3000"/>
    <n v="14340"/>
    <n v="5405"/>
    <n v="3824"/>
    <n v="0"/>
    <n v="0"/>
    <n v="0"/>
    <n v="307"/>
    <n v="0"/>
    <n v="48"/>
  </r>
  <r>
    <x v="23"/>
    <s v="MVPRP"/>
    <s v="C10"/>
    <s v="P6"/>
    <s v="V3"/>
    <x v="1"/>
    <x v="1"/>
    <s v="OPTIMAL"/>
    <n v="30297"/>
    <n v="30297"/>
    <n v="0"/>
    <n v="6.7486011981964102"/>
    <s v="[]"/>
    <n v="132"/>
    <m/>
    <n v="2"/>
    <n v="0.5"/>
    <n v="100"/>
    <n v="50"/>
    <n v="0"/>
    <n v="1"/>
    <s v="False"/>
    <n v="0"/>
    <n v="6000"/>
    <n v="12690"/>
    <n v="8103"/>
    <n v="3504"/>
    <n v="0"/>
    <n v="0"/>
    <n v="0"/>
    <n v="81"/>
    <n v="0"/>
    <n v="11"/>
  </r>
  <r>
    <x v="24"/>
    <s v="MVPRP"/>
    <s v="C35"/>
    <s v="P3"/>
    <s v="V3"/>
    <x v="1"/>
    <x v="1"/>
    <s v="OPTIMAL"/>
    <n v="35803"/>
    <n v="35803"/>
    <n v="0"/>
    <n v="26.064972877502399"/>
    <s v="[]"/>
    <n v="276"/>
    <m/>
    <n v="2"/>
    <n v="0.5"/>
    <n v="100"/>
    <n v="50"/>
    <n v="0"/>
    <n v="1"/>
    <s v="False"/>
    <n v="0"/>
    <n v="3000"/>
    <n v="21600"/>
    <n v="6964"/>
    <n v="4239"/>
    <n v="0"/>
    <n v="0"/>
    <n v="0"/>
    <n v="271"/>
    <n v="0"/>
    <n v="61"/>
  </r>
  <r>
    <x v="26"/>
    <s v="MVPRP"/>
    <s v="C50"/>
    <s v="P3"/>
    <s v="V3"/>
    <x v="1"/>
    <x v="1"/>
    <s v="OPTIMAL"/>
    <n v="47126"/>
    <n v="47126"/>
    <n v="0"/>
    <n v="169.300560951233"/>
    <s v="[]"/>
    <n v="360"/>
    <m/>
    <n v="2"/>
    <n v="0.5"/>
    <n v="100"/>
    <n v="50"/>
    <n v="0"/>
    <n v="1"/>
    <s v="False"/>
    <n v="0"/>
    <n v="6000"/>
    <n v="29580"/>
    <n v="4839"/>
    <n v="6707"/>
    <n v="0"/>
    <n v="0"/>
    <n v="0"/>
    <n v="374"/>
    <n v="0"/>
    <n v="192"/>
  </r>
  <r>
    <x v="27"/>
    <s v="MVPRP"/>
    <s v="C30"/>
    <s v="P6"/>
    <s v="V3"/>
    <x v="1"/>
    <x v="1"/>
    <s v="OPTIMAL"/>
    <n v="61786.999969999997"/>
    <n v="61782.695040581501"/>
    <n v="6.96737083947566E-5"/>
    <n v="1727.2135601043699"/>
    <s v="[]"/>
    <n v="228"/>
    <m/>
    <n v="2"/>
    <n v="0.5"/>
    <n v="100"/>
    <n v="50"/>
    <n v="0"/>
    <n v="1"/>
    <s v="False"/>
    <n v="0"/>
    <n v="6000"/>
    <n v="33150"/>
    <n v="16439.999970000001"/>
    <n v="6197"/>
    <n v="0"/>
    <n v="0"/>
    <n v="0"/>
    <n v="748"/>
    <n v="0"/>
    <n v="129"/>
  </r>
  <r>
    <x v="28"/>
    <s v="MVPRP"/>
    <s v="C25"/>
    <s v="P9"/>
    <s v="V3"/>
    <x v="1"/>
    <x v="1"/>
    <s v="TIME_LIMIT"/>
    <n v="101897.9996581"/>
    <n v="101701.50339873599"/>
    <n v="1.9283622840831501E-3"/>
    <n v="3603.4120757579799"/>
    <s v="[]"/>
    <n v="189"/>
    <m/>
    <n v="2"/>
    <n v="0.5"/>
    <n v="100"/>
    <n v="50"/>
    <n v="0"/>
    <n v="1"/>
    <s v="False"/>
    <n v="0"/>
    <n v="9000"/>
    <n v="59879.999969712801"/>
    <n v="20857.000013471701"/>
    <n v="12160.9996749288"/>
    <n v="0"/>
    <n v="0"/>
    <n v="0"/>
    <n v="1519"/>
    <n v="0"/>
    <n v="93"/>
  </r>
  <r>
    <x v="30"/>
    <s v="MVPRP"/>
    <s v="C15"/>
    <s v="P6"/>
    <s v="V3"/>
    <x v="1"/>
    <x v="1"/>
    <s v="OPTIMAL"/>
    <n v="42791"/>
    <n v="42786.818181818198"/>
    <n v="9.7726582268017797E-5"/>
    <n v="581.02645182609604"/>
    <s v="[]"/>
    <n v="132"/>
    <m/>
    <n v="2"/>
    <n v="0.5"/>
    <n v="100"/>
    <n v="50"/>
    <n v="0"/>
    <n v="1"/>
    <s v="False"/>
    <n v="0"/>
    <n v="6000"/>
    <n v="19800"/>
    <n v="11100"/>
    <n v="5891"/>
    <n v="0"/>
    <n v="0"/>
    <n v="0"/>
    <n v="525"/>
    <n v="0"/>
    <n v="38"/>
  </r>
  <r>
    <x v="31"/>
    <s v="MVPRP"/>
    <s v="C15"/>
    <s v="P3"/>
    <s v="V3"/>
    <x v="1"/>
    <x v="1"/>
    <s v="OPTIMAL"/>
    <n v="19989"/>
    <n v="19989"/>
    <n v="0"/>
    <n v="7.2398519515991202"/>
    <s v="[]"/>
    <n v="132"/>
    <m/>
    <n v="2"/>
    <n v="0.5"/>
    <n v="100"/>
    <n v="50"/>
    <n v="0"/>
    <n v="1"/>
    <s v="False"/>
    <n v="0"/>
    <n v="3000"/>
    <n v="9960"/>
    <n v="3694"/>
    <n v="3335"/>
    <n v="0"/>
    <n v="0"/>
    <n v="0"/>
    <n v="199"/>
    <n v="0"/>
    <n v="25"/>
  </r>
  <r>
    <x v="35"/>
    <s v="MVPRP"/>
    <s v="C20"/>
    <s v="P9"/>
    <s v="V3"/>
    <x v="1"/>
    <x v="1"/>
    <s v="OPTIMAL"/>
    <n v="83684.999949504898"/>
    <n v="83678.781075164996"/>
    <n v="7.4312891721312597E-5"/>
    <n v="1338.0379493236501"/>
    <s v="[]"/>
    <n v="189"/>
    <m/>
    <n v="2"/>
    <n v="0.5"/>
    <n v="100"/>
    <n v="50"/>
    <n v="0"/>
    <n v="1"/>
    <s v="False"/>
    <n v="0"/>
    <n v="9000"/>
    <n v="48119.999970629702"/>
    <n v="15204.9999789342"/>
    <n v="11360"/>
    <n v="0"/>
    <n v="0"/>
    <n v="0"/>
    <n v="780"/>
    <n v="0"/>
    <n v="72"/>
  </r>
  <r>
    <x v="37"/>
    <s v="MVPRP"/>
    <s v="C30"/>
    <s v="P9"/>
    <s v="V3"/>
    <x v="1"/>
    <x v="1"/>
    <s v="TIME_LIMIT"/>
    <n v="111231"/>
    <n v="110668.141916063"/>
    <n v="5.06026273194677E-3"/>
    <n v="3601.7885897159599"/>
    <s v="[]"/>
    <n v="228"/>
    <m/>
    <n v="2"/>
    <n v="0.5"/>
    <n v="100"/>
    <n v="50"/>
    <n v="0"/>
    <n v="1"/>
    <s v="False"/>
    <n v="0"/>
    <n v="12000"/>
    <n v="67710"/>
    <n v="19116"/>
    <n v="12405"/>
    <n v="0"/>
    <n v="0"/>
    <n v="0"/>
    <n v="2662"/>
    <n v="0"/>
    <n v="323"/>
  </r>
  <r>
    <x v="38"/>
    <s v="MVPRP"/>
    <s v="C10"/>
    <s v="P9"/>
    <s v="V3"/>
    <x v="1"/>
    <x v="1"/>
    <s v="OPTIMAL"/>
    <n v="52638.999136016602"/>
    <n v="52635.5040288241"/>
    <n v="6.6397675675101896E-5"/>
    <n v="249.137942075729"/>
    <s v="[]"/>
    <n v="132"/>
    <m/>
    <n v="2"/>
    <n v="0.5"/>
    <n v="100"/>
    <n v="50"/>
    <n v="0"/>
    <n v="1"/>
    <s v="False"/>
    <n v="0"/>
    <n v="9000"/>
    <n v="26370"/>
    <n v="9789.99983192531"/>
    <n v="7478.9993066233401"/>
    <n v="0"/>
    <n v="0"/>
    <n v="0"/>
    <n v="191"/>
    <n v="0"/>
    <n v="12"/>
  </r>
  <r>
    <x v="39"/>
    <s v="MVPRP"/>
    <s v="C30"/>
    <s v="P3"/>
    <s v="V3"/>
    <x v="1"/>
    <x v="1"/>
    <s v="OPTIMAL"/>
    <n v="29172"/>
    <n v="29172"/>
    <n v="0"/>
    <n v="15.691298961639401"/>
    <s v="[]"/>
    <n v="228"/>
    <m/>
    <n v="2"/>
    <n v="0.5"/>
    <n v="100"/>
    <n v="50"/>
    <n v="0"/>
    <n v="1"/>
    <s v="False"/>
    <n v="0"/>
    <n v="3000"/>
    <n v="16680"/>
    <n v="5721"/>
    <n v="3771"/>
    <n v="0"/>
    <n v="0"/>
    <n v="0"/>
    <n v="288"/>
    <n v="0"/>
    <n v="64"/>
  </r>
  <r>
    <x v="0"/>
    <s v="MVPRP"/>
    <s v="C15"/>
    <s v="P3"/>
    <s v="V3"/>
    <x v="0"/>
    <x v="2"/>
    <s v="OPTIMAL"/>
    <n v="24162.859640039998"/>
    <n v="24162.859640039998"/>
    <n v="0"/>
    <n v="6.2053918838500997E-2"/>
    <s v="[]"/>
    <n v="132"/>
    <m/>
    <n v="2"/>
    <n v="0.5"/>
    <n v="100"/>
    <n v="50"/>
    <n v="0"/>
    <n v="2"/>
    <s v="True"/>
    <n v="0.05"/>
    <n v="3000"/>
    <n v="9960"/>
    <n v="4200"/>
    <n v="6844"/>
    <n v="105.90642669333501"/>
    <n v="52.953213346667297"/>
    <n v="158.85964004000201"/>
    <n v="0"/>
    <n v="0"/>
    <n v="0"/>
  </r>
  <r>
    <x v="1"/>
    <s v="MVPRP"/>
    <s v="C30"/>
    <s v="P9"/>
    <s v="V3"/>
    <x v="0"/>
    <x v="2"/>
    <s v="OPTIMAL"/>
    <n v="128936.478350978"/>
    <n v="128936.478350978"/>
    <n v="0"/>
    <n v="1.9319880008697501"/>
    <s v="[]"/>
    <n v="228"/>
    <m/>
    <n v="2"/>
    <n v="0.5"/>
    <n v="100"/>
    <n v="50"/>
    <n v="0"/>
    <n v="2"/>
    <s v="True"/>
    <n v="0.05"/>
    <n v="12000"/>
    <n v="67710"/>
    <n v="22438"/>
    <n v="23995.5"/>
    <n v="1861.98556731843"/>
    <n v="930.99278365921498"/>
    <n v="2792.9783509776498"/>
    <n v="0"/>
    <n v="0"/>
    <n v="0"/>
  </r>
  <r>
    <x v="2"/>
    <s v="MVPRP"/>
    <s v="C15"/>
    <s v="P9"/>
    <s v="V3"/>
    <x v="1"/>
    <x v="2"/>
    <s v="OPTIMAL"/>
    <n v="69995.222006055599"/>
    <n v="69995.222006055599"/>
    <n v="0"/>
    <n v="0.48168206214904802"/>
    <s v="[]"/>
    <n v="132"/>
    <m/>
    <n v="2"/>
    <n v="0.5"/>
    <n v="100"/>
    <n v="50"/>
    <n v="0"/>
    <n v="2"/>
    <s v="True"/>
    <n v="0.05"/>
    <n v="9000"/>
    <n v="40950"/>
    <n v="13146"/>
    <n v="6623.5"/>
    <n v="183.81467070370999"/>
    <n v="91.907335351854996"/>
    <n v="275.72200605556498"/>
    <n v="0"/>
    <n v="0"/>
    <n v="0"/>
  </r>
  <r>
    <x v="3"/>
    <s v="MVPRP"/>
    <s v="C40"/>
    <s v="P3"/>
    <s v="V3"/>
    <x v="0"/>
    <x v="2"/>
    <s v="OPTIMAL"/>
    <n v="51505.656298582602"/>
    <n v="51505.656298582602"/>
    <n v="0"/>
    <n v="0.463942050933838"/>
    <s v="[]"/>
    <n v="360"/>
    <m/>
    <n v="2"/>
    <n v="0.5"/>
    <n v="100"/>
    <n v="50"/>
    <n v="0"/>
    <n v="2"/>
    <s v="True"/>
    <n v="0.05"/>
    <n v="3000"/>
    <n v="27660"/>
    <n v="9577"/>
    <n v="11072"/>
    <n v="131.10419905507601"/>
    <n v="65.552099527538104"/>
    <n v="196.656298582614"/>
    <n v="0"/>
    <n v="0"/>
    <n v="0"/>
  </r>
  <r>
    <x v="4"/>
    <s v="MVPRP"/>
    <s v="C40"/>
    <s v="P3"/>
    <s v="V3"/>
    <x v="1"/>
    <x v="2"/>
    <s v="OPTIMAL"/>
    <n v="41714.6655546361"/>
    <n v="41714.665554229701"/>
    <n v="9.7426926250467206E-12"/>
    <n v="0.58624386787414595"/>
    <s v="[]"/>
    <n v="360"/>
    <m/>
    <n v="2"/>
    <n v="0.5"/>
    <n v="100"/>
    <n v="50"/>
    <n v="0"/>
    <n v="2"/>
    <s v="True"/>
    <n v="0.05"/>
    <n v="6000"/>
    <n v="27660"/>
    <n v="4692"/>
    <n v="3257"/>
    <n v="70.443703090738197"/>
    <n v="35.221851545369098"/>
    <n v="105.665554636107"/>
    <n v="0"/>
    <n v="0"/>
    <n v="0"/>
  </r>
  <r>
    <x v="5"/>
    <s v="MVPRP"/>
    <s v="C20"/>
    <s v="P6"/>
    <s v="V3"/>
    <x v="1"/>
    <x v="2"/>
    <s v="OPTIMAL"/>
    <n v="45340.890509310397"/>
    <n v="45340.890509310397"/>
    <n v="0"/>
    <n v="0.403185844421387"/>
    <s v="[]"/>
    <n v="189"/>
    <m/>
    <n v="2"/>
    <n v="0.5"/>
    <n v="100"/>
    <n v="50"/>
    <n v="0"/>
    <n v="2"/>
    <s v="True"/>
    <n v="0.05"/>
    <n v="6000"/>
    <n v="23820"/>
    <n v="12510"/>
    <n v="2933.5"/>
    <n v="51.593672873598003"/>
    <n v="25.796836436799001"/>
    <n v="77.390509310397107"/>
    <n v="0"/>
    <n v="0"/>
    <n v="0"/>
  </r>
  <r>
    <x v="6"/>
    <s v="MVPRP"/>
    <s v="C10"/>
    <s v="P3"/>
    <s v="V3"/>
    <x v="1"/>
    <x v="2"/>
    <s v="OPTIMAL"/>
    <n v="13025.581183165499"/>
    <n v="13025.581183165499"/>
    <n v="0"/>
    <n v="3.8723945617675802E-2"/>
    <s v="[]"/>
    <n v="132"/>
    <m/>
    <n v="2"/>
    <n v="0.5"/>
    <n v="100"/>
    <n v="50"/>
    <n v="0"/>
    <n v="2"/>
    <s v="True"/>
    <n v="0.05"/>
    <n v="3000"/>
    <n v="6390"/>
    <n v="2313"/>
    <n v="1299.5"/>
    <n v="15.387455443648101"/>
    <n v="7.6937277218240299"/>
    <n v="23.081183165472101"/>
    <n v="0"/>
    <n v="0"/>
    <n v="0"/>
  </r>
  <r>
    <x v="7"/>
    <s v="MVPRP"/>
    <s v="C45"/>
    <s v="P3"/>
    <s v="V3"/>
    <x v="0"/>
    <x v="2"/>
    <s v="OPTIMAL"/>
    <n v="59127.871321666098"/>
    <n v="59127.871321666003"/>
    <n v="0"/>
    <n v="1.0181260108947801"/>
    <s v="[]"/>
    <n v="360"/>
    <m/>
    <n v="2"/>
    <n v="0.5"/>
    <n v="100"/>
    <n v="50"/>
    <n v="0"/>
    <n v="2"/>
    <s v="True"/>
    <n v="0.05"/>
    <n v="3000"/>
    <n v="33060"/>
    <n v="11010"/>
    <n v="11826.5"/>
    <n v="154.247547777362"/>
    <n v="77.123773888680802"/>
    <n v="231.37132166604201"/>
    <n v="0"/>
    <n v="0"/>
    <n v="0"/>
  </r>
  <r>
    <x v="8"/>
    <s v="MVPRP"/>
    <s v="C20"/>
    <s v="P3"/>
    <s v="V3"/>
    <x v="1"/>
    <x v="2"/>
    <s v="OPTIMAL"/>
    <n v="20945.2212283318"/>
    <n v="20945.2212283318"/>
    <n v="0"/>
    <n v="8.70928764343262E-2"/>
    <s v="[]"/>
    <n v="189"/>
    <m/>
    <n v="2"/>
    <n v="0.5"/>
    <n v="100"/>
    <n v="50"/>
    <n v="0"/>
    <n v="2"/>
    <s v="True"/>
    <n v="0.05"/>
    <n v="3000"/>
    <n v="12030"/>
    <n v="3897"/>
    <n v="1983"/>
    <n v="23.480818887844599"/>
    <n v="11.740409443922299"/>
    <n v="35.221228331766902"/>
    <n v="0"/>
    <n v="0"/>
    <n v="0"/>
  </r>
  <r>
    <x v="9"/>
    <s v="MVPRP"/>
    <s v="C35"/>
    <s v="P3"/>
    <s v="V3"/>
    <x v="0"/>
    <x v="2"/>
    <s v="OPTIMAL"/>
    <n v="41528.485566394898"/>
    <n v="41528.485566394898"/>
    <n v="0"/>
    <n v="0.251204013824463"/>
    <s v="[]"/>
    <n v="276"/>
    <m/>
    <n v="2"/>
    <n v="0.5"/>
    <n v="100"/>
    <n v="50"/>
    <n v="0"/>
    <n v="2"/>
    <s v="True"/>
    <n v="0.05"/>
    <n v="3000"/>
    <n v="21600"/>
    <n v="7360"/>
    <n v="9401.5"/>
    <n v="111.32371092994001"/>
    <n v="55.661855464970103"/>
    <n v="166.98556639490999"/>
    <n v="0"/>
    <n v="0"/>
    <n v="0"/>
  </r>
  <r>
    <x v="10"/>
    <s v="MVPRP"/>
    <s v="C40"/>
    <s v="P6"/>
    <s v="V3"/>
    <x v="1"/>
    <x v="2"/>
    <s v="OPTIMAL"/>
    <n v="92143.426089322704"/>
    <n v="92143.426089322704"/>
    <n v="0"/>
    <n v="2.09613013267517"/>
    <s v="[]"/>
    <n v="360"/>
    <m/>
    <n v="2"/>
    <n v="0.5"/>
    <n v="100"/>
    <n v="50"/>
    <n v="0"/>
    <n v="2"/>
    <s v="True"/>
    <n v="0.05"/>
    <n v="6000"/>
    <n v="55170"/>
    <n v="25151"/>
    <n v="5592.5"/>
    <n v="153.284059548453"/>
    <n v="76.642029774226401"/>
    <n v="229.92608932267899"/>
    <n v="0"/>
    <n v="0"/>
    <n v="0"/>
  </r>
  <r>
    <x v="11"/>
    <s v="MVPRP"/>
    <s v="C10"/>
    <s v="P3"/>
    <s v="V3"/>
    <x v="0"/>
    <x v="2"/>
    <s v="OPTIMAL"/>
    <n v="16684.5152113289"/>
    <n v="16684.5152113289"/>
    <n v="0"/>
    <n v="3.6213874816894497E-2"/>
    <s v="[]"/>
    <n v="132"/>
    <m/>
    <n v="2"/>
    <n v="0.5"/>
    <n v="100"/>
    <n v="50"/>
    <n v="0"/>
    <n v="2"/>
    <s v="True"/>
    <n v="0.05"/>
    <n v="3000"/>
    <n v="6390"/>
    <n v="3082"/>
    <n v="4139"/>
    <n v="49.010140885924798"/>
    <n v="24.505070442962399"/>
    <n v="73.515211328887204"/>
    <n v="0"/>
    <n v="0"/>
    <n v="0"/>
  </r>
  <r>
    <x v="12"/>
    <s v="MVPRP"/>
    <s v="C30"/>
    <s v="P3"/>
    <s v="V3"/>
    <x v="0"/>
    <x v="2"/>
    <s v="OPTIMAL"/>
    <n v="34147.722698161"/>
    <n v="34147.722698161"/>
    <n v="0"/>
    <n v="0.184254169464111"/>
    <s v="[]"/>
    <n v="228"/>
    <m/>
    <n v="2"/>
    <n v="0.5"/>
    <n v="100"/>
    <n v="50"/>
    <n v="0"/>
    <n v="2"/>
    <s v="True"/>
    <n v="0.05"/>
    <n v="3000"/>
    <n v="16680"/>
    <n v="6535"/>
    <n v="7638"/>
    <n v="196.481798774015"/>
    <n v="98.240899387007403"/>
    <n v="294.722698161023"/>
    <n v="0"/>
    <n v="0"/>
    <n v="0"/>
  </r>
  <r>
    <x v="13"/>
    <s v="MVPRP"/>
    <s v="C20"/>
    <s v="P3"/>
    <s v="V3"/>
    <x v="0"/>
    <x v="2"/>
    <s v="OPTIMAL"/>
    <n v="27023.1053811036"/>
    <n v="27023.1053811036"/>
    <n v="0"/>
    <n v="8.9956998825073201E-2"/>
    <s v="[]"/>
    <n v="189"/>
    <m/>
    <n v="2"/>
    <n v="0.5"/>
    <n v="100"/>
    <n v="50"/>
    <n v="0"/>
    <n v="2"/>
    <s v="True"/>
    <n v="0.05"/>
    <n v="3000"/>
    <n v="12030"/>
    <n v="4509"/>
    <n v="7247.5"/>
    <n v="157.736920735746"/>
    <n v="78.868460367872899"/>
    <n v="236.60538110361901"/>
    <n v="0"/>
    <n v="0"/>
    <n v="0"/>
  </r>
  <r>
    <x v="14"/>
    <s v="MVPRP"/>
    <s v="C35"/>
    <s v="P6"/>
    <s v="V3"/>
    <x v="0"/>
    <x v="2"/>
    <s v="OPTIMAL"/>
    <n v="86286.751912180698"/>
    <n v="86286.751912180698"/>
    <n v="0"/>
    <n v="1.0528998374939"/>
    <s v="[]"/>
    <n v="276"/>
    <m/>
    <n v="2"/>
    <n v="0.5"/>
    <n v="100"/>
    <n v="50"/>
    <n v="0"/>
    <n v="2"/>
    <s v="True"/>
    <n v="0.05"/>
    <n v="6000"/>
    <n v="42900"/>
    <n v="21082"/>
    <n v="15104"/>
    <n v="800.50127478712398"/>
    <n v="400.25063739356199"/>
    <n v="1200.7519121806899"/>
    <n v="0"/>
    <n v="0"/>
    <n v="0"/>
  </r>
  <r>
    <x v="15"/>
    <s v="MVPRP"/>
    <s v="C25"/>
    <s v="P6"/>
    <s v="V3"/>
    <x v="0"/>
    <x v="2"/>
    <s v="OPTIMAL"/>
    <n v="66330.031882249197"/>
    <n v="66330.031882249095"/>
    <n v="0"/>
    <n v="0.448040962219238"/>
    <s v="[]"/>
    <n v="189"/>
    <m/>
    <n v="2"/>
    <n v="0.5"/>
    <n v="100"/>
    <n v="50"/>
    <n v="0"/>
    <n v="2"/>
    <s v="True"/>
    <n v="0.05"/>
    <n v="6000"/>
    <n v="28380"/>
    <n v="18457"/>
    <n v="12390.5"/>
    <n v="735.02125483278098"/>
    <n v="367.510627416391"/>
    <n v="1102.5318822491699"/>
    <n v="0"/>
    <n v="0"/>
    <n v="0"/>
  </r>
  <r>
    <x v="16"/>
    <s v="MVPRP"/>
    <s v="C15"/>
    <s v="P6"/>
    <s v="V3"/>
    <x v="0"/>
    <x v="2"/>
    <s v="OPTIMAL"/>
    <n v="50192.775307358599"/>
    <n v="50192.775307358497"/>
    <n v="0"/>
    <n v="0.19164109230041501"/>
    <s v="[]"/>
    <n v="132"/>
    <m/>
    <n v="2"/>
    <n v="0.5"/>
    <n v="100"/>
    <n v="50"/>
    <n v="0"/>
    <n v="2"/>
    <s v="True"/>
    <n v="0.05"/>
    <n v="6000"/>
    <n v="19800"/>
    <n v="12042"/>
    <n v="11422.5"/>
    <n v="618.85020490575096"/>
    <n v="309.42510245287502"/>
    <n v="928.27530735862604"/>
    <n v="0"/>
    <n v="0"/>
    <n v="0"/>
  </r>
  <r>
    <x v="17"/>
    <s v="MVPRP"/>
    <s v="C50"/>
    <s v="P3"/>
    <s v="V3"/>
    <x v="0"/>
    <x v="2"/>
    <s v="OPTIMAL"/>
    <n v="54811.140986393599"/>
    <n v="54811.1409863874"/>
    <n v="1.12170337514252E-13"/>
    <n v="0.75376915931701705"/>
    <s v="[]"/>
    <n v="360"/>
    <m/>
    <n v="2"/>
    <n v="0.5"/>
    <n v="100"/>
    <n v="50"/>
    <n v="0"/>
    <n v="2"/>
    <s v="True"/>
    <n v="0.05"/>
    <n v="3000"/>
    <n v="29580"/>
    <n v="10419"/>
    <n v="11606"/>
    <n v="137.427324262393"/>
    <n v="68.713662131196401"/>
    <n v="206.140986393589"/>
    <n v="0"/>
    <n v="0"/>
    <n v="0"/>
  </r>
  <r>
    <x v="18"/>
    <s v="MVPRP"/>
    <s v="C30"/>
    <s v="P6"/>
    <s v="V3"/>
    <x v="0"/>
    <x v="2"/>
    <s v="OPTIMAL"/>
    <n v="70818.445352732306"/>
    <n v="70818.445352732306"/>
    <n v="0"/>
    <n v="1.34233498573303"/>
    <s v="[]"/>
    <n v="228"/>
    <m/>
    <n v="2"/>
    <n v="0.5"/>
    <n v="100"/>
    <n v="50"/>
    <n v="0"/>
    <n v="2"/>
    <s v="True"/>
    <n v="0.05"/>
    <n v="6000"/>
    <n v="33149.999999999898"/>
    <n v="17739.999984542501"/>
    <n v="12929.5"/>
    <n v="665.96357879320306"/>
    <n v="332.98178939660102"/>
    <n v="998.94536818980396"/>
    <n v="0"/>
    <n v="0"/>
    <n v="0"/>
  </r>
  <r>
    <x v="19"/>
    <s v="MVPRP"/>
    <s v="C45"/>
    <s v="P3"/>
    <s v="V3"/>
    <x v="1"/>
    <x v="2"/>
    <s v="OPTIMAL"/>
    <n v="47594.573005964601"/>
    <n v="47594.573005258302"/>
    <n v="1.48394483026515E-11"/>
    <n v="0.88113212585449197"/>
    <s v="[]"/>
    <n v="360"/>
    <m/>
    <n v="2"/>
    <n v="0.5"/>
    <n v="100"/>
    <n v="50"/>
    <n v="0"/>
    <n v="2"/>
    <s v="True"/>
    <n v="0.05"/>
    <n v="6000"/>
    <n v="33060"/>
    <n v="4926"/>
    <n v="3474"/>
    <n v="89.715337309726394"/>
    <n v="44.857668654863197"/>
    <n v="134.57300596459001"/>
    <n v="0"/>
    <n v="0"/>
    <n v="0"/>
  </r>
  <r>
    <x v="20"/>
    <s v="MVPRP"/>
    <s v="C25"/>
    <s v="P6"/>
    <s v="V3"/>
    <x v="1"/>
    <x v="2"/>
    <s v="OPTIMAL"/>
    <n v="54514.809709988898"/>
    <n v="54511.181844027698"/>
    <n v="6.6548264233276603E-5"/>
    <n v="0.48333787918090798"/>
    <s v="[]"/>
    <n v="189"/>
    <m/>
    <n v="2"/>
    <n v="0.5"/>
    <n v="100"/>
    <n v="50"/>
    <n v="0"/>
    <n v="2"/>
    <s v="True"/>
    <n v="0.05"/>
    <n v="6000"/>
    <n v="28380"/>
    <n v="16316"/>
    <n v="3705"/>
    <n v="75.873139992585493"/>
    <n v="37.936569996292803"/>
    <n v="113.809709988878"/>
    <n v="0"/>
    <n v="0"/>
    <n v="0"/>
  </r>
  <r>
    <x v="21"/>
    <s v="MVPRP"/>
    <s v="C35"/>
    <s v="P6"/>
    <s v="V3"/>
    <x v="1"/>
    <x v="2"/>
    <s v="OPTIMAL"/>
    <n v="71408.633299448004"/>
    <n v="71408.633299448004"/>
    <n v="0"/>
    <n v="1.1596198081970199"/>
    <s v="[]"/>
    <n v="276"/>
    <m/>
    <n v="2"/>
    <n v="0.5"/>
    <n v="100"/>
    <n v="50"/>
    <n v="0"/>
    <n v="2"/>
    <s v="True"/>
    <n v="0.05"/>
    <n v="6000.0012675673597"/>
    <n v="42900"/>
    <n v="17310.997469738599"/>
    <n v="5021.0011817757504"/>
    <n v="117.75558691083"/>
    <n v="58.877793455415201"/>
    <n v="176.633380366246"/>
    <n v="0"/>
    <n v="0"/>
    <n v="0"/>
  </r>
  <r>
    <x v="22"/>
    <s v="MVPRP"/>
    <s v="C25"/>
    <s v="P3"/>
    <s v="V3"/>
    <x v="1"/>
    <x v="2"/>
    <s v="OPTIMAL"/>
    <n v="24674.5535864923"/>
    <n v="24674.5535864923"/>
    <n v="0"/>
    <n v="0.151582956314087"/>
    <s v="[]"/>
    <n v="189"/>
    <m/>
    <n v="2"/>
    <n v="0.5"/>
    <n v="100"/>
    <n v="50"/>
    <n v="0"/>
    <n v="2"/>
    <s v="True"/>
    <n v="0.05"/>
    <n v="3000"/>
    <n v="14340"/>
    <n v="4877"/>
    <n v="2367.5"/>
    <n v="60.035724328192103"/>
    <n v="30.017862164096101"/>
    <n v="90.053586492288304"/>
    <n v="0"/>
    <n v="0"/>
    <n v="0"/>
  </r>
  <r>
    <x v="23"/>
    <s v="MVPRP"/>
    <s v="C10"/>
    <s v="P6"/>
    <s v="V3"/>
    <x v="1"/>
    <x v="2"/>
    <s v="OPTIMAL"/>
    <n v="28310.613691574999"/>
    <n v="28310.613691574999"/>
    <n v="0"/>
    <n v="0.11749911308288601"/>
    <s v="[]"/>
    <n v="132"/>
    <m/>
    <n v="2"/>
    <n v="0.5"/>
    <n v="100"/>
    <n v="50"/>
    <n v="0"/>
    <n v="2"/>
    <s v="True"/>
    <n v="0.05"/>
    <n v="6000"/>
    <n v="12690"/>
    <n v="7408"/>
    <n v="2174"/>
    <n v="25.742461050012199"/>
    <n v="12.8712305250061"/>
    <n v="38.613691575018301"/>
    <n v="0"/>
    <n v="0"/>
    <n v="0"/>
  </r>
  <r>
    <x v="24"/>
    <s v="MVPRP"/>
    <s v="C35"/>
    <s v="P3"/>
    <s v="V3"/>
    <x v="1"/>
    <x v="2"/>
    <s v="OPTIMAL"/>
    <n v="33620.613962345502"/>
    <n v="33618.431182678403"/>
    <n v="6.4923849087718404E-5"/>
    <n v="0.50154209136962902"/>
    <s v="[]"/>
    <n v="276"/>
    <m/>
    <n v="2"/>
    <n v="0.5"/>
    <n v="100"/>
    <n v="50"/>
    <n v="0"/>
    <n v="2"/>
    <s v="True"/>
    <n v="0.05"/>
    <n v="3000"/>
    <n v="21600"/>
    <n v="6341"/>
    <n v="2576.5"/>
    <n v="68.742641563695898"/>
    <n v="34.371320781847999"/>
    <n v="103.113962345544"/>
    <n v="0"/>
    <n v="0"/>
    <n v="0"/>
  </r>
  <r>
    <x v="25"/>
    <s v="MVPRP"/>
    <s v="C10"/>
    <s v="P6"/>
    <s v="V3"/>
    <x v="0"/>
    <x v="2"/>
    <s v="OPTIMAL"/>
    <n v="34839.347178387499"/>
    <n v="34839.347178387397"/>
    <n v="0"/>
    <n v="8.5337162017822293E-2"/>
    <s v="[]"/>
    <n v="132"/>
    <m/>
    <n v="2"/>
    <n v="0.5"/>
    <n v="100"/>
    <n v="50"/>
    <n v="0"/>
    <n v="2"/>
    <s v="True"/>
    <n v="0.05"/>
    <n v="6000"/>
    <n v="12690"/>
    <n v="8493"/>
    <n v="7442.5"/>
    <n v="142.56478559163699"/>
    <n v="71.282392795818595"/>
    <n v="213.84717838745601"/>
    <n v="0"/>
    <n v="0"/>
    <n v="0"/>
  </r>
  <r>
    <x v="26"/>
    <s v="MVPRP"/>
    <s v="C50"/>
    <s v="P3"/>
    <s v="V3"/>
    <x v="1"/>
    <x v="2"/>
    <s v="OPTIMAL"/>
    <n v="43835.830935732803"/>
    <n v="43835.830934717596"/>
    <n v="2.31592984158959E-11"/>
    <n v="0.926927089691162"/>
    <s v="[]"/>
    <n v="360"/>
    <m/>
    <n v="2"/>
    <n v="0.5"/>
    <n v="100"/>
    <n v="50"/>
    <n v="0"/>
    <n v="2"/>
    <s v="True"/>
    <n v="0.05"/>
    <n v="6000"/>
    <n v="29580"/>
    <n v="4586"/>
    <n v="3533.5"/>
    <n v="90.8872904885514"/>
    <n v="45.4436452442757"/>
    <n v="136.33093573282699"/>
    <n v="0"/>
    <n v="0"/>
    <n v="0"/>
  </r>
  <r>
    <x v="27"/>
    <s v="MVPRP"/>
    <s v="C30"/>
    <s v="P6"/>
    <s v="V3"/>
    <x v="1"/>
    <x v="2"/>
    <s v="OPTIMAL"/>
    <n v="58486.329727964498"/>
    <n v="58480.620915703999"/>
    <n v="9.7609343706385706E-5"/>
    <n v="0.91987586021423295"/>
    <s v="[]"/>
    <n v="228"/>
    <m/>
    <n v="2"/>
    <n v="0.5"/>
    <n v="100"/>
    <n v="50"/>
    <n v="0"/>
    <n v="2"/>
    <s v="True"/>
    <n v="0.05"/>
    <n v="6000"/>
    <n v="33150"/>
    <n v="15612"/>
    <n v="3609"/>
    <n v="76.8864853096659"/>
    <n v="38.4432426548329"/>
    <n v="115.329727964499"/>
    <n v="0"/>
    <n v="0"/>
    <n v="0"/>
  </r>
  <r>
    <x v="28"/>
    <s v="MVPRP"/>
    <s v="C25"/>
    <s v="P9"/>
    <s v="V3"/>
    <x v="1"/>
    <x v="2"/>
    <s v="OPTIMAL"/>
    <n v="95664.295208659896"/>
    <n v="95661.420657705006"/>
    <n v="3.00483158173635E-5"/>
    <n v="0.86931490898132302"/>
    <s v="[]"/>
    <n v="189"/>
    <m/>
    <n v="2"/>
    <n v="0.5"/>
    <n v="100"/>
    <n v="50"/>
    <n v="0"/>
    <n v="2"/>
    <s v="True"/>
    <n v="0.05"/>
    <n v="9000"/>
    <n v="59880"/>
    <n v="19204"/>
    <n v="7234.5"/>
    <n v="230.53013910655301"/>
    <n v="115.265069553277"/>
    <n v="345.79520865982897"/>
    <n v="0"/>
    <n v="0"/>
    <n v="0"/>
  </r>
  <r>
    <x v="29"/>
    <s v="MVPRP"/>
    <s v="C25"/>
    <s v="P3"/>
    <s v="V3"/>
    <x v="0"/>
    <x v="2"/>
    <s v="OPTIMAL"/>
    <n v="31340.399264692202"/>
    <n v="31340.399264692202"/>
    <n v="0"/>
    <n v="0.13144707679748499"/>
    <s v="[]"/>
    <n v="189"/>
    <m/>
    <n v="2"/>
    <n v="0.5"/>
    <n v="100"/>
    <n v="50"/>
    <n v="0"/>
    <n v="2"/>
    <s v="True"/>
    <n v="0.05"/>
    <n v="3000"/>
    <n v="14340"/>
    <n v="6083"/>
    <n v="7588.5"/>
    <n v="219.26617646146701"/>
    <n v="109.633088230734"/>
    <n v="328.89926469220097"/>
    <n v="0"/>
    <n v="0"/>
    <n v="0"/>
  </r>
  <r>
    <x v="30"/>
    <s v="MVPRP"/>
    <s v="C15"/>
    <s v="P6"/>
    <s v="V3"/>
    <x v="1"/>
    <x v="2"/>
    <s v="OPTIMAL"/>
    <n v="39887.0536174511"/>
    <n v="39884.0536174511"/>
    <n v="7.5212374139731902E-5"/>
    <n v="0.15292310714721699"/>
    <s v="[]"/>
    <n v="132"/>
    <m/>
    <n v="2"/>
    <n v="0.5"/>
    <n v="100"/>
    <n v="50"/>
    <n v="0"/>
    <n v="2"/>
    <s v="True"/>
    <n v="0.05"/>
    <n v="6000"/>
    <n v="19800"/>
    <n v="10042"/>
    <n v="3929.5"/>
    <n v="77.035744967378406"/>
    <n v="38.517872483689203"/>
    <n v="115.553617451067"/>
    <n v="0"/>
    <n v="0"/>
    <n v="0"/>
  </r>
  <r>
    <x v="31"/>
    <s v="MVPRP"/>
    <s v="C15"/>
    <s v="P3"/>
    <s v="V3"/>
    <x v="1"/>
    <x v="2"/>
    <s v="OPTIMAL"/>
    <n v="18327.171586345099"/>
    <n v="18327.171586345099"/>
    <n v="0"/>
    <n v="5.6643009185791002E-2"/>
    <s v="[]"/>
    <n v="132"/>
    <m/>
    <n v="2"/>
    <n v="0.5"/>
    <n v="100"/>
    <n v="50"/>
    <n v="0"/>
    <n v="2"/>
    <s v="True"/>
    <n v="0.05"/>
    <n v="3000"/>
    <n v="9960"/>
    <n v="3581"/>
    <n v="1755"/>
    <n v="20.7810575633723"/>
    <n v="10.3905287816862"/>
    <n v="31.171586345058401"/>
    <n v="0"/>
    <n v="0"/>
    <n v="0"/>
  </r>
  <r>
    <x v="32"/>
    <s v="MVPRP"/>
    <s v="C20"/>
    <s v="P6"/>
    <s v="V3"/>
    <x v="0"/>
    <x v="2"/>
    <s v="OPTIMAL"/>
    <n v="56413.241189307802"/>
    <n v="56412.840231726303"/>
    <n v="7.1075083270183598E-6"/>
    <n v="0.22145891189575201"/>
    <s v="[]"/>
    <n v="189"/>
    <m/>
    <n v="2"/>
    <n v="0.5"/>
    <n v="100"/>
    <n v="50"/>
    <n v="0"/>
    <n v="2"/>
    <s v="True"/>
    <n v="0.05"/>
    <n v="6000"/>
    <n v="23820"/>
    <n v="14425"/>
    <n v="11077.5"/>
    <n v="727.16079287184698"/>
    <n v="363.580396435924"/>
    <n v="1090.7411893077699"/>
    <n v="0"/>
    <n v="0"/>
    <n v="0"/>
  </r>
  <r>
    <x v="33"/>
    <s v="MVPRP"/>
    <s v="C20"/>
    <s v="P9"/>
    <s v="V3"/>
    <x v="0"/>
    <x v="2"/>
    <s v="OPTIMAL"/>
    <n v="98774.423249967105"/>
    <n v="98766.892732051696"/>
    <n v="7.6239553393944899E-5"/>
    <n v="0.44352793693542503"/>
    <s v="[]"/>
    <n v="189"/>
    <m/>
    <n v="2"/>
    <n v="0.5"/>
    <n v="100"/>
    <n v="50"/>
    <n v="0"/>
    <n v="2"/>
    <s v="True"/>
    <n v="0.05"/>
    <n v="9000"/>
    <n v="48120"/>
    <n v="17501"/>
    <n v="21904.5"/>
    <n v="1499.2821666447001"/>
    <n v="749.64108332235003"/>
    <n v="2248.9232499670502"/>
    <n v="0"/>
    <n v="0"/>
    <n v="0"/>
  </r>
  <r>
    <x v="34"/>
    <s v="MVPRP"/>
    <s v="C40"/>
    <s v="P6"/>
    <s v="V3"/>
    <x v="0"/>
    <x v="2"/>
    <s v="OPTIMAL"/>
    <n v="109727.49054847"/>
    <n v="109719.49054847"/>
    <n v="7.2907891723771997E-5"/>
    <n v="1.4621059894561801"/>
    <s v="[]"/>
    <n v="360"/>
    <m/>
    <n v="2"/>
    <n v="0.5"/>
    <n v="100"/>
    <n v="50"/>
    <n v="0"/>
    <n v="2"/>
    <s v="True"/>
    <n v="0.05"/>
    <n v="6000"/>
    <n v="55170"/>
    <n v="31048"/>
    <n v="15852"/>
    <n v="1104.99369898031"/>
    <n v="552.49684949015602"/>
    <n v="1657.49054847047"/>
    <n v="0"/>
    <n v="0"/>
    <n v="0"/>
  </r>
  <r>
    <x v="35"/>
    <s v="MVPRP"/>
    <s v="C20"/>
    <s v="P9"/>
    <s v="V3"/>
    <x v="1"/>
    <x v="2"/>
    <s v="OPTIMAL"/>
    <n v="78182.2733102817"/>
    <n v="78174.802840074204"/>
    <n v="9.5551969662771105E-5"/>
    <n v="0.51927495002746604"/>
    <s v="[]"/>
    <n v="189"/>
    <m/>
    <n v="2"/>
    <n v="0.5"/>
    <n v="100"/>
    <n v="50"/>
    <n v="0"/>
    <n v="2"/>
    <s v="True"/>
    <n v="0.05"/>
    <n v="9000"/>
    <n v="48120"/>
    <n v="15032"/>
    <n v="5793"/>
    <n v="158.182206854475"/>
    <n v="79.091103427237499"/>
    <n v="237.27331028171201"/>
    <n v="0"/>
    <n v="0"/>
    <n v="0"/>
  </r>
  <r>
    <x v="36"/>
    <s v="MVPRP"/>
    <s v="C15"/>
    <s v="P9"/>
    <s v="V3"/>
    <x v="0"/>
    <x v="2"/>
    <s v="OPTIMAL"/>
    <n v="92208.491951856602"/>
    <n v="92208.491951856398"/>
    <n v="2.0515995215228101E-15"/>
    <n v="0.23122382164001501"/>
    <s v="[]"/>
    <n v="132"/>
    <m/>
    <n v="2"/>
    <n v="0.5"/>
    <n v="100"/>
    <n v="50"/>
    <n v="0"/>
    <n v="2"/>
    <s v="True"/>
    <n v="0.05"/>
    <n v="9000"/>
    <n v="40950"/>
    <n v="16373"/>
    <n v="22741"/>
    <n v="2096.3279679043599"/>
    <n v="1048.1639839521799"/>
    <n v="3144.4919518565398"/>
    <n v="0"/>
    <n v="0"/>
    <n v="0"/>
  </r>
  <r>
    <x v="37"/>
    <s v="MVPRP"/>
    <s v="C30"/>
    <s v="P9"/>
    <s v="V3"/>
    <x v="1"/>
    <x v="2"/>
    <s v="OPTIMAL"/>
    <n v="104453.499983307"/>
    <n v="104445.427468687"/>
    <n v="7.7283332977704503E-5"/>
    <n v="2.0960528850555402"/>
    <s v="[]"/>
    <n v="228"/>
    <m/>
    <n v="2"/>
    <n v="0.5"/>
    <n v="100"/>
    <n v="50"/>
    <n v="0"/>
    <n v="2"/>
    <s v="True"/>
    <n v="0.05"/>
    <n v="12000"/>
    <n v="67710"/>
    <n v="16173"/>
    <n v="8237"/>
    <n v="222.33332220440201"/>
    <n v="111.166661102201"/>
    <n v="333.49998330660401"/>
    <n v="0"/>
    <n v="0"/>
    <n v="0"/>
  </r>
  <r>
    <x v="38"/>
    <s v="MVPRP"/>
    <s v="C10"/>
    <s v="P9"/>
    <s v="V3"/>
    <x v="1"/>
    <x v="2"/>
    <s v="OPTIMAL"/>
    <n v="48769.624534886003"/>
    <n v="48769.624534886003"/>
    <n v="0"/>
    <n v="0.15393519401550301"/>
    <s v="[]"/>
    <n v="132"/>
    <m/>
    <n v="2"/>
    <n v="0.5"/>
    <n v="100"/>
    <n v="50"/>
    <n v="0"/>
    <n v="2"/>
    <s v="True"/>
    <n v="0.05"/>
    <n v="9000"/>
    <n v="26370"/>
    <n v="9066"/>
    <n v="4218.5"/>
    <n v="76.749689923996002"/>
    <n v="38.374844961998001"/>
    <n v="115.124534885994"/>
    <n v="0"/>
    <n v="0"/>
    <n v="0"/>
  </r>
  <r>
    <x v="39"/>
    <s v="MVPRP"/>
    <s v="C30"/>
    <s v="P3"/>
    <s v="V3"/>
    <x v="1"/>
    <x v="2"/>
    <s v="OPTIMAL"/>
    <n v="27264.275367252099"/>
    <n v="27262.610460611999"/>
    <n v="6.1065501197963E-5"/>
    <n v="0.28699588775634799"/>
    <s v="[]"/>
    <n v="228"/>
    <m/>
    <n v="2"/>
    <n v="0.5"/>
    <n v="100"/>
    <n v="50"/>
    <n v="0"/>
    <n v="2"/>
    <s v="True"/>
    <n v="0.05"/>
    <n v="3000"/>
    <n v="16680"/>
    <n v="5477"/>
    <n v="2070.5"/>
    <n v="24.516911501403101"/>
    <n v="12.258455750701501"/>
    <n v="36.775367252104601"/>
    <n v="0"/>
    <n v="0"/>
    <n v="0"/>
  </r>
  <r>
    <x v="40"/>
    <s v="MVPRP"/>
    <s v="C10"/>
    <s v="P9"/>
    <s v="V3"/>
    <x v="0"/>
    <x v="2"/>
    <s v="OPTIMAL"/>
    <n v="61950.215442203596"/>
    <n v="61950.215442203502"/>
    <n v="0"/>
    <n v="0.11837506294250499"/>
    <s v="[]"/>
    <n v="132"/>
    <m/>
    <n v="2"/>
    <n v="0.5"/>
    <n v="100"/>
    <n v="50"/>
    <n v="0"/>
    <n v="2"/>
    <s v="True"/>
    <n v="0.05"/>
    <n v="9000"/>
    <n v="26370"/>
    <n v="12609"/>
    <n v="13056.5"/>
    <n v="609.81029480240898"/>
    <n v="304.90514740120398"/>
    <n v="914.71544220361204"/>
    <n v="0"/>
    <n v="0"/>
    <n v="0"/>
  </r>
  <r>
    <x v="41"/>
    <s v="MVPRP"/>
    <s v="C25"/>
    <s v="P9"/>
    <s v="V3"/>
    <x v="0"/>
    <x v="2"/>
    <s v="OPTIMAL"/>
    <n v="120867.237712195"/>
    <n v="120867.23771219399"/>
    <n v="9.6316689311738502E-16"/>
    <n v="0.71753907203674305"/>
    <s v="[]"/>
    <n v="189"/>
    <m/>
    <n v="2"/>
    <n v="0.5"/>
    <n v="100"/>
    <n v="50"/>
    <n v="0"/>
    <n v="2"/>
    <s v="True"/>
    <n v="0.05"/>
    <n v="9000"/>
    <n v="59880"/>
    <n v="23093"/>
    <n v="24278.5"/>
    <n v="3077.1584747963602"/>
    <n v="1538.5792373981801"/>
    <n v="4615.7377121945301"/>
    <n v="0"/>
    <n v="0"/>
    <n v="0"/>
  </r>
  <r>
    <x v="0"/>
    <s v="MVPRP"/>
    <s v="C15"/>
    <s v="P3"/>
    <s v="V3"/>
    <x v="0"/>
    <x v="3"/>
    <s v="OPTIMAL"/>
    <n v="24004"/>
    <n v="24004"/>
    <n v="0"/>
    <n v="19.826627016067501"/>
    <s v="[]"/>
    <n v="132"/>
    <m/>
    <n v="2"/>
    <n v="0.5"/>
    <n v="100"/>
    <n v="50"/>
    <n v="0"/>
    <n v="2"/>
    <s v="True"/>
    <n v="0.05"/>
    <n v="3000"/>
    <n v="9960"/>
    <n v="4200"/>
    <n v="6844"/>
    <n v="0"/>
    <n v="0"/>
    <n v="0"/>
    <n v="0"/>
    <n v="0"/>
    <n v="0"/>
  </r>
  <r>
    <x v="1"/>
    <s v="MVPRP"/>
    <s v="C30"/>
    <s v="P9"/>
    <s v="V3"/>
    <x v="0"/>
    <x v="3"/>
    <s v="TIME_LIMIT"/>
    <n v="126143.50052799701"/>
    <n v="124482.53603504501"/>
    <n v="1.31672617772596E-2"/>
    <n v="3600.10951900482"/>
    <s v="[]"/>
    <n v="228"/>
    <m/>
    <n v="2"/>
    <n v="0.5"/>
    <n v="100"/>
    <n v="50"/>
    <n v="0"/>
    <n v="2"/>
    <s v="True"/>
    <n v="0.05"/>
    <n v="12000"/>
    <n v="67709.999999997803"/>
    <n v="22438.000527999498"/>
    <n v="23995.5"/>
    <n v="0"/>
    <n v="0"/>
    <n v="0"/>
    <n v="0"/>
    <n v="0"/>
    <n v="0"/>
  </r>
  <r>
    <x v="2"/>
    <s v="MVPRP"/>
    <s v="C15"/>
    <s v="P9"/>
    <s v="V3"/>
    <x v="1"/>
    <x v="3"/>
    <s v="TIME_LIMIT"/>
    <n v="69719.499487781795"/>
    <n v="69557.494086119696"/>
    <n v="2.3236741923323202E-3"/>
    <n v="3600.0968580245999"/>
    <s v="[]"/>
    <n v="132"/>
    <m/>
    <n v="2"/>
    <n v="0.5"/>
    <n v="100"/>
    <n v="50"/>
    <n v="0"/>
    <n v="2"/>
    <s v="True"/>
    <n v="0.05"/>
    <n v="9000"/>
    <n v="40949.999999999898"/>
    <n v="13145.999513274801"/>
    <n v="6623.49997450709"/>
    <n v="0"/>
    <n v="0"/>
    <n v="0"/>
    <n v="0"/>
    <n v="0"/>
    <n v="0"/>
  </r>
  <r>
    <x v="3"/>
    <s v="MVPRP"/>
    <s v="C40"/>
    <s v="P3"/>
    <s v="V3"/>
    <x v="0"/>
    <x v="3"/>
    <s v="OPTIMAL"/>
    <n v="51308.999965019801"/>
    <n v="51308.999965019801"/>
    <n v="0"/>
    <n v="313.60271191597002"/>
    <s v="[]"/>
    <n v="360"/>
    <m/>
    <n v="2"/>
    <n v="0.5"/>
    <n v="100"/>
    <n v="50"/>
    <n v="0"/>
    <n v="2"/>
    <s v="True"/>
    <n v="0.05"/>
    <n v="3000"/>
    <n v="27659.999999999902"/>
    <n v="9576.9999650199006"/>
    <n v="11072"/>
    <n v="0"/>
    <n v="0"/>
    <n v="0"/>
    <n v="0"/>
    <n v="0"/>
    <n v="0"/>
  </r>
  <r>
    <x v="4"/>
    <s v="MVPRP"/>
    <s v="C40"/>
    <s v="P3"/>
    <s v="V3"/>
    <x v="1"/>
    <x v="3"/>
    <s v="OPTIMAL"/>
    <n v="41609"/>
    <n v="41605.111582441001"/>
    <n v="9.3451358095235603E-5"/>
    <n v="387.69830894470198"/>
    <s v="[]"/>
    <n v="360"/>
    <m/>
    <n v="2"/>
    <n v="0.5"/>
    <n v="100"/>
    <n v="50"/>
    <n v="0"/>
    <n v="2"/>
    <s v="True"/>
    <n v="0.05"/>
    <n v="6000"/>
    <n v="27660"/>
    <n v="4692"/>
    <n v="3257"/>
    <n v="0"/>
    <n v="0"/>
    <n v="0"/>
    <n v="0"/>
    <n v="0"/>
    <n v="0"/>
  </r>
  <r>
    <x v="5"/>
    <s v="MVPRP"/>
    <s v="C20"/>
    <s v="P6"/>
    <s v="V3"/>
    <x v="1"/>
    <x v="3"/>
    <s v="OPTIMAL"/>
    <n v="45263.5"/>
    <n v="45263.5"/>
    <n v="0"/>
    <n v="31.1466820240021"/>
    <s v="[]"/>
    <n v="189"/>
    <m/>
    <n v="2"/>
    <n v="0.5"/>
    <n v="100"/>
    <n v="50"/>
    <n v="0"/>
    <n v="2"/>
    <s v="True"/>
    <n v="0.05"/>
    <n v="6000"/>
    <n v="23820"/>
    <n v="12510"/>
    <n v="2933.5"/>
    <n v="0"/>
    <n v="0"/>
    <n v="0"/>
    <n v="0"/>
    <n v="0"/>
    <n v="0"/>
  </r>
  <r>
    <x v="6"/>
    <s v="MVPRP"/>
    <s v="C10"/>
    <s v="P3"/>
    <s v="V3"/>
    <x v="1"/>
    <x v="3"/>
    <s v="OPTIMAL"/>
    <n v="13002.5"/>
    <n v="13002.5"/>
    <n v="0"/>
    <n v="0.41492295265197798"/>
    <s v="[]"/>
    <n v="132"/>
    <m/>
    <n v="2"/>
    <n v="0.5"/>
    <n v="100"/>
    <n v="50"/>
    <n v="0"/>
    <n v="2"/>
    <s v="True"/>
    <n v="0.05"/>
    <n v="3000"/>
    <n v="6390"/>
    <n v="2313"/>
    <n v="1299.5"/>
    <n v="0"/>
    <n v="0"/>
    <n v="0"/>
    <n v="0"/>
    <n v="0"/>
    <n v="0"/>
  </r>
  <r>
    <x v="7"/>
    <s v="MVPRP"/>
    <s v="C45"/>
    <s v="P3"/>
    <s v="V3"/>
    <x v="0"/>
    <x v="3"/>
    <s v="TIME_LIMIT"/>
    <n v="58896.5"/>
    <n v="58643.676779328598"/>
    <n v="4.2926696946576099E-3"/>
    <n v="3600.0592207908599"/>
    <s v="[]"/>
    <n v="360"/>
    <m/>
    <n v="2"/>
    <n v="0.5"/>
    <n v="100"/>
    <n v="50"/>
    <n v="0"/>
    <n v="2"/>
    <s v="True"/>
    <n v="0.05"/>
    <n v="3000"/>
    <n v="33060"/>
    <n v="11010"/>
    <n v="11826.5"/>
    <n v="0"/>
    <n v="0"/>
    <n v="0"/>
    <n v="0"/>
    <n v="0"/>
    <n v="0"/>
  </r>
  <r>
    <x v="8"/>
    <s v="MVPRP"/>
    <s v="C20"/>
    <s v="P3"/>
    <s v="V3"/>
    <x v="1"/>
    <x v="3"/>
    <s v="OPTIMAL"/>
    <n v="20910"/>
    <n v="20910"/>
    <n v="0"/>
    <n v="3.2538580894470202"/>
    <s v="[]"/>
    <n v="189"/>
    <m/>
    <n v="2"/>
    <n v="0.5"/>
    <n v="100"/>
    <n v="50"/>
    <n v="0"/>
    <n v="2"/>
    <s v="True"/>
    <n v="0.05"/>
    <n v="3000"/>
    <n v="12030"/>
    <n v="3897"/>
    <n v="1983"/>
    <n v="0"/>
    <n v="0"/>
    <n v="0"/>
    <n v="0"/>
    <n v="0"/>
    <n v="0"/>
  </r>
  <r>
    <x v="9"/>
    <s v="MVPRP"/>
    <s v="C35"/>
    <s v="P3"/>
    <s v="V3"/>
    <x v="0"/>
    <x v="3"/>
    <s v="OPTIMAL"/>
    <n v="41361.5"/>
    <n v="41361.5"/>
    <n v="0"/>
    <n v="621.01512908935604"/>
    <s v="[]"/>
    <n v="276"/>
    <m/>
    <n v="2"/>
    <n v="0.5"/>
    <n v="100"/>
    <n v="50"/>
    <n v="0"/>
    <n v="2"/>
    <s v="True"/>
    <n v="0.05"/>
    <n v="3000"/>
    <n v="21600"/>
    <n v="7360"/>
    <n v="9401.5"/>
    <n v="0"/>
    <n v="0"/>
    <n v="0"/>
    <n v="0"/>
    <n v="0"/>
    <n v="0"/>
  </r>
  <r>
    <x v="10"/>
    <s v="MVPRP"/>
    <s v="C40"/>
    <s v="P6"/>
    <s v="V3"/>
    <x v="1"/>
    <x v="3"/>
    <s v="TIME_LIMIT"/>
    <n v="91913.499942254304"/>
    <n v="91699.221977955298"/>
    <n v="2.3313002380884401E-3"/>
    <n v="3600.1507289409601"/>
    <s v="[]"/>
    <n v="360"/>
    <m/>
    <n v="2"/>
    <n v="0.5"/>
    <n v="100"/>
    <n v="50"/>
    <n v="0"/>
    <n v="2"/>
    <s v="True"/>
    <n v="0.05"/>
    <n v="6000"/>
    <n v="55170"/>
    <n v="25151"/>
    <n v="5592.4999422542496"/>
    <n v="0"/>
    <n v="0"/>
    <n v="0"/>
    <n v="0"/>
    <n v="0"/>
    <n v="0"/>
  </r>
  <r>
    <x v="11"/>
    <s v="MVPRP"/>
    <s v="C10"/>
    <s v="P3"/>
    <s v="V3"/>
    <x v="0"/>
    <x v="3"/>
    <s v="OPTIMAL"/>
    <n v="16611"/>
    <n v="16611"/>
    <n v="0"/>
    <n v="1.19254899024963"/>
    <s v="[]"/>
    <n v="132"/>
    <m/>
    <n v="2"/>
    <n v="0.5"/>
    <n v="100"/>
    <n v="50"/>
    <n v="0"/>
    <n v="2"/>
    <s v="True"/>
    <n v="0.05"/>
    <n v="3000"/>
    <n v="6390"/>
    <n v="3082"/>
    <n v="4139"/>
    <n v="0"/>
    <n v="0"/>
    <n v="0"/>
    <n v="0"/>
    <n v="0"/>
    <n v="0"/>
  </r>
  <r>
    <x v="12"/>
    <s v="MVPRP"/>
    <s v="C30"/>
    <s v="P3"/>
    <s v="V3"/>
    <x v="0"/>
    <x v="3"/>
    <s v="OPTIMAL"/>
    <n v="33853"/>
    <n v="33853"/>
    <n v="0"/>
    <n v="102.931480884552"/>
    <s v="[]"/>
    <n v="228"/>
    <m/>
    <n v="2"/>
    <n v="0.5"/>
    <n v="100"/>
    <n v="50"/>
    <n v="0"/>
    <n v="2"/>
    <s v="True"/>
    <n v="0.05"/>
    <n v="3000"/>
    <n v="16680"/>
    <n v="6535"/>
    <n v="7638"/>
    <n v="0"/>
    <n v="0"/>
    <n v="0"/>
    <n v="0"/>
    <n v="0"/>
    <n v="0"/>
  </r>
  <r>
    <x v="13"/>
    <s v="MVPRP"/>
    <s v="C20"/>
    <s v="P3"/>
    <s v="V3"/>
    <x v="0"/>
    <x v="3"/>
    <s v="OPTIMAL"/>
    <n v="26786.5"/>
    <n v="26786.5"/>
    <n v="0"/>
    <n v="18.750438928604101"/>
    <s v="[]"/>
    <n v="189"/>
    <m/>
    <n v="2"/>
    <n v="0.5"/>
    <n v="100"/>
    <n v="50"/>
    <n v="0"/>
    <n v="2"/>
    <s v="True"/>
    <n v="0.05"/>
    <n v="3000"/>
    <n v="12030"/>
    <n v="4509"/>
    <n v="7247.5"/>
    <n v="0"/>
    <n v="0"/>
    <n v="0"/>
    <n v="0"/>
    <n v="0"/>
    <n v="0"/>
  </r>
  <r>
    <x v="14"/>
    <s v="MVPRP"/>
    <s v="C35"/>
    <s v="P6"/>
    <s v="V3"/>
    <x v="0"/>
    <x v="3"/>
    <s v="TIME_LIMIT"/>
    <n v="85085.999620258503"/>
    <n v="84172.390987884894"/>
    <n v="1.0737473103108E-2"/>
    <n v="3600.0619230270399"/>
    <s v="[]"/>
    <n v="276"/>
    <m/>
    <n v="2"/>
    <n v="0.5"/>
    <n v="100"/>
    <n v="50"/>
    <n v="0"/>
    <n v="2"/>
    <s v="True"/>
    <n v="0.05"/>
    <n v="6000"/>
    <n v="42899.999999996799"/>
    <n v="21081.999456215399"/>
    <n v="15104.0001640463"/>
    <n v="0"/>
    <n v="0"/>
    <n v="0"/>
    <n v="0"/>
    <n v="0"/>
    <n v="0"/>
  </r>
  <r>
    <x v="15"/>
    <s v="MVPRP"/>
    <s v="C25"/>
    <s v="P6"/>
    <s v="V3"/>
    <x v="0"/>
    <x v="3"/>
    <s v="TIME_LIMIT"/>
    <n v="65227.495956007602"/>
    <n v="64960.846244726403"/>
    <n v="4.0879955204947797E-3"/>
    <n v="3600.07558894157"/>
    <s v="[]"/>
    <n v="189"/>
    <m/>
    <n v="2"/>
    <n v="0.5"/>
    <n v="100"/>
    <n v="50"/>
    <n v="0"/>
    <n v="2"/>
    <s v="True"/>
    <n v="0.05"/>
    <n v="6000"/>
    <n v="28380"/>
    <n v="18456.996115861501"/>
    <n v="12390.4998401461"/>
    <n v="0"/>
    <n v="0"/>
    <n v="0"/>
    <n v="0"/>
    <n v="0"/>
    <n v="0"/>
  </r>
  <r>
    <x v="16"/>
    <s v="MVPRP"/>
    <s v="C15"/>
    <s v="P6"/>
    <s v="V3"/>
    <x v="0"/>
    <x v="3"/>
    <s v="OPTIMAL"/>
    <n v="49264.5"/>
    <n v="49260.743995347599"/>
    <n v="7.6241607088590503E-5"/>
    <n v="57.6475670337677"/>
    <s v="[]"/>
    <n v="132"/>
    <m/>
    <n v="2"/>
    <n v="0.5"/>
    <n v="100"/>
    <n v="50"/>
    <n v="0"/>
    <n v="2"/>
    <s v="True"/>
    <n v="0.05"/>
    <n v="6000"/>
    <n v="19800"/>
    <n v="12042"/>
    <n v="11422.5"/>
    <n v="0"/>
    <n v="0"/>
    <n v="0"/>
    <n v="0"/>
    <n v="0"/>
    <n v="0"/>
  </r>
  <r>
    <x v="17"/>
    <s v="MVPRP"/>
    <s v="C50"/>
    <s v="P3"/>
    <s v="V3"/>
    <x v="0"/>
    <x v="3"/>
    <s v="TIME_LIMIT"/>
    <n v="54604.999542910897"/>
    <n v="54230.911383608298"/>
    <n v="6.8508041833894896E-3"/>
    <n v="3600.0583188533801"/>
    <s v="[]"/>
    <n v="360"/>
    <m/>
    <n v="2"/>
    <n v="0.5"/>
    <n v="100"/>
    <n v="50"/>
    <n v="0"/>
    <n v="2"/>
    <s v="True"/>
    <n v="0.05"/>
    <n v="3000"/>
    <n v="29580"/>
    <n v="10419"/>
    <n v="11605.9995429109"/>
    <n v="0"/>
    <n v="0"/>
    <n v="0"/>
    <n v="0"/>
    <n v="0"/>
    <n v="0"/>
  </r>
  <r>
    <x v="18"/>
    <s v="MVPRP"/>
    <s v="C30"/>
    <s v="P6"/>
    <s v="V3"/>
    <x v="0"/>
    <x v="3"/>
    <s v="TIME_LIMIT"/>
    <n v="69819.4998441918"/>
    <n v="69466.623639525802"/>
    <n v="5.0541210615012398E-3"/>
    <n v="3600.04102897644"/>
    <s v="[]"/>
    <n v="228"/>
    <m/>
    <n v="2"/>
    <n v="0.5"/>
    <n v="100"/>
    <n v="50"/>
    <n v="0"/>
    <n v="2"/>
    <s v="True"/>
    <n v="0.05"/>
    <n v="6000"/>
    <n v="33149.999917894398"/>
    <n v="17739.999926297402"/>
    <n v="12929.5"/>
    <n v="0"/>
    <n v="0"/>
    <n v="0"/>
    <n v="0"/>
    <n v="0"/>
    <n v="0"/>
  </r>
  <r>
    <x v="19"/>
    <s v="MVPRP"/>
    <s v="C45"/>
    <s v="P3"/>
    <s v="V3"/>
    <x v="1"/>
    <x v="3"/>
    <s v="OPTIMAL"/>
    <n v="47460"/>
    <n v="47456.491272926498"/>
    <n v="7.3930195395707107E-5"/>
    <n v="921.40168499946606"/>
    <s v="[]"/>
    <n v="360"/>
    <m/>
    <n v="2"/>
    <n v="0.5"/>
    <n v="100"/>
    <n v="50"/>
    <n v="0"/>
    <n v="2"/>
    <s v="True"/>
    <n v="0.05"/>
    <n v="6000"/>
    <n v="33060"/>
    <n v="4926"/>
    <n v="3474"/>
    <n v="0"/>
    <n v="0"/>
    <n v="0"/>
    <n v="0"/>
    <n v="0"/>
    <n v="0"/>
  </r>
  <r>
    <x v="20"/>
    <s v="MVPRP"/>
    <s v="C25"/>
    <s v="P6"/>
    <s v="V3"/>
    <x v="1"/>
    <x v="3"/>
    <s v="OPTIMAL"/>
    <n v="54401"/>
    <n v="54401"/>
    <n v="0"/>
    <n v="175.58229088783301"/>
    <s v="[]"/>
    <n v="189"/>
    <m/>
    <n v="2"/>
    <n v="0.5"/>
    <n v="100"/>
    <n v="50"/>
    <n v="0"/>
    <n v="2"/>
    <s v="True"/>
    <n v="0.05"/>
    <n v="6000"/>
    <n v="28380"/>
    <n v="16316"/>
    <n v="3705"/>
    <n v="0"/>
    <n v="0"/>
    <n v="0"/>
    <n v="0"/>
    <n v="0"/>
    <n v="0"/>
  </r>
  <r>
    <x v="21"/>
    <s v="MVPRP"/>
    <s v="C35"/>
    <s v="P6"/>
    <s v="V3"/>
    <x v="1"/>
    <x v="3"/>
    <s v="TIME_LIMIT"/>
    <n v="71232"/>
    <n v="71100.599730043003"/>
    <n v="1.84468033969259E-3"/>
    <n v="3600.1047670841199"/>
    <s v="[]"/>
    <n v="276"/>
    <m/>
    <n v="2"/>
    <n v="0.5"/>
    <n v="100"/>
    <n v="50"/>
    <n v="0"/>
    <n v="2"/>
    <s v="True"/>
    <n v="0.05"/>
    <n v="6000"/>
    <n v="42900"/>
    <n v="17311"/>
    <n v="5021"/>
    <n v="0"/>
    <n v="0"/>
    <n v="0"/>
    <n v="0"/>
    <n v="0"/>
    <n v="0"/>
  </r>
  <r>
    <x v="22"/>
    <s v="MVPRP"/>
    <s v="C25"/>
    <s v="P3"/>
    <s v="V3"/>
    <x v="1"/>
    <x v="3"/>
    <s v="OPTIMAL"/>
    <n v="24584.5"/>
    <n v="24584.5"/>
    <n v="0"/>
    <n v="32.363929033279398"/>
    <s v="[]"/>
    <n v="189"/>
    <m/>
    <n v="2"/>
    <n v="0.5"/>
    <n v="100"/>
    <n v="50"/>
    <n v="0"/>
    <n v="2"/>
    <s v="True"/>
    <n v="0.05"/>
    <n v="3000"/>
    <n v="14340"/>
    <n v="4877"/>
    <n v="2367.5"/>
    <n v="0"/>
    <n v="0"/>
    <n v="0"/>
    <n v="0"/>
    <n v="0"/>
    <n v="0"/>
  </r>
  <r>
    <x v="23"/>
    <s v="MVPRP"/>
    <s v="C10"/>
    <s v="P6"/>
    <s v="V3"/>
    <x v="1"/>
    <x v="3"/>
    <s v="OPTIMAL"/>
    <n v="28272"/>
    <n v="28270.6093319262"/>
    <n v="4.9188882066678302E-5"/>
    <n v="3.55665111541748"/>
    <s v="[]"/>
    <n v="132"/>
    <m/>
    <n v="2"/>
    <n v="0.5"/>
    <n v="100"/>
    <n v="50"/>
    <n v="0"/>
    <n v="2"/>
    <s v="True"/>
    <n v="0.05"/>
    <n v="6000"/>
    <n v="12690"/>
    <n v="7408"/>
    <n v="2174"/>
    <n v="0"/>
    <n v="0"/>
    <n v="0"/>
    <n v="0"/>
    <n v="0"/>
    <n v="0"/>
  </r>
  <r>
    <x v="24"/>
    <s v="MVPRP"/>
    <s v="C35"/>
    <s v="P3"/>
    <s v="V3"/>
    <x v="1"/>
    <x v="3"/>
    <s v="OPTIMAL"/>
    <n v="33517.5"/>
    <n v="33517.5"/>
    <n v="0"/>
    <n v="134.83490800857501"/>
    <s v="[]"/>
    <n v="276"/>
    <m/>
    <n v="2"/>
    <n v="0.5"/>
    <n v="100"/>
    <n v="50"/>
    <n v="0"/>
    <n v="2"/>
    <s v="True"/>
    <n v="0.05"/>
    <n v="3000"/>
    <n v="21600"/>
    <n v="6341"/>
    <n v="2576.5"/>
    <n v="0"/>
    <n v="0"/>
    <n v="0"/>
    <n v="0"/>
    <n v="0"/>
    <n v="0"/>
  </r>
  <r>
    <x v="25"/>
    <s v="MVPRP"/>
    <s v="C10"/>
    <s v="P6"/>
    <s v="V3"/>
    <x v="0"/>
    <x v="3"/>
    <s v="OPTIMAL"/>
    <n v="34625.5"/>
    <n v="34625.5"/>
    <n v="0"/>
    <n v="1.75228595733643"/>
    <s v="[]"/>
    <n v="132"/>
    <m/>
    <n v="2"/>
    <n v="0.5"/>
    <n v="100"/>
    <n v="50"/>
    <n v="0"/>
    <n v="2"/>
    <s v="True"/>
    <n v="0.05"/>
    <n v="6000"/>
    <n v="12690"/>
    <n v="8493"/>
    <n v="7442.5"/>
    <n v="0"/>
    <n v="0"/>
    <n v="0"/>
    <n v="0"/>
    <n v="0"/>
    <n v="0"/>
  </r>
  <r>
    <x v="26"/>
    <s v="MVPRP"/>
    <s v="C50"/>
    <s v="P3"/>
    <s v="V3"/>
    <x v="1"/>
    <x v="3"/>
    <s v="OPTIMAL"/>
    <n v="43699.5"/>
    <n v="43699.5"/>
    <n v="0"/>
    <n v="1575.5385169982901"/>
    <s v="[]"/>
    <n v="360"/>
    <m/>
    <n v="2"/>
    <n v="0.5"/>
    <n v="100"/>
    <n v="50"/>
    <n v="0"/>
    <n v="2"/>
    <s v="True"/>
    <n v="0.05"/>
    <n v="6000"/>
    <n v="29580"/>
    <n v="4586"/>
    <n v="3533.5"/>
    <n v="0"/>
    <n v="0"/>
    <n v="0"/>
    <n v="0"/>
    <n v="0"/>
    <n v="0"/>
  </r>
  <r>
    <x v="27"/>
    <s v="MVPRP"/>
    <s v="C30"/>
    <s v="P6"/>
    <s v="V3"/>
    <x v="1"/>
    <x v="3"/>
    <s v="TIME_LIMIT"/>
    <n v="58370.999852040499"/>
    <n v="58337.748184958597"/>
    <n v="5.6966074191187595E-4"/>
    <n v="3600.0510439872701"/>
    <s v="[]"/>
    <n v="228"/>
    <m/>
    <n v="2"/>
    <n v="0.5"/>
    <n v="100"/>
    <n v="50"/>
    <n v="0"/>
    <n v="2"/>
    <s v="True"/>
    <n v="0.05"/>
    <n v="6000"/>
    <n v="33149.999898718197"/>
    <n v="15611.9999533222"/>
    <n v="3609"/>
    <n v="0"/>
    <n v="0"/>
    <n v="0"/>
    <n v="0"/>
    <n v="0"/>
    <n v="0"/>
  </r>
  <r>
    <x v="28"/>
    <s v="MVPRP"/>
    <s v="C25"/>
    <s v="P9"/>
    <s v="V3"/>
    <x v="1"/>
    <x v="3"/>
    <s v="OPTIMAL"/>
    <n v="95318.5"/>
    <n v="95309.500866150003"/>
    <n v="9.4411198770556399E-5"/>
    <n v="1717.50952887535"/>
    <s v="[]"/>
    <n v="189"/>
    <m/>
    <n v="2"/>
    <n v="0.5"/>
    <n v="100"/>
    <n v="50"/>
    <n v="0"/>
    <n v="2"/>
    <s v="True"/>
    <n v="0.05"/>
    <n v="9000"/>
    <n v="59880"/>
    <n v="19204"/>
    <n v="7234.5"/>
    <n v="0"/>
    <n v="0"/>
    <n v="0"/>
    <n v="0"/>
    <n v="0"/>
    <n v="0"/>
  </r>
  <r>
    <x v="29"/>
    <s v="MVPRP"/>
    <s v="C25"/>
    <s v="P3"/>
    <s v="V3"/>
    <x v="0"/>
    <x v="3"/>
    <s v="OPTIMAL"/>
    <n v="31011.5"/>
    <n v="31011.5"/>
    <n v="0"/>
    <n v="49.085165977477999"/>
    <s v="[]"/>
    <n v="189"/>
    <m/>
    <n v="2"/>
    <n v="0.5"/>
    <n v="100"/>
    <n v="50"/>
    <n v="0"/>
    <n v="2"/>
    <s v="True"/>
    <n v="0.05"/>
    <n v="3000"/>
    <n v="14340"/>
    <n v="6083"/>
    <n v="7588.5"/>
    <n v="0"/>
    <n v="0"/>
    <n v="0"/>
    <n v="0"/>
    <n v="0"/>
    <n v="0"/>
  </r>
  <r>
    <x v="30"/>
    <s v="MVPRP"/>
    <s v="C15"/>
    <s v="P6"/>
    <s v="V3"/>
    <x v="1"/>
    <x v="3"/>
    <s v="OPTIMAL"/>
    <n v="39771.5"/>
    <n v="39771.5"/>
    <n v="0"/>
    <n v="1815.4872729778299"/>
    <s v="[]"/>
    <n v="132"/>
    <m/>
    <n v="2"/>
    <n v="0.5"/>
    <n v="100"/>
    <n v="50"/>
    <n v="0"/>
    <n v="2"/>
    <s v="True"/>
    <n v="0.05"/>
    <n v="6000"/>
    <n v="19800"/>
    <n v="10042"/>
    <n v="3929.5"/>
    <n v="0"/>
    <n v="0"/>
    <n v="0"/>
    <n v="0"/>
    <n v="0"/>
    <n v="0"/>
  </r>
  <r>
    <x v="31"/>
    <s v="MVPRP"/>
    <s v="C15"/>
    <s v="P3"/>
    <s v="V3"/>
    <x v="1"/>
    <x v="3"/>
    <s v="OPTIMAL"/>
    <n v="18296"/>
    <n v="18296"/>
    <n v="0"/>
    <n v="19.071405172348001"/>
    <s v="[]"/>
    <n v="132"/>
    <m/>
    <n v="2"/>
    <n v="0.5"/>
    <n v="100"/>
    <n v="50"/>
    <n v="0"/>
    <n v="2"/>
    <s v="True"/>
    <n v="0.05"/>
    <n v="3000"/>
    <n v="9960"/>
    <n v="3581"/>
    <n v="1755"/>
    <n v="0"/>
    <n v="0"/>
    <n v="0"/>
    <n v="0"/>
    <n v="0"/>
    <n v="0"/>
  </r>
  <r>
    <x v="32"/>
    <s v="MVPRP"/>
    <s v="C20"/>
    <s v="P6"/>
    <s v="V3"/>
    <x v="0"/>
    <x v="3"/>
    <s v="TIME_LIMIT"/>
    <n v="55322.499816250303"/>
    <n v="54992.145958273097"/>
    <n v="5.9714195684285399E-3"/>
    <n v="3600.04701304436"/>
    <s v="[]"/>
    <n v="189"/>
    <m/>
    <n v="2"/>
    <n v="0.5"/>
    <n v="100"/>
    <n v="50"/>
    <n v="0"/>
    <n v="2"/>
    <s v="True"/>
    <n v="0.05"/>
    <n v="6000"/>
    <n v="23820"/>
    <n v="14425"/>
    <n v="11077.4998162503"/>
    <n v="0"/>
    <n v="0"/>
    <n v="0"/>
    <n v="0"/>
    <n v="0"/>
    <n v="0"/>
  </r>
  <r>
    <x v="33"/>
    <s v="MVPRP"/>
    <s v="C20"/>
    <s v="P9"/>
    <s v="V3"/>
    <x v="0"/>
    <x v="3"/>
    <s v="TIME_LIMIT"/>
    <n v="96525.499358178204"/>
    <n v="96159.489974376498"/>
    <n v="3.7918413915008901E-3"/>
    <n v="3600.0966207981101"/>
    <s v="[]"/>
    <n v="189"/>
    <m/>
    <n v="2"/>
    <n v="0.5"/>
    <n v="100"/>
    <n v="50"/>
    <n v="0"/>
    <n v="2"/>
    <s v="True"/>
    <n v="0.05"/>
    <n v="9000"/>
    <n v="48119.999645334399"/>
    <n v="17500.999712843801"/>
    <n v="21904.5"/>
    <n v="0"/>
    <n v="0"/>
    <n v="0"/>
    <n v="0"/>
    <n v="0"/>
    <n v="0"/>
  </r>
  <r>
    <x v="34"/>
    <s v="MVPRP"/>
    <s v="C40"/>
    <s v="P6"/>
    <s v="V3"/>
    <x v="0"/>
    <x v="3"/>
    <s v="TIME_LIMIT"/>
    <n v="108069.999896496"/>
    <n v="106696.701272203"/>
    <n v="1.27074916776955E-2"/>
    <n v="3600.1495361328102"/>
    <s v="[]"/>
    <n v="360"/>
    <m/>
    <n v="2"/>
    <n v="0.5"/>
    <n v="100"/>
    <n v="50"/>
    <n v="0"/>
    <n v="2"/>
    <s v="True"/>
    <n v="0.05"/>
    <n v="6000"/>
    <n v="55169.999999606502"/>
    <n v="31048.000066417098"/>
    <n v="15851.9998304725"/>
    <n v="0"/>
    <n v="0"/>
    <n v="0"/>
    <n v="0"/>
    <n v="0"/>
    <n v="0"/>
  </r>
  <r>
    <x v="35"/>
    <s v="MVPRP"/>
    <s v="C20"/>
    <s v="P9"/>
    <s v="V3"/>
    <x v="1"/>
    <x v="3"/>
    <s v="OPTIMAL"/>
    <n v="77944.999831541107"/>
    <n v="77943.090053310094"/>
    <n v="2.45016131255053E-5"/>
    <n v="192.42560005188"/>
    <s v="[]"/>
    <n v="189"/>
    <m/>
    <n v="2"/>
    <n v="0.5"/>
    <n v="100"/>
    <n v="50"/>
    <n v="0"/>
    <n v="2"/>
    <s v="True"/>
    <n v="0.05"/>
    <n v="9000"/>
    <n v="48119.999849458203"/>
    <n v="15031.9999820829"/>
    <n v="5793"/>
    <n v="0"/>
    <n v="0"/>
    <n v="0"/>
    <n v="0"/>
    <n v="0"/>
    <n v="0"/>
  </r>
  <r>
    <x v="36"/>
    <s v="MVPRP"/>
    <s v="C15"/>
    <s v="P9"/>
    <s v="V3"/>
    <x v="0"/>
    <x v="3"/>
    <s v="TIME_LIMIT"/>
    <n v="89063.999121602406"/>
    <n v="88001.963644798205"/>
    <n v="1.19244081478321E-2"/>
    <n v="3600.0441670417799"/>
    <s v="[]"/>
    <n v="132"/>
    <m/>
    <n v="2"/>
    <n v="0.5"/>
    <n v="100"/>
    <n v="50"/>
    <n v="0"/>
    <n v="2"/>
    <s v="True"/>
    <n v="0.05"/>
    <n v="9000"/>
    <n v="40949.999987188297"/>
    <n v="16372.999968296501"/>
    <n v="22740.999166117599"/>
    <n v="0"/>
    <n v="0"/>
    <n v="0"/>
    <n v="0"/>
    <n v="0"/>
    <n v="0"/>
  </r>
  <r>
    <x v="37"/>
    <s v="MVPRP"/>
    <s v="C30"/>
    <s v="P9"/>
    <s v="V3"/>
    <x v="1"/>
    <x v="3"/>
    <s v="TIME_LIMIT"/>
    <n v="104120"/>
    <n v="103658.355906187"/>
    <n v="4.4337696293953802E-3"/>
    <n v="3600.1525189876602"/>
    <s v="[]"/>
    <n v="228"/>
    <m/>
    <n v="2"/>
    <n v="0.5"/>
    <n v="100"/>
    <n v="50"/>
    <n v="0"/>
    <n v="2"/>
    <s v="True"/>
    <n v="0.05"/>
    <n v="12000"/>
    <n v="67710"/>
    <n v="16173"/>
    <n v="8237"/>
    <n v="0"/>
    <n v="0"/>
    <n v="0"/>
    <n v="0"/>
    <n v="0"/>
    <n v="0"/>
  </r>
  <r>
    <x v="38"/>
    <s v="MVPRP"/>
    <s v="C10"/>
    <s v="P9"/>
    <s v="V3"/>
    <x v="1"/>
    <x v="3"/>
    <s v="OPTIMAL"/>
    <n v="48654.5"/>
    <n v="48654.5"/>
    <n v="0"/>
    <n v="39.388911008834803"/>
    <s v="[]"/>
    <n v="132"/>
    <m/>
    <n v="2"/>
    <n v="0.5"/>
    <n v="100"/>
    <n v="50"/>
    <n v="0"/>
    <n v="2"/>
    <s v="True"/>
    <n v="0.05"/>
    <n v="9000"/>
    <n v="26370"/>
    <n v="9066"/>
    <n v="4218.5"/>
    <n v="0"/>
    <n v="0"/>
    <n v="0"/>
    <n v="0"/>
    <n v="0"/>
    <n v="0"/>
  </r>
  <r>
    <x v="39"/>
    <s v="MVPRP"/>
    <s v="C30"/>
    <s v="P3"/>
    <s v="V3"/>
    <x v="1"/>
    <x v="3"/>
    <s v="OPTIMAL"/>
    <n v="27227.5"/>
    <n v="27227.5"/>
    <n v="0"/>
    <n v="293.42446899414102"/>
    <s v="[]"/>
    <n v="228"/>
    <m/>
    <n v="2"/>
    <n v="0.5"/>
    <n v="100"/>
    <n v="50"/>
    <n v="0"/>
    <n v="2"/>
    <s v="True"/>
    <n v="0.05"/>
    <n v="3000"/>
    <n v="16680"/>
    <n v="5477"/>
    <n v="2070.5"/>
    <n v="0"/>
    <n v="0"/>
    <n v="0"/>
    <n v="0"/>
    <n v="0"/>
    <n v="0"/>
  </r>
  <r>
    <x v="40"/>
    <s v="MVPRP"/>
    <s v="C10"/>
    <s v="P9"/>
    <s v="V3"/>
    <x v="0"/>
    <x v="3"/>
    <s v="OPTIMAL"/>
    <n v="61035.5"/>
    <n v="61033.606355002797"/>
    <n v="3.1025304900483003E-5"/>
    <n v="234.87872982025101"/>
    <s v="[]"/>
    <n v="132"/>
    <m/>
    <n v="2"/>
    <n v="0.5"/>
    <n v="100"/>
    <n v="50"/>
    <n v="0"/>
    <n v="2"/>
    <s v="True"/>
    <n v="0.05"/>
    <n v="9000"/>
    <n v="26370"/>
    <n v="12609"/>
    <n v="13056.5"/>
    <n v="0"/>
    <n v="0"/>
    <n v="0"/>
    <n v="0"/>
    <n v="0"/>
    <n v="0"/>
  </r>
  <r>
    <x v="41"/>
    <s v="MVPRP"/>
    <s v="C25"/>
    <s v="P9"/>
    <s v="V3"/>
    <x v="0"/>
    <x v="3"/>
    <s v="TIME_LIMIT"/>
    <n v="116251.499881542"/>
    <n v="115245.010231066"/>
    <n v="8.65786378241621E-3"/>
    <n v="3600.0542008876801"/>
    <s v="[]"/>
    <n v="189"/>
    <m/>
    <n v="2"/>
    <n v="0.5"/>
    <n v="100"/>
    <n v="50"/>
    <n v="0"/>
    <n v="2"/>
    <s v="True"/>
    <n v="0.05"/>
    <n v="9000"/>
    <n v="59880"/>
    <n v="23093"/>
    <n v="24278.4998815422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s v="MVPRP_C10_P3_V3_I1"/>
    <s v="MVPRP"/>
    <s v="C10"/>
    <x v="0"/>
    <s v="V3"/>
    <x v="0"/>
    <n v="14236"/>
    <n v="14236"/>
    <n v="0"/>
    <n v="2.5246286392211901"/>
    <n v="13025.581183165399"/>
    <n v="13025.581183165499"/>
    <n v="0"/>
    <n v="0.64924144744873102"/>
    <n v="13025.581183165499"/>
    <n v="13025.581183165499"/>
    <n v="0"/>
    <n v="3.8723945617675802E-2"/>
    <n v="13002.5"/>
    <n v="13002.5"/>
    <n v="0"/>
    <n v="0.41492295265197798"/>
    <n v="1210.4188168346009"/>
    <n v="9.2926280970785218"/>
    <n v="9.2926280970785218"/>
    <n v="9.2926280970777544"/>
    <n v="1.0004441719502211E-10"/>
    <n v="7.6806106221442253E-13"/>
    <n v="0"/>
  </r>
  <r>
    <s v="MVPRP_C10_P6_V3_I1"/>
    <s v="MVPRP"/>
    <s v="C10"/>
    <x v="1"/>
    <s v="V3"/>
    <x v="0"/>
    <n v="30297"/>
    <n v="30297"/>
    <n v="0"/>
    <n v="6.7486011981964102"/>
    <n v="28310.613691574901"/>
    <n v="28310.613691574901"/>
    <n v="0"/>
    <n v="3.781005859375"/>
    <n v="28310.613691574999"/>
    <n v="28310.613691574999"/>
    <n v="0"/>
    <n v="0.11749911308288601"/>
    <n v="28272"/>
    <n v="28270.6093319262"/>
    <n v="4.9188882066678302E-5"/>
    <n v="3.55665111541748"/>
    <n v="1986.3863084250988"/>
    <n v="7.0164014459928064"/>
    <n v="7.0164014459928064"/>
    <n v="7.0164014459928064"/>
    <n v="9.822542779147625E-11"/>
    <n v="3.4695619410294752E-13"/>
    <n v="3.4695619410294752E-13"/>
  </r>
  <r>
    <s v="MVPRP_C10_P9_V3_I1"/>
    <s v="MVPRP"/>
    <s v="C10"/>
    <x v="2"/>
    <s v="V3"/>
    <x v="0"/>
    <n v="52638.999136016602"/>
    <n v="52635.5040288241"/>
    <n v="6.6397675675101896E-5"/>
    <n v="249.137942075729"/>
    <n v="48769.624497487697"/>
    <n v="48769.624497487697"/>
    <n v="0"/>
    <n v="14.7140622138977"/>
    <n v="48769.624534886003"/>
    <n v="48769.624534886003"/>
    <n v="0"/>
    <n v="0.15393519401550301"/>
    <n v="48654.5"/>
    <n v="48654.5"/>
    <n v="0"/>
    <n v="39.388911008834803"/>
    <n v="3869.3746385289051"/>
    <n v="7.9339848899764043"/>
    <n v="7.9268183242533441"/>
    <n v="7.9339848899764043"/>
    <n v="3.7398305721580982E-5"/>
    <n v="7.6683603999262916E-8"/>
    <n v="7.6683603999262916E-8"/>
  </r>
  <r>
    <s v="MVPRP_C15_P3_V3_I1"/>
    <s v="MVPRP"/>
    <s v="C15"/>
    <x v="0"/>
    <s v="V3"/>
    <x v="0"/>
    <n v="19989"/>
    <n v="19989"/>
    <n v="0"/>
    <n v="7.2398519515991202"/>
    <n v="18327.171586345099"/>
    <n v="18327.171586345099"/>
    <n v="0"/>
    <n v="5.0224914550781303"/>
    <n v="18327.171586345099"/>
    <n v="18327.171586345099"/>
    <n v="0"/>
    <n v="5.6643009185791002E-2"/>
    <n v="18296"/>
    <n v="18296"/>
    <n v="0"/>
    <n v="19.071405172348001"/>
    <n v="1661.8284136549009"/>
    <n v="9.0675661862252017"/>
    <n v="9.0675661862252017"/>
    <n v="9.0675661862252017"/>
    <n v="0"/>
    <n v="0"/>
    <n v="0"/>
  </r>
  <r>
    <s v="MVPRP_C15_P6_V3_I1"/>
    <s v="MVPRP"/>
    <s v="C15"/>
    <x v="1"/>
    <s v="V3"/>
    <x v="0"/>
    <n v="42791"/>
    <n v="42786.818181818198"/>
    <n v="9.7726582268017797E-5"/>
    <n v="581.02645182609604"/>
    <n v="39870.507457640299"/>
    <n v="39866.7900447266"/>
    <n v="9.3237160768489804E-5"/>
    <n v="57.2211880683899"/>
    <n v="39887.0536174511"/>
    <n v="39884.0536174511"/>
    <n v="7.5212374139731902E-5"/>
    <n v="0.15292310714721699"/>
    <n v="39771.5"/>
    <n v="39771.5"/>
    <n v="0"/>
    <n v="1815.4872729778299"/>
    <n v="2920.4925423597015"/>
    <n v="7.3249444980416314"/>
    <n v="7.3144559980238073"/>
    <n v="7.3342682141183531"/>
    <n v="16.546159810801328"/>
    <n v="4.149974722137785E-2"/>
    <n v="5.0823463298099093E-2"/>
  </r>
  <r>
    <s v="MVPRP_C15_P9_V3_I1"/>
    <s v="MVPRP"/>
    <s v="C15"/>
    <x v="2"/>
    <s v="V3"/>
    <x v="0"/>
    <n v="75988"/>
    <n v="75255.136008802001"/>
    <n v="9.64447006366774E-3"/>
    <n v="3601.1645689010602"/>
    <n v="69995.221982867806"/>
    <n v="69846.211570691303"/>
    <n v="2.1288654847463899E-3"/>
    <n v="3600.08675694466"/>
    <n v="69995.222006055599"/>
    <n v="69995.222006055599"/>
    <n v="0"/>
    <n v="0.48168206214904802"/>
    <n v="69719.499487781795"/>
    <n v="69557.494086119696"/>
    <n v="2.3236741923323202E-3"/>
    <n v="3600.0968580245999"/>
    <n v="5992.7780171321938"/>
    <n v="8.5616958520383015"/>
    <n v="7.5146758263322937"/>
    <n v="8.7745824005129602"/>
    <n v="2.3187792976386845E-5"/>
    <n v="3.3127679746572336E-8"/>
    <n v="0.21288658160233931"/>
  </r>
  <r>
    <s v="MVPRP_C20_P3_V3_I1"/>
    <s v="MVPRP"/>
    <s v="C20"/>
    <x v="0"/>
    <s v="V3"/>
    <x v="0"/>
    <n v="22675"/>
    <n v="22675"/>
    <n v="0"/>
    <n v="7.94667267799377"/>
    <n v="20945.2212283318"/>
    <n v="20945.2212283318"/>
    <n v="0"/>
    <n v="6.7645709514617902"/>
    <n v="20945.2212283318"/>
    <n v="20945.2212283318"/>
    <n v="0"/>
    <n v="8.70928764343262E-2"/>
    <n v="20910"/>
    <n v="20910"/>
    <n v="0"/>
    <n v="3.2538580894470202"/>
    <n v="1729.7787716681996"/>
    <n v="8.2585843940783672"/>
    <n v="8.2585843940783672"/>
    <n v="8.2585843940783672"/>
    <n v="0"/>
    <n v="0"/>
    <n v="0"/>
  </r>
  <r>
    <s v="MVPRP_C20_P6_V3_I1"/>
    <s v="MVPRP"/>
    <s v="C20"/>
    <x v="1"/>
    <s v="V3"/>
    <x v="0"/>
    <n v="48181"/>
    <n v="48181"/>
    <n v="0"/>
    <n v="27.982041597366301"/>
    <n v="45340.890509310302"/>
    <n v="45340.890509310302"/>
    <n v="0"/>
    <n v="24.0150790214539"/>
    <n v="45340.890509310397"/>
    <n v="45340.890509310397"/>
    <n v="0"/>
    <n v="0.403185844421387"/>
    <n v="45263.5"/>
    <n v="45263.5"/>
    <n v="0"/>
    <n v="31.1466820240021"/>
    <n v="2840.1094906896979"/>
    <n v="6.2639031981661448"/>
    <n v="6.2639031981661448"/>
    <n v="6.2639031981661448"/>
    <n v="9.4587448984384537E-11"/>
    <n v="2.0861400806621109E-13"/>
    <n v="2.0861400806621109E-13"/>
  </r>
  <r>
    <s v="MVPRP_C20_P9_V3_I1"/>
    <s v="MVPRP"/>
    <s v="C20"/>
    <x v="2"/>
    <s v="V3"/>
    <x v="0"/>
    <n v="83684.999949504898"/>
    <n v="83678.781075164996"/>
    <n v="7.4312891721312597E-5"/>
    <n v="1338.0379493236501"/>
    <n v="78181.978681211694"/>
    <n v="78181.978681211694"/>
    <n v="0"/>
    <n v="168.85927939415001"/>
    <n v="78182.2733102817"/>
    <n v="78174.802840074204"/>
    <n v="9.5551969662771105E-5"/>
    <n v="0.51927495002746604"/>
    <n v="77944.999831541107"/>
    <n v="77943.090053310094"/>
    <n v="2.45016131255053E-5"/>
    <n v="192.42560005188"/>
    <n v="5503.0212682932033"/>
    <n v="7.0387336840525148"/>
    <n v="7.0307793262263205"/>
    <n v="7.0387336840525148"/>
    <n v="0.29462907000561245"/>
    <n v="3.7685036241787552E-4"/>
    <n v="3.7685036241787552E-4"/>
  </r>
  <r>
    <s v="MVPRP_C25_P3_V3_I1"/>
    <s v="MVPRP"/>
    <s v="C25"/>
    <x v="0"/>
    <s v="V3"/>
    <x v="0"/>
    <n v="26569"/>
    <n v="26569"/>
    <n v="0"/>
    <n v="15.451955080032301"/>
    <n v="24674.5535864923"/>
    <n v="24674.5535864923"/>
    <n v="0"/>
    <n v="27.5521998405457"/>
    <n v="24674.5535864923"/>
    <n v="24674.5535864923"/>
    <n v="0"/>
    <n v="0.151582956314087"/>
    <n v="24584.5"/>
    <n v="24584.5"/>
    <n v="0"/>
    <n v="32.363929033279398"/>
    <n v="1894.4464135076996"/>
    <n v="7.6777332844829447"/>
    <n v="7.6777332844829447"/>
    <n v="7.6777332844829447"/>
    <n v="0"/>
    <n v="0"/>
    <n v="0"/>
  </r>
  <r>
    <s v="MVPRP_C25_P6_V3_I1"/>
    <s v="MVPRP"/>
    <s v="C25"/>
    <x v="1"/>
    <s v="V3"/>
    <x v="0"/>
    <n v="57677"/>
    <n v="57671.304179105799"/>
    <n v="9.8753764832643705E-5"/>
    <n v="189.830693244934"/>
    <n v="54514.809695994598"/>
    <n v="54514.809695994598"/>
    <n v="0"/>
    <n v="142.25196409225501"/>
    <n v="54514.809709988898"/>
    <n v="54511.181844027698"/>
    <n v="6.6548264233276603E-5"/>
    <n v="0.48333787918090798"/>
    <n v="54401"/>
    <n v="54401"/>
    <n v="0"/>
    <n v="175.58229088783301"/>
    <n v="3162.1903040054021"/>
    <n v="5.8006078011453459"/>
    <n v="5.7901595928034943"/>
    <n v="5.8006078011453459"/>
    <n v="1.3994300388731062E-5"/>
    <n v="2.5670639715650103E-8"/>
    <n v="2.5670639715650103E-8"/>
  </r>
  <r>
    <s v="MVPRP_C25_P9_V3_I1"/>
    <s v="MVPRP"/>
    <s v="C25"/>
    <x v="2"/>
    <s v="V3"/>
    <x v="0"/>
    <n v="101897.9996581"/>
    <n v="101701.50339873599"/>
    <n v="1.9283622840831501E-3"/>
    <n v="3603.4120757579799"/>
    <n v="95664.295049533001"/>
    <n v="95654.819448160095"/>
    <n v="9.9050553479134305E-5"/>
    <n v="1795.2350549697901"/>
    <n v="95664.295208659896"/>
    <n v="95661.420657705006"/>
    <n v="3.00483158173635E-5"/>
    <n v="0.86931490898132302"/>
    <n v="95318.5"/>
    <n v="95309.500866150003"/>
    <n v="9.4411198770556399E-5"/>
    <n v="1717.50952887535"/>
    <n v="6233.7046085670008"/>
    <n v="6.5162290751625953"/>
    <n v="6.3108271963714895"/>
    <n v="6.5261341305105693"/>
    <n v="1.5912689559627324E-4"/>
    <n v="1.6633885768340278E-7"/>
    <n v="9.9052216868319581E-3"/>
  </r>
  <r>
    <s v="MVPRP_C30_P3_V3_I1"/>
    <s v="MVPRP"/>
    <s v="C30"/>
    <x v="0"/>
    <s v="V3"/>
    <x v="0"/>
    <n v="29172"/>
    <n v="29172"/>
    <n v="0"/>
    <n v="15.691298961639401"/>
    <n v="27264.275367252099"/>
    <n v="27264.275367252099"/>
    <n v="0"/>
    <n v="178.18308544158899"/>
    <n v="27264.275367252099"/>
    <n v="27262.610460611999"/>
    <n v="6.1065501197963E-5"/>
    <n v="0.28699588775634799"/>
    <n v="27227.5"/>
    <n v="27227.5"/>
    <n v="0"/>
    <n v="293.42446899414102"/>
    <n v="1907.7246327479006"/>
    <n v="6.9971587619721705"/>
    <n v="6.9971587619721705"/>
    <n v="6.9971587619721705"/>
    <n v="0"/>
    <n v="0"/>
    <n v="0"/>
  </r>
  <r>
    <s v="MVPRP_C30_P6_V3_I1"/>
    <s v="MVPRP"/>
    <s v="C30"/>
    <x v="1"/>
    <s v="V3"/>
    <x v="0"/>
    <n v="61786.999969999997"/>
    <n v="61782.695040581501"/>
    <n v="6.96737083947566E-5"/>
    <n v="1727.2135601043699"/>
    <n v="58486.329670089297"/>
    <n v="58482.0909604966"/>
    <n v="7.2473509907007699E-5"/>
    <n v="628.48309421539295"/>
    <n v="58486.329727964498"/>
    <n v="58480.620915703999"/>
    <n v="9.7609343706385706E-5"/>
    <n v="0.91987586021423295"/>
    <n v="58370.999852040499"/>
    <n v="58337.748184958597"/>
    <n v="5.6966074191187595E-4"/>
    <n v="3600.0510439872701"/>
    <n v="3300.6702999107001"/>
    <n v="5.6434902284502693"/>
    <n v="5.636129654718288"/>
    <n v="5.650737579440845"/>
    <n v="5.7875200582202524E-5"/>
    <n v="9.8955090717208549E-8"/>
    <n v="7.2474499456670867E-3"/>
  </r>
  <r>
    <s v="MVPRP_C30_P9_V3_I1"/>
    <s v="MVPRP"/>
    <s v="C30"/>
    <x v="2"/>
    <s v="V3"/>
    <x v="0"/>
    <n v="111231"/>
    <n v="110668.141916063"/>
    <n v="5.06026273194677E-3"/>
    <n v="3601.7885897159599"/>
    <n v="104459.89430034799"/>
    <n v="104043.301515139"/>
    <n v="3.9880643954279702E-3"/>
    <n v="3600.0950207710298"/>
    <n v="104453.499983307"/>
    <n v="104445.427468687"/>
    <n v="7.7283332977704503E-5"/>
    <n v="2.0960528850555402"/>
    <n v="104120"/>
    <n v="103658.355906187"/>
    <n v="4.4337696293953802E-3"/>
    <n v="3600.1525189876602"/>
    <n v="6771.1056996520056"/>
    <n v="6.4820146956911557"/>
    <n v="5.9431877251041083"/>
    <n v="6.8808211352335782"/>
    <n v="0"/>
    <n v="0"/>
    <n v="0.39268512658894927"/>
  </r>
  <r>
    <s v="MVPRP_C35_P3_V3_I1"/>
    <s v="MVPRP"/>
    <s v="C35"/>
    <x v="0"/>
    <s v="V3"/>
    <x v="0"/>
    <n v="35803"/>
    <n v="35803"/>
    <n v="0"/>
    <n v="26.064972877502399"/>
    <n v="33620.6139623454"/>
    <n v="33617.773898749001"/>
    <n v="8.4473876639703296E-5"/>
    <n v="190.56372189521801"/>
    <n v="33620.613962345502"/>
    <n v="33618.431182678403"/>
    <n v="6.4923849087718404E-5"/>
    <n v="0.50154209136962902"/>
    <n v="33517.5"/>
    <n v="33517.5"/>
    <n v="0"/>
    <n v="134.83490800857501"/>
    <n v="2182.3860376545999"/>
    <n v="6.491214110779894"/>
    <n v="6.491214110779894"/>
    <n v="6.4996614984438423"/>
    <n v="1.0186340659856796E-10"/>
    <n v="3.0297901969504035E-13"/>
    <n v="8.4473876642516717E-3"/>
  </r>
  <r>
    <s v="MVPRP_C35_P6_V3_I1"/>
    <s v="MVPRP"/>
    <s v="C35"/>
    <x v="1"/>
    <s v="V3"/>
    <x v="0"/>
    <n v="75538.9998224054"/>
    <n v="75433.2378964089"/>
    <n v="1.40009698625977E-3"/>
    <n v="3601.5368080139201"/>
    <n v="71408.633363145593"/>
    <n v="71407.7168238554"/>
    <n v="1.28351327699142E-5"/>
    <n v="787.87908077240002"/>
    <n v="71408.633299448004"/>
    <n v="71408.633299448004"/>
    <n v="0"/>
    <n v="1.1596198081970199"/>
    <n v="71232"/>
    <n v="71100.599730043003"/>
    <n v="1.84468033969259E-3"/>
    <n v="3600.1047670841199"/>
    <n v="4130.366459259807"/>
    <n v="5.784127583362368"/>
    <n v="5.6360195451386828"/>
    <n v="5.7854110966394412"/>
    <n v="0"/>
    <n v="0"/>
    <n v="1.2834240755489523E-3"/>
  </r>
  <r>
    <s v="MVPRP_C40_P3_V3_I1"/>
    <s v="MVPRP"/>
    <s v="C40"/>
    <x v="0"/>
    <s v="V3"/>
    <x v="0"/>
    <n v="44822"/>
    <n v="44822"/>
    <n v="0"/>
    <n v="107.950572729111"/>
    <n v="41714.6655546361"/>
    <n v="41714.6655546361"/>
    <n v="0"/>
    <n v="74.477678298950195"/>
    <n v="41714.6655546361"/>
    <n v="41714.665554229701"/>
    <n v="9.7426926250467206E-12"/>
    <n v="0.58624386787414595"/>
    <n v="41609"/>
    <n v="41605.111582441001"/>
    <n v="9.3451358095235603E-5"/>
    <n v="387.69830894470198"/>
    <n v="3107.3344453639002"/>
    <n v="7.4490215948011027"/>
    <n v="7.4490215948011027"/>
    <n v="7.4490215948011027"/>
    <n v="0"/>
    <n v="0"/>
    <n v="0"/>
  </r>
  <r>
    <s v="MVPRP_C40_P6_V3_I1"/>
    <s v="MVPRP"/>
    <s v="C40"/>
    <x v="1"/>
    <s v="V3"/>
    <x v="0"/>
    <n v="96993"/>
    <n v="96752.303220362606"/>
    <n v="2.4815891831102099E-3"/>
    <n v="3601.67462682724"/>
    <n v="92125.039665893899"/>
    <n v="92015.716652112897"/>
    <n v="1.18668077840193E-3"/>
    <n v="3600.18600106239"/>
    <n v="92143.426089322704"/>
    <n v="92143.426089322704"/>
    <n v="0"/>
    <n v="2.09613013267517"/>
    <n v="91913.499942254304"/>
    <n v="91699.221977955298"/>
    <n v="2.3313002380884401E-3"/>
    <n v="3600.1507289409601"/>
    <n v="4867.9603341061011"/>
    <n v="5.2840794986472002"/>
    <n v="5.0228076658096583"/>
    <n v="5.4027475764873625"/>
    <n v="18.386423428804846"/>
    <n v="1.9958117245307175E-2"/>
    <n v="0.13862619508546839"/>
  </r>
  <r>
    <s v="MVPRP_C45_P3_V3_I1"/>
    <s v="MVPRP"/>
    <s v="C45"/>
    <x v="0"/>
    <s v="V3"/>
    <x v="0"/>
    <n v="50846"/>
    <n v="50846"/>
    <n v="0"/>
    <n v="68.337500810623197"/>
    <n v="47594.573005964499"/>
    <n v="47594.573005964499"/>
    <n v="0"/>
    <n v="697.24698352813698"/>
    <n v="47594.573005964601"/>
    <n v="47594.573005258302"/>
    <n v="1.48394483026515E-11"/>
    <n v="0.88113212585449197"/>
    <n v="47460"/>
    <n v="47456.491272926498"/>
    <n v="7.3930195395707107E-5"/>
    <n v="921.40168499946606"/>
    <n v="3251.4269940355007"/>
    <n v="6.8315078562172102"/>
    <n v="6.8315078562172102"/>
    <n v="6.8315078562172102"/>
    <n v="1.0186340659856796E-10"/>
    <n v="2.1402315466892109E-13"/>
    <n v="2.1402315466892109E-13"/>
  </r>
  <r>
    <s v="MVPRP_C50_P3_V3_I1"/>
    <s v="MVPRP"/>
    <s v="C50"/>
    <x v="0"/>
    <s v="V3"/>
    <x v="0"/>
    <n v="47126"/>
    <n v="47126"/>
    <n v="0"/>
    <n v="169.300560951233"/>
    <n v="43823.382013082301"/>
    <n v="43823.353462368701"/>
    <n v="6.5149498415973902E-7"/>
    <n v="498.25829482078598"/>
    <n v="43835.830935732803"/>
    <n v="43835.830934717596"/>
    <n v="2.31592984158959E-11"/>
    <n v="0.926927089691162"/>
    <n v="43699.5"/>
    <n v="43699.5"/>
    <n v="0"/>
    <n v="1575.5385169982901"/>
    <n v="3302.6179869176995"/>
    <n v="7.5362006198695282"/>
    <n v="7.5362006198695282"/>
    <n v="7.5362657693680095"/>
    <n v="12.448922650502936"/>
    <n v="2.8407033137667563E-2"/>
    <n v="2.8472182636149951E-2"/>
  </r>
  <r>
    <s v="MVPRP_C10_P3_V3_I3"/>
    <s v="MVPRP"/>
    <s v="C10"/>
    <x v="0"/>
    <s v="V3"/>
    <x v="1"/>
    <n v="20750"/>
    <n v="20750"/>
    <n v="0"/>
    <n v="1.7461397647857699"/>
    <n v="16684.5152113289"/>
    <n v="16684.5152113289"/>
    <n v="0"/>
    <n v="1.80661296844482"/>
    <n v="16684.5152113289"/>
    <n v="16684.5152113289"/>
    <n v="0"/>
    <n v="3.6213874816894497E-2"/>
    <n v="16611"/>
    <n v="16611"/>
    <n v="0"/>
    <n v="1.19254899024963"/>
    <n v="4065.4847886710995"/>
    <n v="24.366814001947191"/>
    <n v="24.366814001947191"/>
    <n v="24.366814001947191"/>
    <n v="0"/>
    <n v="0"/>
    <n v="0"/>
  </r>
  <r>
    <s v="MVPRP_C10_P6_V3_I3"/>
    <s v="MVPRP"/>
    <s v="C10"/>
    <x v="1"/>
    <s v="V3"/>
    <x v="1"/>
    <n v="42067.999985979397"/>
    <n v="42067.999985979397"/>
    <n v="0"/>
    <n v="11.096104145050001"/>
    <n v="34839.347178387397"/>
    <n v="34839.347178387397"/>
    <n v="0"/>
    <n v="4.9504723548889196"/>
    <n v="34839.347178387499"/>
    <n v="34839.347178387397"/>
    <n v="0"/>
    <n v="8.5337162017822293E-2"/>
    <n v="34625.5"/>
    <n v="34625.5"/>
    <n v="0"/>
    <n v="1.75228595733643"/>
    <n v="7228.6528075919996"/>
    <n v="20.74853116672719"/>
    <n v="20.74853116672719"/>
    <n v="20.74853116672719"/>
    <n v="1.0186340659856796E-10"/>
    <n v="2.9238035396300122E-13"/>
    <n v="2.9238035396300122E-13"/>
  </r>
  <r>
    <s v="MVPRP_C10_P9_V3_I3"/>
    <s v="MVPRP"/>
    <s v="C10"/>
    <x v="2"/>
    <s v="V3"/>
    <x v="1"/>
    <n v="72847.999958617205"/>
    <n v="72847.999958617205"/>
    <n v="0"/>
    <n v="22.308111429214499"/>
    <n v="61593.951320038199"/>
    <n v="61593.951320038199"/>
    <n v="0"/>
    <n v="118.246260643005"/>
    <n v="61950.215442203596"/>
    <n v="61950.215442203502"/>
    <n v="0"/>
    <n v="0.11837506294250499"/>
    <n v="61035.5"/>
    <n v="61033.606355002797"/>
    <n v="3.1025304900483003E-5"/>
    <n v="234.87872982025101"/>
    <n v="11254.048638579006"/>
    <n v="18.271353594614663"/>
    <n v="18.271353594614663"/>
    <n v="18.271353594614663"/>
    <n v="356.26412216539757"/>
    <n v="0.57840764316981741"/>
    <n v="0.57840764316981741"/>
  </r>
  <r>
    <s v="MVPRP_C15_P3_V3_I3"/>
    <s v="MVPRP"/>
    <s v="C15"/>
    <x v="0"/>
    <s v="V3"/>
    <x v="1"/>
    <n v="30676"/>
    <n v="30676"/>
    <n v="0"/>
    <n v="23.045698881149299"/>
    <n v="24162.859640039998"/>
    <n v="24162.859640039998"/>
    <n v="0"/>
    <n v="11.833907365799"/>
    <n v="24162.859640039998"/>
    <n v="24162.859640039998"/>
    <n v="0"/>
    <n v="6.2053918838500997E-2"/>
    <n v="24004"/>
    <n v="24004"/>
    <n v="0"/>
    <n v="19.826627016067501"/>
    <n v="6513.1403599600017"/>
    <n v="26.955171933239026"/>
    <n v="26.955171933239026"/>
    <n v="26.955171933239026"/>
    <n v="0"/>
    <n v="0"/>
    <n v="0"/>
  </r>
  <r>
    <s v="MVPRP_C15_P6_V3_I3"/>
    <s v="MVPRP"/>
    <s v="C15"/>
    <x v="1"/>
    <s v="V3"/>
    <x v="1"/>
    <n v="60686.999585325299"/>
    <n v="60686.999585325299"/>
    <n v="0"/>
    <n v="867.94262433052097"/>
    <n v="50192.775307358701"/>
    <n v="50192.775307358701"/>
    <n v="0"/>
    <n v="149.10526490211501"/>
    <n v="50192.775307358599"/>
    <n v="50192.775307358497"/>
    <n v="0"/>
    <n v="0.19164109230041501"/>
    <n v="49264.5"/>
    <n v="49260.743995347599"/>
    <n v="7.6241607088590503E-5"/>
    <n v="57.6475670337677"/>
    <n v="10494.224277966598"/>
    <n v="20.907838257009175"/>
    <n v="20.907838257009175"/>
    <n v="20.907838257009175"/>
    <n v="0"/>
    <n v="0"/>
    <n v="-2.029443599697383E-13"/>
  </r>
  <r>
    <s v="MVPRP_C15_P9_V3_I3"/>
    <s v="MVPRP"/>
    <s v="C15"/>
    <x v="2"/>
    <s v="V3"/>
    <x v="1"/>
    <n v="109246"/>
    <n v="108534.871643727"/>
    <n v="6.5094223703681797E-3"/>
    <n v="3600.0643427372001"/>
    <n v="92408.284140776203"/>
    <n v="87666.412706197094"/>
    <n v="5.1314354320823201E-2"/>
    <n v="3600.0904128551501"/>
    <n v="92208.491951856602"/>
    <n v="92208.491951856398"/>
    <n v="2.0515995215228101E-15"/>
    <n v="0.23122382164001501"/>
    <n v="89063.999121602406"/>
    <n v="88001.963644798205"/>
    <n v="1.19244081478321E-2"/>
    <n v="3600.0441670417799"/>
    <n v="16837.715859223797"/>
    <n v="18.221002603590129"/>
    <n v="17.451452164595231"/>
    <n v="23.352438035672463"/>
    <n v="0"/>
    <n v="0"/>
    <n v="4.9152295033852536"/>
  </r>
  <r>
    <s v="MVPRP_C20_P3_V3_I3"/>
    <s v="MVPRP"/>
    <s v="C20"/>
    <x v="0"/>
    <s v="V3"/>
    <x v="1"/>
    <n v="33151"/>
    <n v="33151"/>
    <n v="0"/>
    <n v="16.105900287628199"/>
    <n v="27018.506210203599"/>
    <n v="27018.506210203599"/>
    <n v="0"/>
    <n v="19.694522619247401"/>
    <n v="27023.1053811036"/>
    <n v="27023.1053811036"/>
    <n v="0"/>
    <n v="8.9956998825073201E-2"/>
    <n v="26786.5"/>
    <n v="26786.5"/>
    <n v="0"/>
    <n v="18.750438928604101"/>
    <n v="6132.493789796401"/>
    <n v="22.697382831181283"/>
    <n v="22.697382831181283"/>
    <n v="22.697382831181283"/>
    <n v="4.5991709000008996"/>
    <n v="1.7022298953981448E-2"/>
    <n v="1.7022298953981448E-2"/>
  </r>
  <r>
    <s v="MVPRP_C20_P6_V3_I3"/>
    <s v="MVPRP"/>
    <s v="C20"/>
    <x v="1"/>
    <s v="V3"/>
    <x v="1"/>
    <n v="66288.999920291695"/>
    <n v="66288.999920291695"/>
    <n v="0"/>
    <n v="2472.0361132621802"/>
    <n v="56027.588948340199"/>
    <n v="56027.588948340199"/>
    <n v="0"/>
    <n v="306.39131999015802"/>
    <n v="56413.241189307802"/>
    <n v="56412.840231726303"/>
    <n v="7.1075083270183598E-6"/>
    <n v="0.22145891189575201"/>
    <n v="55322.499816250303"/>
    <n v="54992.145958273097"/>
    <n v="5.9714195684285399E-3"/>
    <n v="3600.04701304436"/>
    <n v="10261.410971951496"/>
    <n v="18.314925136994471"/>
    <n v="18.314925136994471"/>
    <n v="18.314925136994471"/>
    <n v="385.65224096760357"/>
    <n v="0.68832560566400813"/>
    <n v="0.68832560566400813"/>
  </r>
  <r>
    <s v="MVPRP_C20_P9_V3_I3"/>
    <s v="MVPRP"/>
    <s v="C20"/>
    <x v="2"/>
    <s v="V3"/>
    <x v="1"/>
    <n v="116181.999595663"/>
    <n v="115809.362405917"/>
    <n v="3.2073573448852099E-3"/>
    <n v="3600.1263711452498"/>
    <n v="98936.597148238798"/>
    <n v="97086.117010916496"/>
    <n v="1.8703697020725499E-2"/>
    <n v="3600.0946800708798"/>
    <n v="98774.423249967105"/>
    <n v="98766.892732051696"/>
    <n v="7.6239553393944899E-5"/>
    <n v="0.44352793693542503"/>
    <n v="96525.499358178204"/>
    <n v="96159.489974376498"/>
    <n v="3.7918413915008901E-3"/>
    <n v="3600.0966207981101"/>
    <n v="17245.402447424203"/>
    <n v="17.430761664043338"/>
    <n v="17.054119248105305"/>
    <n v="19.30113136611596"/>
    <n v="0"/>
    <n v="0"/>
    <n v="1.7064527057879142"/>
  </r>
  <r>
    <s v="MVPRP_C25_P3_V3_I3"/>
    <s v="MVPRP"/>
    <s v="C25"/>
    <x v="0"/>
    <s v="V3"/>
    <x v="1"/>
    <n v="38054"/>
    <n v="38054"/>
    <n v="0"/>
    <n v="28.681736707687399"/>
    <n v="31340.3992646923"/>
    <n v="31340.3992646923"/>
    <n v="0"/>
    <n v="27.796728372573899"/>
    <n v="31340.399264692202"/>
    <n v="31340.399264692202"/>
    <n v="0"/>
    <n v="0.13144707679748499"/>
    <n v="31011.5"/>
    <n v="31011.5"/>
    <n v="0"/>
    <n v="49.085165977477999"/>
    <n v="6713.6007353077002"/>
    <n v="21.421554583930135"/>
    <n v="21.421554583930135"/>
    <n v="21.421554583930135"/>
    <n v="0"/>
    <n v="0"/>
    <n v="-3.1341473017587167E-13"/>
  </r>
  <r>
    <s v="MVPRP_C25_P6_V3_I3"/>
    <s v="MVPRP"/>
    <s v="C25"/>
    <x v="1"/>
    <s v="V3"/>
    <x v="1"/>
    <n v="76711.999283793804"/>
    <n v="76416.527816995702"/>
    <n v="3.8516981639992801E-3"/>
    <n v="3600.0264861583701"/>
    <n v="65896.277919437605"/>
    <n v="65892.071746189104"/>
    <n v="6.3830209858651497E-5"/>
    <n v="582.43223428726196"/>
    <n v="66330.031882249197"/>
    <n v="66330.031882249095"/>
    <n v="0"/>
    <n v="0.448040962219238"/>
    <n v="65227.495956007602"/>
    <n v="64960.846244726403"/>
    <n v="4.0879955204947797E-3"/>
    <n v="3600.07558894157"/>
    <n v="10815.721364356199"/>
    <n v="16.413250802388426"/>
    <n v="15.964862098007679"/>
    <n v="16.419633823374291"/>
    <n v="433.75396281159192"/>
    <n v="0.65823742479337566"/>
    <n v="0.66462044577924084"/>
  </r>
  <r>
    <s v="MVPRP_C25_P9_V3_I3"/>
    <s v="MVPRP"/>
    <s v="C25"/>
    <x v="2"/>
    <s v="V3"/>
    <x v="1"/>
    <n v="140566"/>
    <n v="137113.438898578"/>
    <n v="2.4561850671019299E-2"/>
    <n v="3600.6079318523398"/>
    <n v="121927.695490802"/>
    <n v="116243.58755247301"/>
    <n v="4.6618677696220703E-2"/>
    <n v="3600.0403726100899"/>
    <n v="120867.237712195"/>
    <n v="120867.23771219399"/>
    <n v="9.6316689311738502E-16"/>
    <n v="0.71753907203674305"/>
    <n v="116251.499881542"/>
    <n v="115245.010231066"/>
    <n v="8.65786378241621E-3"/>
    <n v="3600.0542008876801"/>
    <n v="18638.304509198002"/>
    <n v="15.286358389841004"/>
    <n v="12.454712070664522"/>
    <n v="19.94822615946336"/>
    <n v="0"/>
    <n v="0"/>
    <n v="3.7921246203417254"/>
  </r>
  <r>
    <s v="MVPRP_C30_P3_V3_I3"/>
    <s v="MVPRP"/>
    <s v="C30"/>
    <x v="0"/>
    <s v="V3"/>
    <x v="1"/>
    <n v="41464"/>
    <n v="41464"/>
    <n v="0"/>
    <n v="12.4477450847626"/>
    <n v="34123.400853526597"/>
    <n v="34123.400853526597"/>
    <n v="0"/>
    <n v="161.43400597572301"/>
    <n v="34147.722698161"/>
    <n v="34147.722698161"/>
    <n v="0"/>
    <n v="0.184254169464111"/>
    <n v="33853"/>
    <n v="33853"/>
    <n v="0"/>
    <n v="102.931480884552"/>
    <n v="7340.5991464734034"/>
    <n v="21.511921329244547"/>
    <n v="21.511921329244547"/>
    <n v="21.511921329244547"/>
    <n v="24.321844634403533"/>
    <n v="7.127614489190022E-2"/>
    <n v="7.127614489190022E-2"/>
  </r>
  <r>
    <s v="MVPRP_C30_P6_V3_I3"/>
    <s v="MVPRP"/>
    <s v="C30"/>
    <x v="1"/>
    <s v="V3"/>
    <x v="1"/>
    <n v="82749"/>
    <n v="82465.450241958504"/>
    <n v="3.4266245881103001E-3"/>
    <n v="3600.7795357704199"/>
    <n v="70563.605996775499"/>
    <n v="70563.605996775499"/>
    <n v="0"/>
    <n v="1732.4877917766601"/>
    <n v="70818.445352732306"/>
    <n v="70818.445352732306"/>
    <n v="0"/>
    <n v="1.34233498573303"/>
    <n v="69819.4998441918"/>
    <n v="69466.623639525802"/>
    <n v="5.0541210615012398E-3"/>
    <n v="3600.04102897644"/>
    <n v="12185.394003224501"/>
    <n v="17.268666802234183"/>
    <n v="16.866831105154798"/>
    <n v="17.268666802234183"/>
    <n v="254.83935595680668"/>
    <n v="0.36114843106013023"/>
    <n v="0.36114843106013023"/>
  </r>
  <r>
    <s v="MVPRP_C30_P9_V3_I3"/>
    <s v="MVPRP"/>
    <s v="C30"/>
    <x v="2"/>
    <s v="V3"/>
    <x v="1"/>
    <n v="154135"/>
    <n v="146428.66490523101"/>
    <n v="4.9997308169909799E-2"/>
    <n v="3600.0424265861502"/>
    <n v="139780.17948176499"/>
    <n v="124277.702685201"/>
    <n v="0.110906115974664"/>
    <n v="3600.1860005855601"/>
    <n v="128936.478350978"/>
    <n v="128936.478350978"/>
    <n v="0"/>
    <n v="1.9319880008697501"/>
    <n v="126143.50052799701"/>
    <n v="124482.53603504501"/>
    <n v="1.31672617772596E-2"/>
    <n v="3600.10951900482"/>
    <n v="14354.820518235007"/>
    <n v="10.269567954094423"/>
    <n v="4.7563863833307947"/>
    <n v="21.360179551560833"/>
    <n v="0"/>
    <n v="0"/>
    <n v="3.3329300928424925"/>
  </r>
  <r>
    <s v="MVPRP_C35_P3_V3_I3"/>
    <s v="MVPRP"/>
    <s v="C35"/>
    <x v="0"/>
    <s v="V3"/>
    <x v="1"/>
    <n v="49960"/>
    <n v="49958.861801242201"/>
    <n v="2.2782200915835899E-5"/>
    <n v="111.026981592178"/>
    <n v="41528.485566394898"/>
    <n v="41528.485566394898"/>
    <n v="0"/>
    <n v="270.73729801178001"/>
    <n v="41528.485566394898"/>
    <n v="41528.485566394898"/>
    <n v="0"/>
    <n v="0.251204013824463"/>
    <n v="41361.5"/>
    <n v="41361.5"/>
    <n v="0"/>
    <n v="621.01512908935604"/>
    <n v="8431.5144336051017"/>
    <n v="20.302966310016213"/>
    <n v="20.300225543666862"/>
    <n v="20.302966310016213"/>
    <n v="0"/>
    <n v="0"/>
    <n v="0"/>
  </r>
  <r>
    <s v="MVPRP_C35_P6_V3_I3"/>
    <s v="MVPRP"/>
    <s v="C35"/>
    <x v="1"/>
    <s v="V3"/>
    <x v="1"/>
    <n v="99886"/>
    <n v="98851.925147300106"/>
    <n v="1.03525504344943E-2"/>
    <n v="3601.8449048995999"/>
    <n v="86437.593028770207"/>
    <n v="85060.1312629186"/>
    <n v="1.5935910725708699E-2"/>
    <n v="3600.08347153664"/>
    <n v="86286.751912180698"/>
    <n v="86286.751912180698"/>
    <n v="0"/>
    <n v="1.0528998374939"/>
    <n v="85085.999620258503"/>
    <n v="84172.390987884894"/>
    <n v="1.0737473103108E-2"/>
    <n v="3600.0619230270399"/>
    <n v="13448.406971229793"/>
    <n v="15.55851626589553"/>
    <n v="14.362190898117522"/>
    <n v="17.152107338466383"/>
    <n v="0"/>
    <n v="0"/>
    <n v="1.4190823764074803"/>
  </r>
  <r>
    <s v="MVPRP_C40_P3_V3_I3"/>
    <s v="MVPRP"/>
    <s v="C40"/>
    <x v="0"/>
    <s v="V3"/>
    <x v="1"/>
    <n v="61830"/>
    <n v="61827.609761093801"/>
    <n v="3.8658238819792197E-5"/>
    <n v="2714.9084372520401"/>
    <n v="51505.656298582602"/>
    <n v="51505.656298582602"/>
    <n v="0"/>
    <n v="396.12451291084301"/>
    <n v="51505.656298582602"/>
    <n v="51505.656298582602"/>
    <n v="0"/>
    <n v="0.463942050933838"/>
    <n v="51308.999965019801"/>
    <n v="51308.999965019801"/>
    <n v="0"/>
    <n v="313.60271191597002"/>
    <n v="10324.343701417398"/>
    <n v="20.045067752493654"/>
    <n v="20.040427021595399"/>
    <n v="20.045067752493654"/>
    <n v="0"/>
    <n v="0"/>
    <n v="0"/>
  </r>
  <r>
    <s v="MVPRP_C40_P6_V3_I3"/>
    <s v="MVPRP"/>
    <s v="C40"/>
    <x v="1"/>
    <s v="V3"/>
    <x v="1"/>
    <n v="126608"/>
    <n v="121582.536354082"/>
    <n v="3.9693097165408898E-2"/>
    <n v="3605.21713376045"/>
    <n v="109303.178046271"/>
    <n v="107005.447960007"/>
    <n v="2.10216219448944E-2"/>
    <n v="3600.1291399002098"/>
    <n v="109727.49054847"/>
    <n v="109719.49054847"/>
    <n v="7.2907891723771997E-5"/>
    <n v="1.4621059894561801"/>
    <n v="108069.999896496"/>
    <n v="106696.701272203"/>
    <n v="1.27074916776955E-2"/>
    <n v="3600.1495361328102"/>
    <n v="17304.821953728999"/>
    <n v="15.831947673473318"/>
    <n v="11.23421891961166"/>
    <n v="17.934109867962579"/>
    <n v="424.31250219899812"/>
    <n v="0.38819777227280172"/>
    <n v="2.4903599667620648"/>
  </r>
  <r>
    <s v="MVPRP_C45_P3_V3_I3"/>
    <s v="MVPRP"/>
    <s v="C45"/>
    <x v="0"/>
    <s v="V3"/>
    <x v="1"/>
    <n v="70029"/>
    <n v="70029"/>
    <n v="0"/>
    <n v="1626.2620828151701"/>
    <n v="59127.871321666003"/>
    <n v="59127.871321666003"/>
    <n v="0"/>
    <n v="2380.1390798091902"/>
    <n v="59127.871321666098"/>
    <n v="59127.871321666003"/>
    <n v="0"/>
    <n v="1.0181260108947801"/>
    <n v="58896.5"/>
    <n v="58643.676779328598"/>
    <n v="4.2926696946576099E-3"/>
    <n v="3600.0592207908599"/>
    <n v="10901.128678333997"/>
    <n v="18.43653159612316"/>
    <n v="18.43653159612316"/>
    <n v="18.43653159612316"/>
    <n v="9.4587448984384537E-11"/>
    <n v="1.5997100330199984E-13"/>
    <n v="1.5997100330199984E-13"/>
  </r>
  <r>
    <s v="MVPRP_C50_P3_V3_I3"/>
    <s v="MVPRP"/>
    <s v="C50"/>
    <x v="0"/>
    <s v="V3"/>
    <x v="1"/>
    <n v="65560"/>
    <n v="65319.653853376803"/>
    <n v="3.6660486062108301E-3"/>
    <n v="3602.6810309886901"/>
    <n v="54811.140986393599"/>
    <n v="54807.994622905302"/>
    <n v="5.7403721792344399E-5"/>
    <n v="1380.2202379703499"/>
    <n v="54811.140986393599"/>
    <n v="54811.1409863874"/>
    <n v="1.12170337514252E-13"/>
    <n v="0.75376915931701705"/>
    <n v="54604.999542910897"/>
    <n v="54230.911383608298"/>
    <n v="6.8508041833894896E-3"/>
    <n v="3600.0583188533801"/>
    <n v="10748.859013606401"/>
    <n v="19.610719317583104"/>
    <n v="19.172220606740982"/>
    <n v="19.616459689762326"/>
    <n v="0"/>
    <n v="0"/>
    <n v="5.740372179221168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1E39AA-B9A6-4DA0-B022-9AC6F1F1AACA}" name="PivotTable2" cacheId="1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1">
  <location ref="A1:P10" firstHeaderRow="0" firstDataRow="1" firstDataCol="1"/>
  <pivotFields count="29"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axis="axisRow" showAll="0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dataField="1" numFmtId="1" showAll="0"/>
    <pivotField dataField="1" numFmtId="2" showAll="0"/>
    <pivotField dataField="1" numFmtId="2" showAll="0"/>
    <pivotField dataField="1" numFmtId="2" showAll="0"/>
    <pivotField dataField="1" numFmtId="1" showAll="0"/>
    <pivotField dataField="1" numFmtId="2" showAll="0"/>
    <pivotField dataField="1" numFmtId="2" showAll="0"/>
  </pivotFields>
  <rowFields count="2">
    <field x="5"/>
    <field x="3"/>
  </rowFields>
  <rowItems count="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dataFields count="15">
    <dataField name="Mittelwert von UB_model1_determ_var_cost_all_own_vehicle" fld="6" subtotal="average" baseField="5" baseItem="0"/>
    <dataField name="Mittelwert von LB_model1_determ_var_cost_all_own_vehicle" fld="7" subtotal="average" baseField="5" baseItem="0"/>
    <dataField name="Mittelwert von Gap_model1_determ_var_cost_all_own_vehicle" fld="8" subtotal="average" baseField="5" baseItem="0"/>
    <dataField name="Mittelwert von UB_model1_ScenarioPRP_VSSCalc" fld="14" subtotal="average" baseField="5" baseItem="0"/>
    <dataField name="Mittelwert von Gap_model1_ScenarioPRP_vss_routeGen" fld="20" subtotal="average" baseField="5" baseItem="0"/>
    <dataField name="Mittelwert von UB_model4_HPRP_comb_stoch_var_cost_MIPstart" fld="10" subtotal="average" baseField="5" baseItem="0"/>
    <dataField name="Mittelwert von LB_model4_HPRP_comb_stoch_var_cost_MIPstart" fld="11" subtotal="average" baseField="5" baseItem="0"/>
    <dataField name="Mittelwert von Gap_model4_HPRP_comb_stoch_var_cost_MIPstart" fld="12" subtotal="average" baseField="5" baseItem="0"/>
    <dataField name="Mittelwert von VCD" fld="22" subtotal="average" baseField="5" baseItem="0" numFmtId="1"/>
    <dataField name="Mittelwert von VCDs[%]" fld="23" subtotal="average" baseField="5" baseItem="0" numFmtId="2"/>
    <dataField name="Mittelwert von VCDsMin[%]" fld="24" subtotal="average" baseField="5" baseItem="0" numFmtId="2"/>
    <dataField name="Mittelwert von VCDsMax[%]" fld="25" subtotal="average" baseField="5" baseItem="0" numFmtId="2"/>
    <dataField name="Mittelwert von VSS" fld="26" subtotal="average" baseField="5" baseItem="0" numFmtId="1"/>
    <dataField name="Mittelwert von VSS[%]" fld="27" subtotal="average" baseField="5" baseItem="0" numFmtId="2"/>
    <dataField name="Mittelwert von VSSmax[%]" fld="28" subtotal="average" baseField="5" baseItem="0" numFmtId="2"/>
  </dataField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B95339-F4DF-46A2-9DBF-959450043806}" name="PivotTable3" cacheId="0" applyNumberFormats="0" applyBorderFormats="0" applyFontFormats="0" applyPatternFormats="0" applyAlignmentFormats="0" applyWidthHeightFormats="1" dataCaption="Werte" updatedVersion="8" minRefreshableVersion="3" useAutoFormatting="1" colGrandTotals="0" itemPrintTitles="1" createdVersion="8" indent="0" outline="1" outlineData="1" multipleFieldFilters="0" chartFormat="1">
  <location ref="A1:Q48" firstHeaderRow="1" firstDataRow="3" firstDataCol="1"/>
  <pivotFields count="33">
    <pivotField axis="axisRow" showAll="0">
      <items count="43">
        <item x="6"/>
        <item x="11"/>
        <item x="23"/>
        <item x="25"/>
        <item x="38"/>
        <item x="40"/>
        <item x="31"/>
        <item x="0"/>
        <item x="30"/>
        <item x="16"/>
        <item x="2"/>
        <item x="36"/>
        <item x="8"/>
        <item x="13"/>
        <item x="5"/>
        <item x="32"/>
        <item x="35"/>
        <item x="33"/>
        <item x="22"/>
        <item x="29"/>
        <item x="20"/>
        <item x="15"/>
        <item x="28"/>
        <item x="41"/>
        <item x="39"/>
        <item x="12"/>
        <item x="27"/>
        <item x="18"/>
        <item x="37"/>
        <item x="1"/>
        <item x="24"/>
        <item x="9"/>
        <item x="21"/>
        <item x="14"/>
        <item x="4"/>
        <item x="3"/>
        <item x="10"/>
        <item x="34"/>
        <item x="19"/>
        <item x="7"/>
        <item x="26"/>
        <item x="17"/>
        <item t="default"/>
      </items>
    </pivotField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axis="axisCol" showAll="0">
      <items count="5">
        <item x="1"/>
        <item x="0"/>
        <item x="2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0"/>
  </rowFields>
  <rowItems count="45">
    <i>
      <x/>
    </i>
    <i r="1">
      <x/>
    </i>
    <i r="1">
      <x v="2"/>
    </i>
    <i r="1">
      <x v="4"/>
    </i>
    <i r="1">
      <x v="6"/>
    </i>
    <i r="1">
      <x v="8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4"/>
    </i>
    <i r="1">
      <x v="26"/>
    </i>
    <i r="1">
      <x v="28"/>
    </i>
    <i r="1">
      <x v="30"/>
    </i>
    <i r="1">
      <x v="32"/>
    </i>
    <i r="1">
      <x v="34"/>
    </i>
    <i r="1">
      <x v="36"/>
    </i>
    <i r="1">
      <x v="38"/>
    </i>
    <i r="1">
      <x v="40"/>
    </i>
    <i>
      <x v="1"/>
    </i>
    <i r="1">
      <x v="1"/>
    </i>
    <i r="1">
      <x v="3"/>
    </i>
    <i r="1">
      <x v="5"/>
    </i>
    <i r="1">
      <x v="7"/>
    </i>
    <i r="1">
      <x v="9"/>
    </i>
    <i r="1">
      <x v="11"/>
    </i>
    <i r="1">
      <x v="13"/>
    </i>
    <i r="1">
      <x v="15"/>
    </i>
    <i r="1">
      <x v="17"/>
    </i>
    <i r="1">
      <x v="19"/>
    </i>
    <i r="1">
      <x v="21"/>
    </i>
    <i r="1">
      <x v="23"/>
    </i>
    <i r="1">
      <x v="25"/>
    </i>
    <i r="1">
      <x v="27"/>
    </i>
    <i r="1">
      <x v="29"/>
    </i>
    <i r="1">
      <x v="31"/>
    </i>
    <i r="1">
      <x v="33"/>
    </i>
    <i r="1">
      <x v="35"/>
    </i>
    <i r="1">
      <x v="37"/>
    </i>
    <i r="1">
      <x v="39"/>
    </i>
    <i r="1">
      <x v="41"/>
    </i>
    <i t="grand">
      <x/>
    </i>
  </rowItems>
  <colFields count="2">
    <field x="6"/>
    <field x="-2"/>
  </colFields>
  <colItems count="16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  <i>
      <x v="2"/>
      <x/>
    </i>
    <i r="1" i="1">
      <x v="1"/>
    </i>
    <i r="1" i="2">
      <x v="2"/>
    </i>
    <i r="1" i="3">
      <x v="3"/>
    </i>
    <i>
      <x v="3"/>
      <x/>
    </i>
    <i r="1" i="1">
      <x v="1"/>
    </i>
    <i r="1" i="2">
      <x v="2"/>
    </i>
    <i r="1" i="3">
      <x v="3"/>
    </i>
  </colItems>
  <dataFields count="4">
    <dataField name="Mittelwert von ObjVal" fld="8" subtotal="average" baseField="5" baseItem="0"/>
    <dataField name="Mittelwert von ObjBound" fld="9" subtotal="average" baseField="5" baseItem="0"/>
    <dataField name="Mittelwert von Gap" fld="10" subtotal="average" baseField="5" baseItem="0"/>
    <dataField name="Mittelwert von runtime" fld="11" subtotal="average" baseField="5" baseItem="0"/>
  </dataFields>
  <chartFormats count="18">
    <chartFormat chart="0" format="0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3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286C2-0010-4068-99A5-95B4E1277D24}">
  <dimension ref="A1:P10"/>
  <sheetViews>
    <sheetView topLeftCell="E2" workbookViewId="0">
      <selection activeCell="K29" sqref="K29"/>
    </sheetView>
  </sheetViews>
  <sheetFormatPr baseColWidth="10" defaultRowHeight="13.2" x14ac:dyDescent="0.25"/>
  <cols>
    <col min="1" max="1" width="22.44140625" bestFit="1" customWidth="1"/>
    <col min="2" max="2" width="57.5546875" bestFit="1" customWidth="1"/>
    <col min="3" max="3" width="57.44140625" bestFit="1" customWidth="1"/>
    <col min="4" max="4" width="58.6640625" bestFit="1" customWidth="1"/>
    <col min="5" max="5" width="47.5546875" bestFit="1" customWidth="1"/>
    <col min="6" max="6" width="53.109375" bestFit="1" customWidth="1"/>
    <col min="7" max="7" width="60.5546875" bestFit="1" customWidth="1"/>
    <col min="8" max="8" width="60.44140625" bestFit="1" customWidth="1"/>
    <col min="9" max="9" width="61.6640625" bestFit="1" customWidth="1"/>
    <col min="10" max="10" width="18.44140625" bestFit="1" customWidth="1"/>
    <col min="11" max="11" width="22" bestFit="1" customWidth="1"/>
    <col min="12" max="12" width="25.33203125" bestFit="1" customWidth="1"/>
    <col min="13" max="13" width="25.88671875" bestFit="1" customWidth="1"/>
    <col min="14" max="14" width="18.44140625" bestFit="1" customWidth="1"/>
    <col min="15" max="15" width="21" bestFit="1" customWidth="1"/>
    <col min="16" max="16" width="25.109375" bestFit="1" customWidth="1"/>
  </cols>
  <sheetData>
    <row r="1" spans="1:16" x14ac:dyDescent="0.25">
      <c r="A1" s="2" t="s">
        <v>124</v>
      </c>
      <c r="B1" t="s">
        <v>161</v>
      </c>
      <c r="C1" t="s">
        <v>162</v>
      </c>
      <c r="D1" t="s">
        <v>163</v>
      </c>
      <c r="E1" t="s">
        <v>164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</row>
    <row r="2" spans="1:16" x14ac:dyDescent="0.25">
      <c r="A2" s="3" t="s">
        <v>125</v>
      </c>
      <c r="B2">
        <v>53806.857073144136</v>
      </c>
      <c r="C2">
        <v>53718.163092660332</v>
      </c>
      <c r="D2">
        <v>9.9626885104568924E-4</v>
      </c>
      <c r="E2">
        <v>50388.531338024593</v>
      </c>
      <c r="F2">
        <v>5.6374135185115659E-4</v>
      </c>
      <c r="G2">
        <v>50386.565526319624</v>
      </c>
      <c r="H2">
        <v>50353.415855431718</v>
      </c>
      <c r="I2">
        <v>3.6506344700593807E-4</v>
      </c>
      <c r="J2" s="5">
        <v>3420.2915468245155</v>
      </c>
      <c r="K2" s="6">
        <v>7.1072298741062712</v>
      </c>
      <c r="L2" s="6">
        <v>7.0003704954497801</v>
      </c>
      <c r="M2" s="6">
        <v>7.143736218806807</v>
      </c>
      <c r="N2" s="5">
        <v>2.2703060258622179</v>
      </c>
      <c r="O2" s="6">
        <v>4.2972451783087123E-3</v>
      </c>
      <c r="P2" s="6">
        <v>4.051209453813033E-2</v>
      </c>
    </row>
    <row r="3" spans="1:16" x14ac:dyDescent="0.25">
      <c r="A3" s="4" t="s">
        <v>158</v>
      </c>
      <c r="B3">
        <v>32359.777777777777</v>
      </c>
      <c r="C3">
        <v>32359.777777777777</v>
      </c>
      <c r="D3">
        <v>0</v>
      </c>
      <c r="E3">
        <v>30111.387378918422</v>
      </c>
      <c r="F3">
        <v>1.8597950387882526E-5</v>
      </c>
      <c r="G3">
        <v>30110.004165290557</v>
      </c>
      <c r="H3">
        <v>30109.68543036723</v>
      </c>
      <c r="I3">
        <v>9.4583746248736707E-6</v>
      </c>
      <c r="J3" s="5">
        <v>2249.7736124872226</v>
      </c>
      <c r="K3" s="6">
        <v>7.7335127672783273</v>
      </c>
      <c r="L3" s="6">
        <v>7.7335127672783273</v>
      </c>
      <c r="M3" s="6">
        <v>7.734458604740734</v>
      </c>
      <c r="N3" s="5">
        <v>1.3832136278674119</v>
      </c>
      <c r="O3" s="6">
        <v>3.1563370154391807E-3</v>
      </c>
      <c r="P3" s="6">
        <v>4.1021744778461829E-3</v>
      </c>
    </row>
    <row r="4" spans="1:16" x14ac:dyDescent="0.25">
      <c r="A4" s="4" t="s">
        <v>159</v>
      </c>
      <c r="B4">
        <v>59037.857113200771</v>
      </c>
      <c r="C4">
        <v>58986.336931182421</v>
      </c>
      <c r="D4">
        <v>5.9254860355219968E-4</v>
      </c>
      <c r="E4">
        <v>55727.393806437241</v>
      </c>
      <c r="F4">
        <v>6.8497574310851211E-4</v>
      </c>
      <c r="G4">
        <v>55722.403436235552</v>
      </c>
      <c r="H4">
        <v>55705.518339724469</v>
      </c>
      <c r="I4">
        <v>1.9503236883533455E-4</v>
      </c>
      <c r="J4" s="5">
        <v>3315.4536769652154</v>
      </c>
      <c r="K4" s="6">
        <v>6.1596506076865385</v>
      </c>
      <c r="L4" s="6">
        <v>6.0971253000932686</v>
      </c>
      <c r="M4" s="6">
        <v>6.1791538445700436</v>
      </c>
      <c r="N4" s="5">
        <v>4.9903793013285656</v>
      </c>
      <c r="O4" s="6">
        <v>8.7797127275672897E-3</v>
      </c>
      <c r="P4" s="6">
        <v>2.8282936867996971E-2</v>
      </c>
    </row>
    <row r="5" spans="1:16" x14ac:dyDescent="0.25">
      <c r="A5" s="4" t="s">
        <v>160</v>
      </c>
      <c r="B5">
        <v>85088.199748724306</v>
      </c>
      <c r="C5">
        <v>84787.813285518016</v>
      </c>
      <c r="D5">
        <v>3.354761129418815E-3</v>
      </c>
      <c r="E5">
        <v>79412.983008638053</v>
      </c>
      <c r="F5">
        <v>1.3752713267247525E-3</v>
      </c>
      <c r="G5">
        <v>79414.202902289646</v>
      </c>
      <c r="H5">
        <v>79299.187142537965</v>
      </c>
      <c r="I5">
        <v>1.2431960867306988E-3</v>
      </c>
      <c r="J5" s="5">
        <v>5673.9968464346621</v>
      </c>
      <c r="K5" s="6">
        <v>7.306531639384195</v>
      </c>
      <c r="L5" s="6">
        <v>6.9452576796575114</v>
      </c>
      <c r="M5" s="6">
        <v>7.4308512480572064</v>
      </c>
      <c r="N5" s="5">
        <v>5.8969756599981341E-2</v>
      </c>
      <c r="O5" s="6">
        <v>7.5425302511860956E-5</v>
      </c>
      <c r="P5" s="6">
        <v>0.12317077138482849</v>
      </c>
    </row>
    <row r="6" spans="1:16" x14ac:dyDescent="0.25">
      <c r="A6" s="3" t="s">
        <v>126</v>
      </c>
      <c r="B6">
        <v>74259.523729984299</v>
      </c>
      <c r="C6">
        <v>73348.804870462642</v>
      </c>
      <c r="D6">
        <v>6.9203522835305587E-3</v>
      </c>
      <c r="E6">
        <v>62746.50887839283</v>
      </c>
      <c r="F6">
        <v>4.1595531819177637E-3</v>
      </c>
      <c r="G6">
        <v>63248.090921894734</v>
      </c>
      <c r="H6">
        <v>61749.925174482989</v>
      </c>
      <c r="I6">
        <v>1.2601029124508929E-2</v>
      </c>
      <c r="J6" s="5">
        <v>11011.432808089576</v>
      </c>
      <c r="K6" s="6">
        <v>19.041469046031629</v>
      </c>
      <c r="L6" s="6">
        <v>18.251889070981029</v>
      </c>
      <c r="M6" s="6">
        <v>20.301571958482526</v>
      </c>
      <c r="N6" s="5">
        <v>89.702057125476131</v>
      </c>
      <c r="O6" s="6">
        <v>0.13155311051459367</v>
      </c>
      <c r="P6" s="6">
        <v>0.95441524796310317</v>
      </c>
    </row>
    <row r="7" spans="1:16" x14ac:dyDescent="0.25">
      <c r="A7" s="4" t="s">
        <v>158</v>
      </c>
      <c r="B7">
        <v>45719.333333333336</v>
      </c>
      <c r="C7">
        <v>45692.23615730142</v>
      </c>
      <c r="D7">
        <v>4.1416544954960645E-4</v>
      </c>
      <c r="E7">
        <v>37814.639596484769</v>
      </c>
      <c r="F7">
        <v>1.2381637642274554E-3</v>
      </c>
      <c r="G7">
        <v>37811.426150314277</v>
      </c>
      <c r="H7">
        <v>37811.076554371131</v>
      </c>
      <c r="I7">
        <v>6.3781913102604891E-6</v>
      </c>
      <c r="J7" s="5">
        <v>7907.907183019056</v>
      </c>
      <c r="K7" s="6">
        <v>21.705347739528705</v>
      </c>
      <c r="L7" s="6">
        <v>21.655805494185401</v>
      </c>
      <c r="M7" s="6">
        <v>21.705985558659727</v>
      </c>
      <c r="N7" s="5">
        <v>3.2134461704998909</v>
      </c>
      <c r="O7" s="6">
        <v>9.8109382051157386E-3</v>
      </c>
      <c r="P7" s="6">
        <v>1.0448757336105488E-2</v>
      </c>
    </row>
    <row r="8" spans="1:16" x14ac:dyDescent="0.25">
      <c r="A8" s="4" t="s">
        <v>159</v>
      </c>
      <c r="B8">
        <v>79285.571253627175</v>
      </c>
      <c r="C8">
        <v>78337.205578847526</v>
      </c>
      <c r="D8">
        <v>8.1891386217161112E-3</v>
      </c>
      <c r="E8">
        <v>67801.154767240878</v>
      </c>
      <c r="F8">
        <v>5.5192489340452353E-3</v>
      </c>
      <c r="G8">
        <v>67608.623775048662</v>
      </c>
      <c r="H8">
        <v>67082.995485710926</v>
      </c>
      <c r="I8">
        <v>5.2887661257802494E-3</v>
      </c>
      <c r="J8" s="5">
        <v>11676.947478578513</v>
      </c>
      <c r="K8" s="6">
        <v>17.863382300674612</v>
      </c>
      <c r="L8" s="6">
        <v>16.9141996545175</v>
      </c>
      <c r="M8" s="6">
        <v>18.392258913252611</v>
      </c>
      <c r="N8" s="5">
        <v>214.07972313358601</v>
      </c>
      <c r="O8" s="6">
        <v>0.29941560482722973</v>
      </c>
      <c r="P8" s="6">
        <v>0.80336240366757339</v>
      </c>
    </row>
    <row r="9" spans="1:16" x14ac:dyDescent="0.25">
      <c r="A9" s="4" t="s">
        <v>160</v>
      </c>
      <c r="B9">
        <v>118595.39991085604</v>
      </c>
      <c r="C9">
        <v>116146.86756241406</v>
      </c>
      <c r="D9">
        <v>1.6855187711236497E-2</v>
      </c>
      <c r="E9">
        <v>100547.36934144006</v>
      </c>
      <c r="F9">
        <v>7.5144800807818574E-3</v>
      </c>
      <c r="G9">
        <v>102929.34151632404</v>
      </c>
      <c r="H9">
        <v>97373.554254965173</v>
      </c>
      <c r="I9">
        <v>4.5508569002486683E-2</v>
      </c>
      <c r="J9" s="5">
        <v>15666.058394532005</v>
      </c>
      <c r="K9" s="6">
        <v>15.895808841236711</v>
      </c>
      <c r="L9" s="6">
        <v>13.997604692262104</v>
      </c>
      <c r="M9" s="6">
        <v>20.446665741485457</v>
      </c>
      <c r="N9" s="5">
        <v>71.25282443307951</v>
      </c>
      <c r="O9" s="6">
        <v>0.11568152863396348</v>
      </c>
      <c r="P9" s="6">
        <v>2.8650289131054403</v>
      </c>
    </row>
    <row r="10" spans="1:16" x14ac:dyDescent="0.25">
      <c r="A10" s="3" t="s">
        <v>127</v>
      </c>
      <c r="B10">
        <v>64033.190401564221</v>
      </c>
      <c r="C10">
        <v>63533.483981561491</v>
      </c>
      <c r="D10">
        <v>3.9583105672881241E-3</v>
      </c>
      <c r="E10">
        <v>56567.520108208715</v>
      </c>
      <c r="F10">
        <v>2.36164726688446E-3</v>
      </c>
      <c r="G10">
        <v>56817.328224107172</v>
      </c>
      <c r="H10">
        <v>56051.670514957346</v>
      </c>
      <c r="I10">
        <v>6.4830462857574326E-3</v>
      </c>
      <c r="J10" s="5">
        <v>7215.8621774570447</v>
      </c>
      <c r="K10" s="6">
        <v>13.074349460068948</v>
      </c>
      <c r="L10" s="6">
        <v>12.626129783215406</v>
      </c>
      <c r="M10" s="6">
        <v>13.722654088644669</v>
      </c>
      <c r="N10" s="5">
        <v>45.986181575669171</v>
      </c>
      <c r="O10" s="6">
        <v>6.792517784645119E-2</v>
      </c>
      <c r="P10" s="6">
        <v>0.49746367125061669</v>
      </c>
    </row>
  </sheetData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687F0-919E-4D07-BFC4-E800549BB21C}">
  <dimension ref="A1:AC43"/>
  <sheetViews>
    <sheetView workbookViewId="0">
      <selection activeCell="E16" sqref="E16"/>
    </sheetView>
  </sheetViews>
  <sheetFormatPr baseColWidth="10" defaultRowHeight="13.2" x14ac:dyDescent="0.25"/>
  <sheetData>
    <row r="1" spans="1:29" x14ac:dyDescent="0.25">
      <c r="A1" t="s">
        <v>124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141</v>
      </c>
      <c r="H1" t="s">
        <v>142</v>
      </c>
      <c r="I1" t="s">
        <v>143</v>
      </c>
      <c r="J1" t="s">
        <v>144</v>
      </c>
      <c r="K1" t="s">
        <v>145</v>
      </c>
      <c r="L1" t="s">
        <v>146</v>
      </c>
      <c r="M1" t="s">
        <v>147</v>
      </c>
      <c r="N1" t="s">
        <v>148</v>
      </c>
      <c r="O1" t="s">
        <v>149</v>
      </c>
      <c r="P1" t="s">
        <v>150</v>
      </c>
      <c r="Q1" t="s">
        <v>151</v>
      </c>
      <c r="R1" t="s">
        <v>152</v>
      </c>
      <c r="S1" t="s">
        <v>153</v>
      </c>
      <c r="T1" t="s">
        <v>154</v>
      </c>
      <c r="U1" t="s">
        <v>155</v>
      </c>
      <c r="V1" t="s">
        <v>156</v>
      </c>
      <c r="W1" t="s">
        <v>157</v>
      </c>
      <c r="X1" t="s">
        <v>133</v>
      </c>
      <c r="Y1" t="s">
        <v>135</v>
      </c>
      <c r="Z1" t="s">
        <v>134</v>
      </c>
      <c r="AA1" t="s">
        <v>138</v>
      </c>
      <c r="AB1" t="s">
        <v>139</v>
      </c>
      <c r="AC1" t="s">
        <v>140</v>
      </c>
    </row>
    <row r="2" spans="1:29" x14ac:dyDescent="0.25">
      <c r="A2" t="s">
        <v>40</v>
      </c>
      <c r="B2" t="str" cm="1">
        <f t="array" ref="B2:F2">_xlfn.TEXTSPLIT(A2,"_")</f>
        <v>MVPRP</v>
      </c>
      <c r="C2" t="str">
        <v>C10</v>
      </c>
      <c r="D2" t="str">
        <v>P3</v>
      </c>
      <c r="E2" t="str">
        <v>V3</v>
      </c>
      <c r="F2" t="str">
        <v>I1</v>
      </c>
      <c r="G2">
        <v>14236</v>
      </c>
      <c r="H2">
        <v>14236</v>
      </c>
      <c r="I2">
        <v>0</v>
      </c>
      <c r="J2">
        <v>2.5246286392211901</v>
      </c>
      <c r="K2">
        <v>13025.581183165399</v>
      </c>
      <c r="L2">
        <v>13025.581183165499</v>
      </c>
      <c r="M2">
        <v>0</v>
      </c>
      <c r="N2">
        <v>0.64924144744873102</v>
      </c>
      <c r="O2">
        <v>13025.581183165499</v>
      </c>
      <c r="P2">
        <v>13025.581183165499</v>
      </c>
      <c r="Q2">
        <v>0</v>
      </c>
      <c r="R2">
        <v>3.8723945617675802E-2</v>
      </c>
      <c r="S2">
        <v>13002.5</v>
      </c>
      <c r="T2">
        <v>13002.5</v>
      </c>
      <c r="U2">
        <v>0</v>
      </c>
      <c r="V2">
        <v>0.41492295265197798</v>
      </c>
      <c r="W2" s="5">
        <f t="shared" ref="W2:W43" si="0">G2-K2</f>
        <v>1210.4188168346009</v>
      </c>
      <c r="X2" s="6">
        <f t="shared" ref="X2:X43" si="1">W2/K2*100</f>
        <v>9.2926280970785218</v>
      </c>
      <c r="Y2" s="6">
        <f t="shared" ref="Y2:Y43" si="2">(H2-K2)/K2*100</f>
        <v>9.2926280970785218</v>
      </c>
      <c r="Z2" s="6">
        <f t="shared" ref="Z2:Z43" si="3">(G2-L2)/K2*100</f>
        <v>9.2926280970777544</v>
      </c>
      <c r="AA2" s="5">
        <f t="shared" ref="AA2:AA43" si="4">MAX(O2-K2,0)</f>
        <v>1.0004441719502211E-10</v>
      </c>
      <c r="AB2" s="6">
        <f t="shared" ref="AB2:AB43" si="5">AA2/K2*100</f>
        <v>7.6806106221442253E-13</v>
      </c>
      <c r="AC2" s="6">
        <f t="shared" ref="AC2:AC43" si="6">(O2-L2)/K2*100</f>
        <v>0</v>
      </c>
    </row>
    <row r="3" spans="1:29" x14ac:dyDescent="0.25">
      <c r="A3" t="s">
        <v>74</v>
      </c>
      <c r="B3" t="str" cm="1">
        <f t="array" ref="B3:F3">_xlfn.TEXTSPLIT(A3,"_")</f>
        <v>MVPRP</v>
      </c>
      <c r="C3" t="str">
        <v>C10</v>
      </c>
      <c r="D3" t="str">
        <v>P6</v>
      </c>
      <c r="E3" t="str">
        <v>V3</v>
      </c>
      <c r="F3" t="str">
        <v>I1</v>
      </c>
      <c r="G3">
        <v>30297</v>
      </c>
      <c r="H3">
        <v>30297</v>
      </c>
      <c r="I3">
        <v>0</v>
      </c>
      <c r="J3">
        <v>6.7486011981964102</v>
      </c>
      <c r="K3">
        <v>28310.613691574901</v>
      </c>
      <c r="L3">
        <v>28310.613691574901</v>
      </c>
      <c r="M3">
        <v>0</v>
      </c>
      <c r="N3">
        <v>3.781005859375</v>
      </c>
      <c r="O3">
        <v>28310.613691574999</v>
      </c>
      <c r="P3">
        <v>28310.613691574999</v>
      </c>
      <c r="Q3">
        <v>0</v>
      </c>
      <c r="R3">
        <v>0.11749911308288601</v>
      </c>
      <c r="S3">
        <v>28272</v>
      </c>
      <c r="T3">
        <v>28270.6093319262</v>
      </c>
      <c r="U3">
        <v>4.9188882066678302E-5</v>
      </c>
      <c r="V3">
        <v>3.55665111541748</v>
      </c>
      <c r="W3" s="5">
        <f t="shared" si="0"/>
        <v>1986.3863084250988</v>
      </c>
      <c r="X3" s="6">
        <f t="shared" si="1"/>
        <v>7.0164014459928064</v>
      </c>
      <c r="Y3" s="6">
        <f t="shared" si="2"/>
        <v>7.0164014459928064</v>
      </c>
      <c r="Z3" s="6">
        <f t="shared" si="3"/>
        <v>7.0164014459928064</v>
      </c>
      <c r="AA3" s="5">
        <f t="shared" si="4"/>
        <v>9.822542779147625E-11</v>
      </c>
      <c r="AB3" s="6">
        <f t="shared" si="5"/>
        <v>3.4695619410294752E-13</v>
      </c>
      <c r="AC3" s="6">
        <f t="shared" si="6"/>
        <v>3.4695619410294752E-13</v>
      </c>
    </row>
    <row r="4" spans="1:29" x14ac:dyDescent="0.25">
      <c r="A4" t="s">
        <v>104</v>
      </c>
      <c r="B4" t="str" cm="1">
        <f t="array" ref="B4:F4">_xlfn.TEXTSPLIT(A4,"_")</f>
        <v>MVPRP</v>
      </c>
      <c r="C4" t="str">
        <v>C10</v>
      </c>
      <c r="D4" t="str">
        <v>P9</v>
      </c>
      <c r="E4" t="str">
        <v>V3</v>
      </c>
      <c r="F4" t="str">
        <v>I1</v>
      </c>
      <c r="G4">
        <v>52638.999136016602</v>
      </c>
      <c r="H4">
        <v>52635.5040288241</v>
      </c>
      <c r="I4">
        <v>6.6397675675101896E-5</v>
      </c>
      <c r="J4">
        <v>249.137942075729</v>
      </c>
      <c r="K4">
        <v>48769.624497487697</v>
      </c>
      <c r="L4">
        <v>48769.624497487697</v>
      </c>
      <c r="M4">
        <v>0</v>
      </c>
      <c r="N4">
        <v>14.7140622138977</v>
      </c>
      <c r="O4">
        <v>48769.624534886003</v>
      </c>
      <c r="P4">
        <v>48769.624534886003</v>
      </c>
      <c r="Q4">
        <v>0</v>
      </c>
      <c r="R4">
        <v>0.15393519401550301</v>
      </c>
      <c r="S4">
        <v>48654.5</v>
      </c>
      <c r="T4">
        <v>48654.5</v>
      </c>
      <c r="U4">
        <v>0</v>
      </c>
      <c r="V4">
        <v>39.388911008834803</v>
      </c>
      <c r="W4" s="5">
        <f t="shared" si="0"/>
        <v>3869.3746385289051</v>
      </c>
      <c r="X4" s="6">
        <f t="shared" si="1"/>
        <v>7.9339848899764043</v>
      </c>
      <c r="Y4" s="6">
        <f t="shared" si="2"/>
        <v>7.9268183242533441</v>
      </c>
      <c r="Z4" s="6">
        <f t="shared" si="3"/>
        <v>7.9339848899764043</v>
      </c>
      <c r="AA4" s="5">
        <f t="shared" si="4"/>
        <v>3.7398305721580982E-5</v>
      </c>
      <c r="AB4" s="6">
        <f t="shared" si="5"/>
        <v>7.6683603999262916E-8</v>
      </c>
      <c r="AC4" s="6">
        <f t="shared" si="6"/>
        <v>7.6683603999262916E-8</v>
      </c>
    </row>
    <row r="5" spans="1:29" x14ac:dyDescent="0.25">
      <c r="A5" t="s">
        <v>90</v>
      </c>
      <c r="B5" t="str" cm="1">
        <f t="array" ref="B5:F5">_xlfn.TEXTSPLIT(A5,"_")</f>
        <v>MVPRP</v>
      </c>
      <c r="C5" t="str">
        <v>C15</v>
      </c>
      <c r="D5" t="str">
        <v>P3</v>
      </c>
      <c r="E5" t="str">
        <v>V3</v>
      </c>
      <c r="F5" t="str">
        <v>I1</v>
      </c>
      <c r="G5">
        <v>19989</v>
      </c>
      <c r="H5">
        <v>19989</v>
      </c>
      <c r="I5">
        <v>0</v>
      </c>
      <c r="J5">
        <v>7.2398519515991202</v>
      </c>
      <c r="K5">
        <v>18327.171586345099</v>
      </c>
      <c r="L5">
        <v>18327.171586345099</v>
      </c>
      <c r="M5">
        <v>0</v>
      </c>
      <c r="N5">
        <v>5.0224914550781303</v>
      </c>
      <c r="O5">
        <v>18327.171586345099</v>
      </c>
      <c r="P5">
        <v>18327.171586345099</v>
      </c>
      <c r="Q5">
        <v>0</v>
      </c>
      <c r="R5">
        <v>5.6643009185791002E-2</v>
      </c>
      <c r="S5">
        <v>18296</v>
      </c>
      <c r="T5">
        <v>18296</v>
      </c>
      <c r="U5">
        <v>0</v>
      </c>
      <c r="V5">
        <v>19.071405172348001</v>
      </c>
      <c r="W5" s="5">
        <f t="shared" si="0"/>
        <v>1661.8284136549009</v>
      </c>
      <c r="X5" s="6">
        <f t="shared" si="1"/>
        <v>9.0675661862252017</v>
      </c>
      <c r="Y5" s="6">
        <f t="shared" si="2"/>
        <v>9.0675661862252017</v>
      </c>
      <c r="Z5" s="6">
        <f t="shared" si="3"/>
        <v>9.0675661862252017</v>
      </c>
      <c r="AA5" s="5">
        <f t="shared" si="4"/>
        <v>0</v>
      </c>
      <c r="AB5" s="6">
        <f t="shared" si="5"/>
        <v>0</v>
      </c>
      <c r="AC5" s="6">
        <f t="shared" si="6"/>
        <v>0</v>
      </c>
    </row>
    <row r="6" spans="1:29" x14ac:dyDescent="0.25">
      <c r="A6" t="s">
        <v>88</v>
      </c>
      <c r="B6" t="str" cm="1">
        <f t="array" ref="B6:F6">_xlfn.TEXTSPLIT(A6,"_")</f>
        <v>MVPRP</v>
      </c>
      <c r="C6" t="str">
        <v>C15</v>
      </c>
      <c r="D6" t="str">
        <v>P6</v>
      </c>
      <c r="E6" t="str">
        <v>V3</v>
      </c>
      <c r="F6" t="str">
        <v>I1</v>
      </c>
      <c r="G6">
        <v>42791</v>
      </c>
      <c r="H6">
        <v>42786.818181818198</v>
      </c>
      <c r="I6">
        <v>9.7726582268017797E-5</v>
      </c>
      <c r="J6">
        <v>581.02645182609604</v>
      </c>
      <c r="K6">
        <v>39870.507457640299</v>
      </c>
      <c r="L6">
        <v>39866.7900447266</v>
      </c>
      <c r="M6">
        <v>9.3237160768489804E-5</v>
      </c>
      <c r="N6">
        <v>57.2211880683899</v>
      </c>
      <c r="O6">
        <v>39887.0536174511</v>
      </c>
      <c r="P6">
        <v>39884.0536174511</v>
      </c>
      <c r="Q6">
        <v>7.5212374139731902E-5</v>
      </c>
      <c r="R6">
        <v>0.15292310714721699</v>
      </c>
      <c r="S6">
        <v>39771.5</v>
      </c>
      <c r="T6">
        <v>39771.5</v>
      </c>
      <c r="U6">
        <v>0</v>
      </c>
      <c r="V6">
        <v>1815.4872729778299</v>
      </c>
      <c r="W6" s="5">
        <f t="shared" si="0"/>
        <v>2920.4925423597015</v>
      </c>
      <c r="X6" s="6">
        <f t="shared" si="1"/>
        <v>7.3249444980416314</v>
      </c>
      <c r="Y6" s="6">
        <f t="shared" si="2"/>
        <v>7.3144559980238073</v>
      </c>
      <c r="Z6" s="6">
        <f t="shared" si="3"/>
        <v>7.3342682141183531</v>
      </c>
      <c r="AA6" s="5">
        <f t="shared" si="4"/>
        <v>16.546159810801328</v>
      </c>
      <c r="AB6" s="6">
        <f t="shared" si="5"/>
        <v>4.149974722137785E-2</v>
      </c>
      <c r="AC6" s="6">
        <f t="shared" si="6"/>
        <v>5.0823463298099093E-2</v>
      </c>
    </row>
    <row r="7" spans="1:29" x14ac:dyDescent="0.25">
      <c r="A7" t="s">
        <v>32</v>
      </c>
      <c r="B7" t="str" cm="1">
        <f t="array" ref="B7:F7">_xlfn.TEXTSPLIT(A7,"_")</f>
        <v>MVPRP</v>
      </c>
      <c r="C7" t="str">
        <v>C15</v>
      </c>
      <c r="D7" t="str">
        <v>P9</v>
      </c>
      <c r="E7" t="str">
        <v>V3</v>
      </c>
      <c r="F7" t="str">
        <v>I1</v>
      </c>
      <c r="G7">
        <v>75988</v>
      </c>
      <c r="H7">
        <v>75255.136008802001</v>
      </c>
      <c r="I7">
        <v>9.64447006366774E-3</v>
      </c>
      <c r="J7">
        <v>3601.1645689010602</v>
      </c>
      <c r="K7">
        <v>69995.221982867806</v>
      </c>
      <c r="L7">
        <v>69846.211570691303</v>
      </c>
      <c r="M7">
        <v>2.1288654847463899E-3</v>
      </c>
      <c r="N7">
        <v>3600.08675694466</v>
      </c>
      <c r="O7">
        <v>69995.222006055599</v>
      </c>
      <c r="P7">
        <v>69995.222006055599</v>
      </c>
      <c r="Q7">
        <v>0</v>
      </c>
      <c r="R7">
        <v>0.48168206214904802</v>
      </c>
      <c r="S7">
        <v>69719.499487781795</v>
      </c>
      <c r="T7">
        <v>69557.494086119696</v>
      </c>
      <c r="U7">
        <v>2.3236741923323202E-3</v>
      </c>
      <c r="V7">
        <v>3600.0968580245999</v>
      </c>
      <c r="W7" s="5">
        <f t="shared" si="0"/>
        <v>5992.7780171321938</v>
      </c>
      <c r="X7" s="6">
        <f t="shared" si="1"/>
        <v>8.5616958520383015</v>
      </c>
      <c r="Y7" s="6">
        <f t="shared" si="2"/>
        <v>7.5146758263322937</v>
      </c>
      <c r="Z7" s="6">
        <f t="shared" si="3"/>
        <v>8.7745824005129602</v>
      </c>
      <c r="AA7" s="5">
        <f t="shared" si="4"/>
        <v>2.3187792976386845E-5</v>
      </c>
      <c r="AB7" s="6">
        <f t="shared" si="5"/>
        <v>3.3127679746572336E-8</v>
      </c>
      <c r="AC7" s="6">
        <f t="shared" si="6"/>
        <v>0.21288658160233931</v>
      </c>
    </row>
    <row r="8" spans="1:29" x14ac:dyDescent="0.25">
      <c r="A8" t="s">
        <v>44</v>
      </c>
      <c r="B8" t="str" cm="1">
        <f t="array" ref="B8:F8">_xlfn.TEXTSPLIT(A8,"_")</f>
        <v>MVPRP</v>
      </c>
      <c r="C8" t="str">
        <v>C20</v>
      </c>
      <c r="D8" t="str">
        <v>P3</v>
      </c>
      <c r="E8" t="str">
        <v>V3</v>
      </c>
      <c r="F8" t="str">
        <v>I1</v>
      </c>
      <c r="G8">
        <v>22675</v>
      </c>
      <c r="H8">
        <v>22675</v>
      </c>
      <c r="I8">
        <v>0</v>
      </c>
      <c r="J8">
        <v>7.94667267799377</v>
      </c>
      <c r="K8">
        <v>20945.2212283318</v>
      </c>
      <c r="L8">
        <v>20945.2212283318</v>
      </c>
      <c r="M8">
        <v>0</v>
      </c>
      <c r="N8">
        <v>6.7645709514617902</v>
      </c>
      <c r="O8">
        <v>20945.2212283318</v>
      </c>
      <c r="P8">
        <v>20945.2212283318</v>
      </c>
      <c r="Q8">
        <v>0</v>
      </c>
      <c r="R8">
        <v>8.70928764343262E-2</v>
      </c>
      <c r="S8">
        <v>20910</v>
      </c>
      <c r="T8">
        <v>20910</v>
      </c>
      <c r="U8">
        <v>0</v>
      </c>
      <c r="V8">
        <v>3.2538580894470202</v>
      </c>
      <c r="W8" s="5">
        <f t="shared" si="0"/>
        <v>1729.7787716681996</v>
      </c>
      <c r="X8" s="6">
        <f t="shared" si="1"/>
        <v>8.2585843940783672</v>
      </c>
      <c r="Y8" s="6">
        <f t="shared" si="2"/>
        <v>8.2585843940783672</v>
      </c>
      <c r="Z8" s="6">
        <f t="shared" si="3"/>
        <v>8.2585843940783672</v>
      </c>
      <c r="AA8" s="5">
        <f t="shared" si="4"/>
        <v>0</v>
      </c>
      <c r="AB8" s="6">
        <f t="shared" si="5"/>
        <v>0</v>
      </c>
      <c r="AC8" s="6">
        <f t="shared" si="6"/>
        <v>0</v>
      </c>
    </row>
    <row r="9" spans="1:29" x14ac:dyDescent="0.25">
      <c r="A9" t="s">
        <v>38</v>
      </c>
      <c r="B9" t="str" cm="1">
        <f t="array" ref="B9:F9">_xlfn.TEXTSPLIT(A9,"_")</f>
        <v>MVPRP</v>
      </c>
      <c r="C9" t="str">
        <v>C20</v>
      </c>
      <c r="D9" t="str">
        <v>P6</v>
      </c>
      <c r="E9" t="str">
        <v>V3</v>
      </c>
      <c r="F9" t="str">
        <v>I1</v>
      </c>
      <c r="G9">
        <v>48181</v>
      </c>
      <c r="H9">
        <v>48181</v>
      </c>
      <c r="I9">
        <v>0</v>
      </c>
      <c r="J9">
        <v>27.982041597366301</v>
      </c>
      <c r="K9">
        <v>45340.890509310302</v>
      </c>
      <c r="L9">
        <v>45340.890509310302</v>
      </c>
      <c r="M9">
        <v>0</v>
      </c>
      <c r="N9">
        <v>24.0150790214539</v>
      </c>
      <c r="O9">
        <v>45340.890509310397</v>
      </c>
      <c r="P9">
        <v>45340.890509310397</v>
      </c>
      <c r="Q9">
        <v>0</v>
      </c>
      <c r="R9">
        <v>0.403185844421387</v>
      </c>
      <c r="S9">
        <v>45263.5</v>
      </c>
      <c r="T9">
        <v>45263.5</v>
      </c>
      <c r="U9">
        <v>0</v>
      </c>
      <c r="V9">
        <v>31.1466820240021</v>
      </c>
      <c r="W9" s="5">
        <f t="shared" si="0"/>
        <v>2840.1094906896979</v>
      </c>
      <c r="X9" s="6">
        <f t="shared" si="1"/>
        <v>6.2639031981661448</v>
      </c>
      <c r="Y9" s="6">
        <f t="shared" si="2"/>
        <v>6.2639031981661448</v>
      </c>
      <c r="Z9" s="6">
        <f t="shared" si="3"/>
        <v>6.2639031981661448</v>
      </c>
      <c r="AA9" s="5">
        <f t="shared" si="4"/>
        <v>9.4587448984384537E-11</v>
      </c>
      <c r="AB9" s="6">
        <f t="shared" si="5"/>
        <v>2.0861400806621109E-13</v>
      </c>
      <c r="AC9" s="6">
        <f t="shared" si="6"/>
        <v>2.0861400806621109E-13</v>
      </c>
    </row>
    <row r="10" spans="1:29" x14ac:dyDescent="0.25">
      <c r="A10" t="s">
        <v>98</v>
      </c>
      <c r="B10" t="str" cm="1">
        <f t="array" ref="B10:F10">_xlfn.TEXTSPLIT(A10,"_")</f>
        <v>MVPRP</v>
      </c>
      <c r="C10" t="str">
        <v>C20</v>
      </c>
      <c r="D10" t="str">
        <v>P9</v>
      </c>
      <c r="E10" t="str">
        <v>V3</v>
      </c>
      <c r="F10" t="str">
        <v>I1</v>
      </c>
      <c r="G10">
        <v>83684.999949504898</v>
      </c>
      <c r="H10">
        <v>83678.781075164996</v>
      </c>
      <c r="I10">
        <v>7.4312891721312597E-5</v>
      </c>
      <c r="J10">
        <v>1338.0379493236501</v>
      </c>
      <c r="K10">
        <v>78181.978681211694</v>
      </c>
      <c r="L10">
        <v>78181.978681211694</v>
      </c>
      <c r="M10">
        <v>0</v>
      </c>
      <c r="N10">
        <v>168.85927939415001</v>
      </c>
      <c r="O10">
        <v>78182.2733102817</v>
      </c>
      <c r="P10">
        <v>78174.802840074204</v>
      </c>
      <c r="Q10">
        <v>9.5551969662771105E-5</v>
      </c>
      <c r="R10">
        <v>0.51927495002746604</v>
      </c>
      <c r="S10">
        <v>77944.999831541107</v>
      </c>
      <c r="T10">
        <v>77943.090053310094</v>
      </c>
      <c r="U10">
        <v>2.45016131255053E-5</v>
      </c>
      <c r="V10">
        <v>192.42560005188</v>
      </c>
      <c r="W10" s="5">
        <f t="shared" si="0"/>
        <v>5503.0212682932033</v>
      </c>
      <c r="X10" s="6">
        <f t="shared" si="1"/>
        <v>7.0387336840525148</v>
      </c>
      <c r="Y10" s="6">
        <f t="shared" si="2"/>
        <v>7.0307793262263205</v>
      </c>
      <c r="Z10" s="6">
        <f t="shared" si="3"/>
        <v>7.0387336840525148</v>
      </c>
      <c r="AA10" s="5">
        <f t="shared" si="4"/>
        <v>0.29462907000561245</v>
      </c>
      <c r="AB10" s="6">
        <f t="shared" si="5"/>
        <v>3.7685036241787552E-4</v>
      </c>
      <c r="AC10" s="6">
        <f t="shared" si="6"/>
        <v>3.7685036241787552E-4</v>
      </c>
    </row>
    <row r="11" spans="1:29" x14ac:dyDescent="0.25">
      <c r="A11" t="s">
        <v>72</v>
      </c>
      <c r="B11" t="str" cm="1">
        <f t="array" ref="B11:F11">_xlfn.TEXTSPLIT(A11,"_")</f>
        <v>MVPRP</v>
      </c>
      <c r="C11" t="str">
        <v>C25</v>
      </c>
      <c r="D11" t="str">
        <v>P3</v>
      </c>
      <c r="E11" t="str">
        <v>V3</v>
      </c>
      <c r="F11" t="str">
        <v>I1</v>
      </c>
      <c r="G11">
        <v>26569</v>
      </c>
      <c r="H11">
        <v>26569</v>
      </c>
      <c r="I11">
        <v>0</v>
      </c>
      <c r="J11">
        <v>15.451955080032301</v>
      </c>
      <c r="K11">
        <v>24674.5535864923</v>
      </c>
      <c r="L11">
        <v>24674.5535864923</v>
      </c>
      <c r="M11">
        <v>0</v>
      </c>
      <c r="N11">
        <v>27.5521998405457</v>
      </c>
      <c r="O11">
        <v>24674.5535864923</v>
      </c>
      <c r="P11">
        <v>24674.5535864923</v>
      </c>
      <c r="Q11">
        <v>0</v>
      </c>
      <c r="R11">
        <v>0.151582956314087</v>
      </c>
      <c r="S11">
        <v>24584.5</v>
      </c>
      <c r="T11">
        <v>24584.5</v>
      </c>
      <c r="U11">
        <v>0</v>
      </c>
      <c r="V11">
        <v>32.363929033279398</v>
      </c>
      <c r="W11" s="5">
        <f t="shared" si="0"/>
        <v>1894.4464135076996</v>
      </c>
      <c r="X11" s="6">
        <f t="shared" si="1"/>
        <v>7.6777332844829447</v>
      </c>
      <c r="Y11" s="6">
        <f t="shared" si="2"/>
        <v>7.6777332844829447</v>
      </c>
      <c r="Z11" s="6">
        <f t="shared" si="3"/>
        <v>7.6777332844829447</v>
      </c>
      <c r="AA11" s="5">
        <f t="shared" si="4"/>
        <v>0</v>
      </c>
      <c r="AB11" s="6">
        <f t="shared" si="5"/>
        <v>0</v>
      </c>
      <c r="AC11" s="6">
        <f t="shared" si="6"/>
        <v>0</v>
      </c>
    </row>
    <row r="12" spans="1:29" x14ac:dyDescent="0.25">
      <c r="A12" t="s">
        <v>68</v>
      </c>
      <c r="B12" t="str" cm="1">
        <f t="array" ref="B12:F12">_xlfn.TEXTSPLIT(A12,"_")</f>
        <v>MVPRP</v>
      </c>
      <c r="C12" t="str">
        <v>C25</v>
      </c>
      <c r="D12" t="str">
        <v>P6</v>
      </c>
      <c r="E12" t="str">
        <v>V3</v>
      </c>
      <c r="F12" t="str">
        <v>I1</v>
      </c>
      <c r="G12">
        <v>57677</v>
      </c>
      <c r="H12">
        <v>57671.304179105799</v>
      </c>
      <c r="I12">
        <v>9.8753764832643705E-5</v>
      </c>
      <c r="J12">
        <v>189.830693244934</v>
      </c>
      <c r="K12">
        <v>54514.809695994598</v>
      </c>
      <c r="L12">
        <v>54514.809695994598</v>
      </c>
      <c r="M12">
        <v>0</v>
      </c>
      <c r="N12">
        <v>142.25196409225501</v>
      </c>
      <c r="O12">
        <v>54514.809709988898</v>
      </c>
      <c r="P12">
        <v>54511.181844027698</v>
      </c>
      <c r="Q12">
        <v>6.6548264233276603E-5</v>
      </c>
      <c r="R12">
        <v>0.48333787918090798</v>
      </c>
      <c r="S12">
        <v>54401</v>
      </c>
      <c r="T12">
        <v>54401</v>
      </c>
      <c r="U12">
        <v>0</v>
      </c>
      <c r="V12">
        <v>175.58229088783301</v>
      </c>
      <c r="W12" s="5">
        <f t="shared" si="0"/>
        <v>3162.1903040054021</v>
      </c>
      <c r="X12" s="6">
        <f t="shared" si="1"/>
        <v>5.8006078011453459</v>
      </c>
      <c r="Y12" s="6">
        <f t="shared" si="2"/>
        <v>5.7901595928034943</v>
      </c>
      <c r="Z12" s="6">
        <f t="shared" si="3"/>
        <v>5.8006078011453459</v>
      </c>
      <c r="AA12" s="5">
        <f t="shared" si="4"/>
        <v>1.3994300388731062E-5</v>
      </c>
      <c r="AB12" s="6">
        <f t="shared" si="5"/>
        <v>2.5670639715650103E-8</v>
      </c>
      <c r="AC12" s="6">
        <f t="shared" si="6"/>
        <v>2.5670639715650103E-8</v>
      </c>
    </row>
    <row r="13" spans="1:29" x14ac:dyDescent="0.25">
      <c r="A13" t="s">
        <v>84</v>
      </c>
      <c r="B13" t="str" cm="1">
        <f t="array" ref="B13:F13">_xlfn.TEXTSPLIT(A13,"_")</f>
        <v>MVPRP</v>
      </c>
      <c r="C13" t="str">
        <v>C25</v>
      </c>
      <c r="D13" t="str">
        <v>P9</v>
      </c>
      <c r="E13" t="str">
        <v>V3</v>
      </c>
      <c r="F13" t="str">
        <v>I1</v>
      </c>
      <c r="G13">
        <v>101897.9996581</v>
      </c>
      <c r="H13">
        <v>101701.50339873599</v>
      </c>
      <c r="I13">
        <v>1.9283622840831501E-3</v>
      </c>
      <c r="J13">
        <v>3603.4120757579799</v>
      </c>
      <c r="K13">
        <v>95664.295049533001</v>
      </c>
      <c r="L13">
        <v>95654.819448160095</v>
      </c>
      <c r="M13">
        <v>9.9050553479134305E-5</v>
      </c>
      <c r="N13">
        <v>1795.2350549697901</v>
      </c>
      <c r="O13">
        <v>95664.295208659896</v>
      </c>
      <c r="P13">
        <v>95661.420657705006</v>
      </c>
      <c r="Q13">
        <v>3.00483158173635E-5</v>
      </c>
      <c r="R13">
        <v>0.86931490898132302</v>
      </c>
      <c r="S13">
        <v>95318.5</v>
      </c>
      <c r="T13">
        <v>95309.500866150003</v>
      </c>
      <c r="U13">
        <v>9.4411198770556399E-5</v>
      </c>
      <c r="V13">
        <v>1717.50952887535</v>
      </c>
      <c r="W13" s="5">
        <f t="shared" si="0"/>
        <v>6233.7046085670008</v>
      </c>
      <c r="X13" s="6">
        <f t="shared" si="1"/>
        <v>6.5162290751625953</v>
      </c>
      <c r="Y13" s="6">
        <f t="shared" si="2"/>
        <v>6.3108271963714895</v>
      </c>
      <c r="Z13" s="6">
        <f t="shared" si="3"/>
        <v>6.5261341305105693</v>
      </c>
      <c r="AA13" s="5">
        <f t="shared" si="4"/>
        <v>1.5912689559627324E-4</v>
      </c>
      <c r="AB13" s="6">
        <f t="shared" si="5"/>
        <v>1.6633885768340278E-7</v>
      </c>
      <c r="AC13" s="6">
        <f t="shared" si="6"/>
        <v>9.9052216868319581E-3</v>
      </c>
    </row>
    <row r="14" spans="1:29" x14ac:dyDescent="0.25">
      <c r="A14" t="s">
        <v>106</v>
      </c>
      <c r="B14" t="str" cm="1">
        <f t="array" ref="B14:F14">_xlfn.TEXTSPLIT(A14,"_")</f>
        <v>MVPRP</v>
      </c>
      <c r="C14" t="str">
        <v>C30</v>
      </c>
      <c r="D14" t="str">
        <v>P3</v>
      </c>
      <c r="E14" t="str">
        <v>V3</v>
      </c>
      <c r="F14" t="str">
        <v>I1</v>
      </c>
      <c r="G14">
        <v>29172</v>
      </c>
      <c r="H14">
        <v>29172</v>
      </c>
      <c r="I14">
        <v>0</v>
      </c>
      <c r="J14">
        <v>15.691298961639401</v>
      </c>
      <c r="K14">
        <v>27264.275367252099</v>
      </c>
      <c r="L14">
        <v>27264.275367252099</v>
      </c>
      <c r="M14">
        <v>0</v>
      </c>
      <c r="N14">
        <v>178.18308544158899</v>
      </c>
      <c r="O14">
        <v>27264.275367252099</v>
      </c>
      <c r="P14">
        <v>27262.610460611999</v>
      </c>
      <c r="Q14">
        <v>6.1065501197963E-5</v>
      </c>
      <c r="R14">
        <v>0.28699588775634799</v>
      </c>
      <c r="S14">
        <v>27227.5</v>
      </c>
      <c r="T14">
        <v>27227.5</v>
      </c>
      <c r="U14">
        <v>0</v>
      </c>
      <c r="V14">
        <v>293.42446899414102</v>
      </c>
      <c r="W14" s="5">
        <f t="shared" si="0"/>
        <v>1907.7246327479006</v>
      </c>
      <c r="X14" s="6">
        <f t="shared" si="1"/>
        <v>6.9971587619721705</v>
      </c>
      <c r="Y14" s="6">
        <f t="shared" si="2"/>
        <v>6.9971587619721705</v>
      </c>
      <c r="Z14" s="6">
        <f t="shared" si="3"/>
        <v>6.9971587619721705</v>
      </c>
      <c r="AA14" s="5">
        <f t="shared" si="4"/>
        <v>0</v>
      </c>
      <c r="AB14" s="6">
        <f t="shared" si="5"/>
        <v>0</v>
      </c>
      <c r="AC14" s="6">
        <f t="shared" si="6"/>
        <v>0</v>
      </c>
    </row>
    <row r="15" spans="1:29" x14ac:dyDescent="0.25">
      <c r="A15" t="s">
        <v>82</v>
      </c>
      <c r="B15" t="str" cm="1">
        <f t="array" ref="B15:F15">_xlfn.TEXTSPLIT(A15,"_")</f>
        <v>MVPRP</v>
      </c>
      <c r="C15" t="str">
        <v>C30</v>
      </c>
      <c r="D15" t="str">
        <v>P6</v>
      </c>
      <c r="E15" t="str">
        <v>V3</v>
      </c>
      <c r="F15" t="str">
        <v>I1</v>
      </c>
      <c r="G15">
        <v>61786.999969999997</v>
      </c>
      <c r="H15">
        <v>61782.695040581501</v>
      </c>
      <c r="I15">
        <v>6.96737083947566E-5</v>
      </c>
      <c r="J15">
        <v>1727.2135601043699</v>
      </c>
      <c r="K15">
        <v>58486.329670089297</v>
      </c>
      <c r="L15">
        <v>58482.0909604966</v>
      </c>
      <c r="M15">
        <v>7.2473509907007699E-5</v>
      </c>
      <c r="N15">
        <v>628.48309421539295</v>
      </c>
      <c r="O15">
        <v>58486.329727964498</v>
      </c>
      <c r="P15">
        <v>58480.620915703999</v>
      </c>
      <c r="Q15">
        <v>9.7609343706385706E-5</v>
      </c>
      <c r="R15">
        <v>0.91987586021423295</v>
      </c>
      <c r="S15">
        <v>58370.999852040499</v>
      </c>
      <c r="T15">
        <v>58337.748184958597</v>
      </c>
      <c r="U15">
        <v>5.6966074191187595E-4</v>
      </c>
      <c r="V15">
        <v>3600.0510439872701</v>
      </c>
      <c r="W15" s="5">
        <f t="shared" si="0"/>
        <v>3300.6702999107001</v>
      </c>
      <c r="X15" s="6">
        <f t="shared" si="1"/>
        <v>5.6434902284502693</v>
      </c>
      <c r="Y15" s="6">
        <f t="shared" si="2"/>
        <v>5.636129654718288</v>
      </c>
      <c r="Z15" s="6">
        <f t="shared" si="3"/>
        <v>5.650737579440845</v>
      </c>
      <c r="AA15" s="5">
        <f t="shared" si="4"/>
        <v>5.7875200582202524E-5</v>
      </c>
      <c r="AB15" s="6">
        <f t="shared" si="5"/>
        <v>9.8955090717208549E-8</v>
      </c>
      <c r="AC15" s="6">
        <f t="shared" si="6"/>
        <v>7.2474499456670867E-3</v>
      </c>
    </row>
    <row r="16" spans="1:29" x14ac:dyDescent="0.25">
      <c r="A16" t="s">
        <v>102</v>
      </c>
      <c r="B16" t="str" cm="1">
        <f t="array" ref="B16:F16">_xlfn.TEXTSPLIT(A16,"_")</f>
        <v>MVPRP</v>
      </c>
      <c r="C16" t="str">
        <v>C30</v>
      </c>
      <c r="D16" t="str">
        <v>P9</v>
      </c>
      <c r="E16" t="str">
        <v>V3</v>
      </c>
      <c r="F16" t="str">
        <v>I1</v>
      </c>
      <c r="G16">
        <v>111231</v>
      </c>
      <c r="H16">
        <v>110668.141916063</v>
      </c>
      <c r="I16">
        <v>5.06026273194677E-3</v>
      </c>
      <c r="J16">
        <v>3601.7885897159599</v>
      </c>
      <c r="K16">
        <v>104459.89430034799</v>
      </c>
      <c r="L16">
        <v>104043.301515139</v>
      </c>
      <c r="M16">
        <v>3.9880643954279702E-3</v>
      </c>
      <c r="N16">
        <v>3600.0950207710298</v>
      </c>
      <c r="O16">
        <v>104453.499983307</v>
      </c>
      <c r="P16">
        <v>104445.427468687</v>
      </c>
      <c r="Q16">
        <v>7.7283332977704503E-5</v>
      </c>
      <c r="R16">
        <v>2.0960528850555402</v>
      </c>
      <c r="S16">
        <v>104120</v>
      </c>
      <c r="T16">
        <v>103658.355906187</v>
      </c>
      <c r="U16">
        <v>4.4337696293953802E-3</v>
      </c>
      <c r="V16">
        <v>3600.1525189876602</v>
      </c>
      <c r="W16" s="5">
        <f t="shared" si="0"/>
        <v>6771.1056996520056</v>
      </c>
      <c r="X16" s="6">
        <f t="shared" si="1"/>
        <v>6.4820146956911557</v>
      </c>
      <c r="Y16" s="6">
        <f t="shared" si="2"/>
        <v>5.9431877251041083</v>
      </c>
      <c r="Z16" s="6">
        <f t="shared" si="3"/>
        <v>6.8808211352335782</v>
      </c>
      <c r="AA16" s="5">
        <f t="shared" si="4"/>
        <v>0</v>
      </c>
      <c r="AB16" s="6">
        <f t="shared" si="5"/>
        <v>0</v>
      </c>
      <c r="AC16" s="6">
        <f t="shared" si="6"/>
        <v>0.39268512658894927</v>
      </c>
    </row>
    <row r="17" spans="1:29" x14ac:dyDescent="0.25">
      <c r="A17" t="s">
        <v>76</v>
      </c>
      <c r="B17" t="str" cm="1">
        <f t="array" ref="B17:F17">_xlfn.TEXTSPLIT(A17,"_")</f>
        <v>MVPRP</v>
      </c>
      <c r="C17" t="str">
        <v>C35</v>
      </c>
      <c r="D17" t="str">
        <v>P3</v>
      </c>
      <c r="E17" t="str">
        <v>V3</v>
      </c>
      <c r="F17" t="str">
        <v>I1</v>
      </c>
      <c r="G17">
        <v>35803</v>
      </c>
      <c r="H17">
        <v>35803</v>
      </c>
      <c r="I17">
        <v>0</v>
      </c>
      <c r="J17">
        <v>26.064972877502399</v>
      </c>
      <c r="K17">
        <v>33620.6139623454</v>
      </c>
      <c r="L17">
        <v>33617.773898749001</v>
      </c>
      <c r="M17">
        <v>8.4473876639703296E-5</v>
      </c>
      <c r="N17">
        <v>190.56372189521801</v>
      </c>
      <c r="O17">
        <v>33620.613962345502</v>
      </c>
      <c r="P17">
        <v>33618.431182678403</v>
      </c>
      <c r="Q17">
        <v>6.4923849087718404E-5</v>
      </c>
      <c r="R17">
        <v>0.50154209136962902</v>
      </c>
      <c r="S17">
        <v>33517.5</v>
      </c>
      <c r="T17">
        <v>33517.5</v>
      </c>
      <c r="U17">
        <v>0</v>
      </c>
      <c r="V17">
        <v>134.83490800857501</v>
      </c>
      <c r="W17" s="5">
        <f t="shared" si="0"/>
        <v>2182.3860376545999</v>
      </c>
      <c r="X17" s="6">
        <f t="shared" si="1"/>
        <v>6.491214110779894</v>
      </c>
      <c r="Y17" s="6">
        <f t="shared" si="2"/>
        <v>6.491214110779894</v>
      </c>
      <c r="Z17" s="6">
        <f t="shared" si="3"/>
        <v>6.4996614984438423</v>
      </c>
      <c r="AA17" s="5">
        <f t="shared" si="4"/>
        <v>1.0186340659856796E-10</v>
      </c>
      <c r="AB17" s="6">
        <f t="shared" si="5"/>
        <v>3.0297901969504035E-13</v>
      </c>
      <c r="AC17" s="6">
        <f t="shared" si="6"/>
        <v>8.4473876642516717E-3</v>
      </c>
    </row>
    <row r="18" spans="1:29" x14ac:dyDescent="0.25">
      <c r="A18" t="s">
        <v>70</v>
      </c>
      <c r="B18" t="str" cm="1">
        <f t="array" ref="B18:F18">_xlfn.TEXTSPLIT(A18,"_")</f>
        <v>MVPRP</v>
      </c>
      <c r="C18" t="str">
        <v>C35</v>
      </c>
      <c r="D18" t="str">
        <v>P6</v>
      </c>
      <c r="E18" t="str">
        <v>V3</v>
      </c>
      <c r="F18" t="str">
        <v>I1</v>
      </c>
      <c r="G18">
        <v>75538.9998224054</v>
      </c>
      <c r="H18">
        <v>75433.2378964089</v>
      </c>
      <c r="I18">
        <v>1.40009698625977E-3</v>
      </c>
      <c r="J18">
        <v>3601.5368080139201</v>
      </c>
      <c r="K18">
        <v>71408.633363145593</v>
      </c>
      <c r="L18">
        <v>71407.7168238554</v>
      </c>
      <c r="M18">
        <v>1.28351327699142E-5</v>
      </c>
      <c r="N18">
        <v>787.87908077240002</v>
      </c>
      <c r="O18">
        <v>71408.633299448004</v>
      </c>
      <c r="P18">
        <v>71408.633299448004</v>
      </c>
      <c r="Q18">
        <v>0</v>
      </c>
      <c r="R18">
        <v>1.1596198081970199</v>
      </c>
      <c r="S18">
        <v>71232</v>
      </c>
      <c r="T18">
        <v>71100.599730043003</v>
      </c>
      <c r="U18">
        <v>1.84468033969259E-3</v>
      </c>
      <c r="V18">
        <v>3600.1047670841199</v>
      </c>
      <c r="W18" s="5">
        <f t="shared" si="0"/>
        <v>4130.366459259807</v>
      </c>
      <c r="X18" s="6">
        <f t="shared" si="1"/>
        <v>5.784127583362368</v>
      </c>
      <c r="Y18" s="6">
        <f t="shared" si="2"/>
        <v>5.6360195451386828</v>
      </c>
      <c r="Z18" s="6">
        <f t="shared" si="3"/>
        <v>5.7854110966394412</v>
      </c>
      <c r="AA18" s="5">
        <f t="shared" si="4"/>
        <v>0</v>
      </c>
      <c r="AB18" s="6">
        <f t="shared" si="5"/>
        <v>0</v>
      </c>
      <c r="AC18" s="6">
        <f t="shared" si="6"/>
        <v>1.2834240755489523E-3</v>
      </c>
    </row>
    <row r="19" spans="1:29" x14ac:dyDescent="0.25">
      <c r="A19" t="s">
        <v>36</v>
      </c>
      <c r="B19" t="str" cm="1">
        <f t="array" ref="B19:F19">_xlfn.TEXTSPLIT(A19,"_")</f>
        <v>MVPRP</v>
      </c>
      <c r="C19" t="str">
        <v>C40</v>
      </c>
      <c r="D19" t="str">
        <v>P3</v>
      </c>
      <c r="E19" t="str">
        <v>V3</v>
      </c>
      <c r="F19" t="str">
        <v>I1</v>
      </c>
      <c r="G19">
        <v>44822</v>
      </c>
      <c r="H19">
        <v>44822</v>
      </c>
      <c r="I19">
        <v>0</v>
      </c>
      <c r="J19">
        <v>107.950572729111</v>
      </c>
      <c r="K19">
        <v>41714.6655546361</v>
      </c>
      <c r="L19">
        <v>41714.6655546361</v>
      </c>
      <c r="M19">
        <v>0</v>
      </c>
      <c r="N19">
        <v>74.477678298950195</v>
      </c>
      <c r="O19">
        <v>41714.6655546361</v>
      </c>
      <c r="P19">
        <v>41714.665554229701</v>
      </c>
      <c r="Q19">
        <v>9.7426926250467206E-12</v>
      </c>
      <c r="R19">
        <v>0.58624386787414595</v>
      </c>
      <c r="S19">
        <v>41609</v>
      </c>
      <c r="T19">
        <v>41605.111582441001</v>
      </c>
      <c r="U19">
        <v>9.3451358095235603E-5</v>
      </c>
      <c r="V19">
        <v>387.69830894470198</v>
      </c>
      <c r="W19" s="5">
        <f t="shared" si="0"/>
        <v>3107.3344453639002</v>
      </c>
      <c r="X19" s="6">
        <f t="shared" si="1"/>
        <v>7.4490215948011027</v>
      </c>
      <c r="Y19" s="6">
        <f t="shared" si="2"/>
        <v>7.4490215948011027</v>
      </c>
      <c r="Z19" s="6">
        <f t="shared" si="3"/>
        <v>7.4490215948011027</v>
      </c>
      <c r="AA19" s="5">
        <f t="shared" si="4"/>
        <v>0</v>
      </c>
      <c r="AB19" s="6">
        <f t="shared" si="5"/>
        <v>0</v>
      </c>
      <c r="AC19" s="6">
        <f t="shared" si="6"/>
        <v>0</v>
      </c>
    </row>
    <row r="20" spans="1:29" x14ac:dyDescent="0.25">
      <c r="A20" t="s">
        <v>48</v>
      </c>
      <c r="B20" t="str" cm="1">
        <f t="array" ref="B20:F20">_xlfn.TEXTSPLIT(A20,"_")</f>
        <v>MVPRP</v>
      </c>
      <c r="C20" t="str">
        <v>C40</v>
      </c>
      <c r="D20" t="str">
        <v>P6</v>
      </c>
      <c r="E20" t="str">
        <v>V3</v>
      </c>
      <c r="F20" t="str">
        <v>I1</v>
      </c>
      <c r="G20">
        <v>96993</v>
      </c>
      <c r="H20">
        <v>96752.303220362606</v>
      </c>
      <c r="I20">
        <v>2.4815891831102099E-3</v>
      </c>
      <c r="J20">
        <v>3601.67462682724</v>
      </c>
      <c r="K20">
        <v>92125.039665893899</v>
      </c>
      <c r="L20">
        <v>92015.716652112897</v>
      </c>
      <c r="M20">
        <v>1.18668077840193E-3</v>
      </c>
      <c r="N20">
        <v>3600.18600106239</v>
      </c>
      <c r="O20">
        <v>92143.426089322704</v>
      </c>
      <c r="P20">
        <v>92143.426089322704</v>
      </c>
      <c r="Q20">
        <v>0</v>
      </c>
      <c r="R20">
        <v>2.09613013267517</v>
      </c>
      <c r="S20">
        <v>91913.499942254304</v>
      </c>
      <c r="T20">
        <v>91699.221977955298</v>
      </c>
      <c r="U20">
        <v>2.3313002380884401E-3</v>
      </c>
      <c r="V20">
        <v>3600.1507289409601</v>
      </c>
      <c r="W20" s="5">
        <f t="shared" si="0"/>
        <v>4867.9603341061011</v>
      </c>
      <c r="X20" s="6">
        <f t="shared" si="1"/>
        <v>5.2840794986472002</v>
      </c>
      <c r="Y20" s="6">
        <f t="shared" si="2"/>
        <v>5.0228076658096583</v>
      </c>
      <c r="Z20" s="6">
        <f t="shared" si="3"/>
        <v>5.4027475764873625</v>
      </c>
      <c r="AA20" s="5">
        <f t="shared" si="4"/>
        <v>18.386423428804846</v>
      </c>
      <c r="AB20" s="6">
        <f t="shared" si="5"/>
        <v>1.9958117245307175E-2</v>
      </c>
      <c r="AC20" s="6">
        <f t="shared" si="6"/>
        <v>0.13862619508546839</v>
      </c>
    </row>
    <row r="21" spans="1:29" x14ac:dyDescent="0.25">
      <c r="A21" t="s">
        <v>66</v>
      </c>
      <c r="B21" t="str" cm="1">
        <f t="array" ref="B21:F21">_xlfn.TEXTSPLIT(A21,"_")</f>
        <v>MVPRP</v>
      </c>
      <c r="C21" t="str">
        <v>C45</v>
      </c>
      <c r="D21" t="str">
        <v>P3</v>
      </c>
      <c r="E21" t="str">
        <v>V3</v>
      </c>
      <c r="F21" t="str">
        <v>I1</v>
      </c>
      <c r="G21">
        <v>50846</v>
      </c>
      <c r="H21">
        <v>50846</v>
      </c>
      <c r="I21">
        <v>0</v>
      </c>
      <c r="J21">
        <v>68.337500810623197</v>
      </c>
      <c r="K21">
        <v>47594.573005964499</v>
      </c>
      <c r="L21">
        <v>47594.573005964499</v>
      </c>
      <c r="M21">
        <v>0</v>
      </c>
      <c r="N21">
        <v>697.24698352813698</v>
      </c>
      <c r="O21">
        <v>47594.573005964601</v>
      </c>
      <c r="P21">
        <v>47594.573005258302</v>
      </c>
      <c r="Q21">
        <v>1.48394483026515E-11</v>
      </c>
      <c r="R21">
        <v>0.88113212585449197</v>
      </c>
      <c r="S21">
        <v>47460</v>
      </c>
      <c r="T21">
        <v>47456.491272926498</v>
      </c>
      <c r="U21">
        <v>7.3930195395707107E-5</v>
      </c>
      <c r="V21">
        <v>921.40168499946606</v>
      </c>
      <c r="W21" s="5">
        <f t="shared" si="0"/>
        <v>3251.4269940355007</v>
      </c>
      <c r="X21" s="6">
        <f t="shared" si="1"/>
        <v>6.8315078562172102</v>
      </c>
      <c r="Y21" s="6">
        <f t="shared" si="2"/>
        <v>6.8315078562172102</v>
      </c>
      <c r="Z21" s="6">
        <f t="shared" si="3"/>
        <v>6.8315078562172102</v>
      </c>
      <c r="AA21" s="5">
        <f t="shared" si="4"/>
        <v>1.0186340659856796E-10</v>
      </c>
      <c r="AB21" s="6">
        <f t="shared" si="5"/>
        <v>2.1402315466892109E-13</v>
      </c>
      <c r="AC21" s="6">
        <f t="shared" si="6"/>
        <v>2.1402315466892109E-13</v>
      </c>
    </row>
    <row r="22" spans="1:29" x14ac:dyDescent="0.25">
      <c r="A22" t="s">
        <v>80</v>
      </c>
      <c r="B22" t="str" cm="1">
        <f t="array" ref="B22:F22">_xlfn.TEXTSPLIT(A22,"_")</f>
        <v>MVPRP</v>
      </c>
      <c r="C22" t="str">
        <v>C50</v>
      </c>
      <c r="D22" t="str">
        <v>P3</v>
      </c>
      <c r="E22" t="str">
        <v>V3</v>
      </c>
      <c r="F22" t="str">
        <v>I1</v>
      </c>
      <c r="G22">
        <v>47126</v>
      </c>
      <c r="H22">
        <v>47126</v>
      </c>
      <c r="I22">
        <v>0</v>
      </c>
      <c r="J22">
        <v>169.300560951233</v>
      </c>
      <c r="K22">
        <v>43823.382013082301</v>
      </c>
      <c r="L22">
        <v>43823.353462368701</v>
      </c>
      <c r="M22">
        <v>6.5149498415973902E-7</v>
      </c>
      <c r="N22">
        <v>498.25829482078598</v>
      </c>
      <c r="O22">
        <v>43835.830935732803</v>
      </c>
      <c r="P22">
        <v>43835.830934717596</v>
      </c>
      <c r="Q22">
        <v>2.31592984158959E-11</v>
      </c>
      <c r="R22">
        <v>0.926927089691162</v>
      </c>
      <c r="S22">
        <v>43699.5</v>
      </c>
      <c r="T22">
        <v>43699.5</v>
      </c>
      <c r="U22">
        <v>0</v>
      </c>
      <c r="V22">
        <v>1575.5385169982901</v>
      </c>
      <c r="W22" s="5">
        <f t="shared" si="0"/>
        <v>3302.6179869176995</v>
      </c>
      <c r="X22" s="6">
        <f t="shared" si="1"/>
        <v>7.5362006198695282</v>
      </c>
      <c r="Y22" s="6">
        <f t="shared" si="2"/>
        <v>7.5362006198695282</v>
      </c>
      <c r="Z22" s="6">
        <f t="shared" si="3"/>
        <v>7.5362657693680095</v>
      </c>
      <c r="AA22" s="5">
        <f t="shared" si="4"/>
        <v>12.448922650502936</v>
      </c>
      <c r="AB22" s="6">
        <f t="shared" si="5"/>
        <v>2.8407033137667563E-2</v>
      </c>
      <c r="AC22" s="6">
        <f t="shared" si="6"/>
        <v>2.8472182636149951E-2</v>
      </c>
    </row>
    <row r="23" spans="1:29" x14ac:dyDescent="0.25">
      <c r="A23" t="s">
        <v>50</v>
      </c>
      <c r="B23" t="str" cm="1">
        <f t="array" ref="B23:F23">_xlfn.TEXTSPLIT(A23,"_")</f>
        <v>MVPRP</v>
      </c>
      <c r="C23" t="str">
        <v>C10</v>
      </c>
      <c r="D23" t="str">
        <v>P3</v>
      </c>
      <c r="E23" t="str">
        <v>V3</v>
      </c>
      <c r="F23" t="str">
        <v>I3</v>
      </c>
      <c r="G23">
        <v>20750</v>
      </c>
      <c r="H23">
        <v>20750</v>
      </c>
      <c r="I23">
        <v>0</v>
      </c>
      <c r="J23">
        <v>1.7461397647857699</v>
      </c>
      <c r="K23">
        <v>16684.5152113289</v>
      </c>
      <c r="L23">
        <v>16684.5152113289</v>
      </c>
      <c r="M23">
        <v>0</v>
      </c>
      <c r="N23">
        <v>1.80661296844482</v>
      </c>
      <c r="O23">
        <v>16684.5152113289</v>
      </c>
      <c r="P23">
        <v>16684.5152113289</v>
      </c>
      <c r="Q23">
        <v>0</v>
      </c>
      <c r="R23">
        <v>3.6213874816894497E-2</v>
      </c>
      <c r="S23">
        <v>16611</v>
      </c>
      <c r="T23">
        <v>16611</v>
      </c>
      <c r="U23">
        <v>0</v>
      </c>
      <c r="V23">
        <v>1.19254899024963</v>
      </c>
      <c r="W23" s="5">
        <f t="shared" si="0"/>
        <v>4065.4847886710995</v>
      </c>
      <c r="X23" s="6">
        <f t="shared" si="1"/>
        <v>24.366814001947191</v>
      </c>
      <c r="Y23" s="6">
        <f t="shared" si="2"/>
        <v>24.366814001947191</v>
      </c>
      <c r="Z23" s="6">
        <f t="shared" si="3"/>
        <v>24.366814001947191</v>
      </c>
      <c r="AA23" s="5">
        <f t="shared" si="4"/>
        <v>0</v>
      </c>
      <c r="AB23" s="6">
        <f t="shared" si="5"/>
        <v>0</v>
      </c>
      <c r="AC23" s="6">
        <f t="shared" si="6"/>
        <v>0</v>
      </c>
    </row>
    <row r="24" spans="1:29" x14ac:dyDescent="0.25">
      <c r="A24" t="s">
        <v>78</v>
      </c>
      <c r="B24" t="str" cm="1">
        <f t="array" ref="B24:F24">_xlfn.TEXTSPLIT(A24,"_")</f>
        <v>MVPRP</v>
      </c>
      <c r="C24" t="str">
        <v>C10</v>
      </c>
      <c r="D24" t="str">
        <v>P6</v>
      </c>
      <c r="E24" t="str">
        <v>V3</v>
      </c>
      <c r="F24" t="str">
        <v>I3</v>
      </c>
      <c r="G24">
        <v>42067.999985979397</v>
      </c>
      <c r="H24">
        <v>42067.999985979397</v>
      </c>
      <c r="I24">
        <v>0</v>
      </c>
      <c r="J24">
        <v>11.096104145050001</v>
      </c>
      <c r="K24">
        <v>34839.347178387397</v>
      </c>
      <c r="L24">
        <v>34839.347178387397</v>
      </c>
      <c r="M24">
        <v>0</v>
      </c>
      <c r="N24">
        <v>4.9504723548889196</v>
      </c>
      <c r="O24">
        <v>34839.347178387499</v>
      </c>
      <c r="P24">
        <v>34839.347178387397</v>
      </c>
      <c r="Q24">
        <v>0</v>
      </c>
      <c r="R24">
        <v>8.5337162017822293E-2</v>
      </c>
      <c r="S24">
        <v>34625.5</v>
      </c>
      <c r="T24">
        <v>34625.5</v>
      </c>
      <c r="U24">
        <v>0</v>
      </c>
      <c r="V24">
        <v>1.75228595733643</v>
      </c>
      <c r="W24" s="5">
        <f t="shared" si="0"/>
        <v>7228.6528075919996</v>
      </c>
      <c r="X24" s="6">
        <f t="shared" si="1"/>
        <v>20.74853116672719</v>
      </c>
      <c r="Y24" s="6">
        <f t="shared" si="2"/>
        <v>20.74853116672719</v>
      </c>
      <c r="Z24" s="6">
        <f t="shared" si="3"/>
        <v>20.74853116672719</v>
      </c>
      <c r="AA24" s="5">
        <f t="shared" si="4"/>
        <v>1.0186340659856796E-10</v>
      </c>
      <c r="AB24" s="6">
        <f t="shared" si="5"/>
        <v>2.9238035396300122E-13</v>
      </c>
      <c r="AC24" s="6">
        <f t="shared" si="6"/>
        <v>2.9238035396300122E-13</v>
      </c>
    </row>
    <row r="25" spans="1:29" x14ac:dyDescent="0.25">
      <c r="A25" t="s">
        <v>108</v>
      </c>
      <c r="B25" t="str" cm="1">
        <f t="array" ref="B25:F25">_xlfn.TEXTSPLIT(A25,"_")</f>
        <v>MVPRP</v>
      </c>
      <c r="C25" t="str">
        <v>C10</v>
      </c>
      <c r="D25" t="str">
        <v>P9</v>
      </c>
      <c r="E25" t="str">
        <v>V3</v>
      </c>
      <c r="F25" t="str">
        <v>I3</v>
      </c>
      <c r="G25">
        <v>72847.999958617205</v>
      </c>
      <c r="H25">
        <v>72847.999958617205</v>
      </c>
      <c r="I25">
        <v>0</v>
      </c>
      <c r="J25">
        <v>22.308111429214499</v>
      </c>
      <c r="K25">
        <v>61593.951320038199</v>
      </c>
      <c r="L25">
        <v>61593.951320038199</v>
      </c>
      <c r="M25">
        <v>0</v>
      </c>
      <c r="N25">
        <v>118.246260643005</v>
      </c>
      <c r="O25">
        <v>61950.215442203596</v>
      </c>
      <c r="P25">
        <v>61950.215442203502</v>
      </c>
      <c r="Q25">
        <v>0</v>
      </c>
      <c r="R25">
        <v>0.11837506294250499</v>
      </c>
      <c r="S25">
        <v>61035.5</v>
      </c>
      <c r="T25">
        <v>61033.606355002797</v>
      </c>
      <c r="U25">
        <v>3.1025304900483003E-5</v>
      </c>
      <c r="V25">
        <v>234.87872982025101</v>
      </c>
      <c r="W25" s="5">
        <f t="shared" si="0"/>
        <v>11254.048638579006</v>
      </c>
      <c r="X25" s="6">
        <f t="shared" si="1"/>
        <v>18.271353594614663</v>
      </c>
      <c r="Y25" s="6">
        <f t="shared" si="2"/>
        <v>18.271353594614663</v>
      </c>
      <c r="Z25" s="6">
        <f t="shared" si="3"/>
        <v>18.271353594614663</v>
      </c>
      <c r="AA25" s="5">
        <f t="shared" si="4"/>
        <v>356.26412216539757</v>
      </c>
      <c r="AB25" s="6">
        <f t="shared" si="5"/>
        <v>0.57840764316981741</v>
      </c>
      <c r="AC25" s="6">
        <f t="shared" si="6"/>
        <v>0.57840764316981741</v>
      </c>
    </row>
    <row r="26" spans="1:29" x14ac:dyDescent="0.25">
      <c r="A26" t="s">
        <v>24</v>
      </c>
      <c r="B26" t="str" cm="1">
        <f t="array" ref="B26:F26">_xlfn.TEXTSPLIT(A26,"_")</f>
        <v>MVPRP</v>
      </c>
      <c r="C26" t="str">
        <v>C15</v>
      </c>
      <c r="D26" t="str">
        <v>P3</v>
      </c>
      <c r="E26" t="str">
        <v>V3</v>
      </c>
      <c r="F26" t="str">
        <v>I3</v>
      </c>
      <c r="G26">
        <v>30676</v>
      </c>
      <c r="H26">
        <v>30676</v>
      </c>
      <c r="I26">
        <v>0</v>
      </c>
      <c r="J26">
        <v>23.045698881149299</v>
      </c>
      <c r="K26">
        <v>24162.859640039998</v>
      </c>
      <c r="L26">
        <v>24162.859640039998</v>
      </c>
      <c r="M26">
        <v>0</v>
      </c>
      <c r="N26">
        <v>11.833907365799</v>
      </c>
      <c r="O26">
        <v>24162.859640039998</v>
      </c>
      <c r="P26">
        <v>24162.859640039998</v>
      </c>
      <c r="Q26">
        <v>0</v>
      </c>
      <c r="R26">
        <v>6.2053918838500997E-2</v>
      </c>
      <c r="S26">
        <v>24004</v>
      </c>
      <c r="T26">
        <v>24004</v>
      </c>
      <c r="U26">
        <v>0</v>
      </c>
      <c r="V26">
        <v>19.826627016067501</v>
      </c>
      <c r="W26" s="5">
        <f t="shared" si="0"/>
        <v>6513.1403599600017</v>
      </c>
      <c r="X26" s="6">
        <f t="shared" si="1"/>
        <v>26.955171933239026</v>
      </c>
      <c r="Y26" s="6">
        <f t="shared" si="2"/>
        <v>26.955171933239026</v>
      </c>
      <c r="Z26" s="6">
        <f t="shared" si="3"/>
        <v>26.955171933239026</v>
      </c>
      <c r="AA26" s="5">
        <f t="shared" si="4"/>
        <v>0</v>
      </c>
      <c r="AB26" s="6">
        <f t="shared" si="5"/>
        <v>0</v>
      </c>
      <c r="AC26" s="6">
        <f t="shared" si="6"/>
        <v>0</v>
      </c>
    </row>
    <row r="27" spans="1:29" x14ac:dyDescent="0.25">
      <c r="A27" t="s">
        <v>60</v>
      </c>
      <c r="B27" t="str" cm="1">
        <f t="array" ref="B27:F27">_xlfn.TEXTSPLIT(A27,"_")</f>
        <v>MVPRP</v>
      </c>
      <c r="C27" t="str">
        <v>C15</v>
      </c>
      <c r="D27" t="str">
        <v>P6</v>
      </c>
      <c r="E27" t="str">
        <v>V3</v>
      </c>
      <c r="F27" t="str">
        <v>I3</v>
      </c>
      <c r="G27">
        <v>60686.999585325299</v>
      </c>
      <c r="H27">
        <v>60686.999585325299</v>
      </c>
      <c r="I27">
        <v>0</v>
      </c>
      <c r="J27">
        <v>867.94262433052097</v>
      </c>
      <c r="K27">
        <v>50192.775307358701</v>
      </c>
      <c r="L27">
        <v>50192.775307358701</v>
      </c>
      <c r="M27">
        <v>0</v>
      </c>
      <c r="N27">
        <v>149.10526490211501</v>
      </c>
      <c r="O27">
        <v>50192.775307358599</v>
      </c>
      <c r="P27">
        <v>50192.775307358497</v>
      </c>
      <c r="Q27">
        <v>0</v>
      </c>
      <c r="R27">
        <v>0.19164109230041501</v>
      </c>
      <c r="S27">
        <v>49264.5</v>
      </c>
      <c r="T27">
        <v>49260.743995347599</v>
      </c>
      <c r="U27">
        <v>7.6241607088590503E-5</v>
      </c>
      <c r="V27">
        <v>57.6475670337677</v>
      </c>
      <c r="W27" s="5">
        <f t="shared" si="0"/>
        <v>10494.224277966598</v>
      </c>
      <c r="X27" s="6">
        <f t="shared" si="1"/>
        <v>20.907838257009175</v>
      </c>
      <c r="Y27" s="6">
        <f t="shared" si="2"/>
        <v>20.907838257009175</v>
      </c>
      <c r="Z27" s="6">
        <f t="shared" si="3"/>
        <v>20.907838257009175</v>
      </c>
      <c r="AA27" s="5">
        <f t="shared" si="4"/>
        <v>0</v>
      </c>
      <c r="AB27" s="6">
        <f t="shared" si="5"/>
        <v>0</v>
      </c>
      <c r="AC27" s="6">
        <f t="shared" si="6"/>
        <v>-2.029443599697383E-13</v>
      </c>
    </row>
    <row r="28" spans="1:29" x14ac:dyDescent="0.25">
      <c r="A28" t="s">
        <v>100</v>
      </c>
      <c r="B28" t="str" cm="1">
        <f t="array" ref="B28:F28">_xlfn.TEXTSPLIT(A28,"_")</f>
        <v>MVPRP</v>
      </c>
      <c r="C28" t="str">
        <v>C15</v>
      </c>
      <c r="D28" t="str">
        <v>P9</v>
      </c>
      <c r="E28" t="str">
        <v>V3</v>
      </c>
      <c r="F28" t="str">
        <v>I3</v>
      </c>
      <c r="G28">
        <v>109246</v>
      </c>
      <c r="H28">
        <v>108534.871643727</v>
      </c>
      <c r="I28">
        <v>6.5094223703681797E-3</v>
      </c>
      <c r="J28">
        <v>3600.0643427372001</v>
      </c>
      <c r="K28">
        <v>92408.284140776203</v>
      </c>
      <c r="L28">
        <v>87666.412706197094</v>
      </c>
      <c r="M28">
        <v>5.1314354320823201E-2</v>
      </c>
      <c r="N28">
        <v>3600.0904128551501</v>
      </c>
      <c r="O28">
        <v>92208.491951856602</v>
      </c>
      <c r="P28">
        <v>92208.491951856398</v>
      </c>
      <c r="Q28">
        <v>2.0515995215228101E-15</v>
      </c>
      <c r="R28">
        <v>0.23122382164001501</v>
      </c>
      <c r="S28">
        <v>89063.999121602406</v>
      </c>
      <c r="T28">
        <v>88001.963644798205</v>
      </c>
      <c r="U28">
        <v>1.19244081478321E-2</v>
      </c>
      <c r="V28">
        <v>3600.0441670417799</v>
      </c>
      <c r="W28" s="5">
        <f t="shared" si="0"/>
        <v>16837.715859223797</v>
      </c>
      <c r="X28" s="6">
        <f t="shared" si="1"/>
        <v>18.221002603590129</v>
      </c>
      <c r="Y28" s="6">
        <f t="shared" si="2"/>
        <v>17.451452164595231</v>
      </c>
      <c r="Z28" s="6">
        <f t="shared" si="3"/>
        <v>23.352438035672463</v>
      </c>
      <c r="AA28" s="5">
        <f t="shared" si="4"/>
        <v>0</v>
      </c>
      <c r="AB28" s="6">
        <f t="shared" si="5"/>
        <v>0</v>
      </c>
      <c r="AC28" s="6">
        <f t="shared" si="6"/>
        <v>4.9152295033852536</v>
      </c>
    </row>
    <row r="29" spans="1:29" x14ac:dyDescent="0.25">
      <c r="A29" t="s">
        <v>54</v>
      </c>
      <c r="B29" t="str" cm="1">
        <f t="array" ref="B29:F29">_xlfn.TEXTSPLIT(A29,"_")</f>
        <v>MVPRP</v>
      </c>
      <c r="C29" t="str">
        <v>C20</v>
      </c>
      <c r="D29" t="str">
        <v>P3</v>
      </c>
      <c r="E29" t="str">
        <v>V3</v>
      </c>
      <c r="F29" t="str">
        <v>I3</v>
      </c>
      <c r="G29">
        <v>33151</v>
      </c>
      <c r="H29">
        <v>33151</v>
      </c>
      <c r="I29">
        <v>0</v>
      </c>
      <c r="J29">
        <v>16.105900287628199</v>
      </c>
      <c r="K29">
        <v>27018.506210203599</v>
      </c>
      <c r="L29">
        <v>27018.506210203599</v>
      </c>
      <c r="M29">
        <v>0</v>
      </c>
      <c r="N29">
        <v>19.694522619247401</v>
      </c>
      <c r="O29">
        <v>27023.1053811036</v>
      </c>
      <c r="P29">
        <v>27023.1053811036</v>
      </c>
      <c r="Q29">
        <v>0</v>
      </c>
      <c r="R29">
        <v>8.9956998825073201E-2</v>
      </c>
      <c r="S29">
        <v>26786.5</v>
      </c>
      <c r="T29">
        <v>26786.5</v>
      </c>
      <c r="U29">
        <v>0</v>
      </c>
      <c r="V29">
        <v>18.750438928604101</v>
      </c>
      <c r="W29" s="5">
        <f t="shared" si="0"/>
        <v>6132.493789796401</v>
      </c>
      <c r="X29" s="6">
        <f t="shared" si="1"/>
        <v>22.697382831181283</v>
      </c>
      <c r="Y29" s="6">
        <f t="shared" si="2"/>
        <v>22.697382831181283</v>
      </c>
      <c r="Z29" s="6">
        <f t="shared" si="3"/>
        <v>22.697382831181283</v>
      </c>
      <c r="AA29" s="5">
        <f t="shared" si="4"/>
        <v>4.5991709000008996</v>
      </c>
      <c r="AB29" s="6">
        <f t="shared" si="5"/>
        <v>1.7022298953981448E-2</v>
      </c>
      <c r="AC29" s="6">
        <f t="shared" si="6"/>
        <v>1.7022298953981448E-2</v>
      </c>
    </row>
    <row r="30" spans="1:29" x14ac:dyDescent="0.25">
      <c r="A30" t="s">
        <v>92</v>
      </c>
      <c r="B30" t="str" cm="1">
        <f t="array" ref="B30:F30">_xlfn.TEXTSPLIT(A30,"_")</f>
        <v>MVPRP</v>
      </c>
      <c r="C30" t="str">
        <v>C20</v>
      </c>
      <c r="D30" t="str">
        <v>P6</v>
      </c>
      <c r="E30" t="str">
        <v>V3</v>
      </c>
      <c r="F30" t="str">
        <v>I3</v>
      </c>
      <c r="G30">
        <v>66288.999920291695</v>
      </c>
      <c r="H30">
        <v>66288.999920291695</v>
      </c>
      <c r="I30">
        <v>0</v>
      </c>
      <c r="J30">
        <v>2472.0361132621802</v>
      </c>
      <c r="K30">
        <v>56027.588948340199</v>
      </c>
      <c r="L30">
        <v>56027.588948340199</v>
      </c>
      <c r="M30">
        <v>0</v>
      </c>
      <c r="N30">
        <v>306.39131999015802</v>
      </c>
      <c r="O30">
        <v>56413.241189307802</v>
      </c>
      <c r="P30">
        <v>56412.840231726303</v>
      </c>
      <c r="Q30">
        <v>7.1075083270183598E-6</v>
      </c>
      <c r="R30">
        <v>0.22145891189575201</v>
      </c>
      <c r="S30">
        <v>55322.499816250303</v>
      </c>
      <c r="T30">
        <v>54992.145958273097</v>
      </c>
      <c r="U30">
        <v>5.9714195684285399E-3</v>
      </c>
      <c r="V30">
        <v>3600.04701304436</v>
      </c>
      <c r="W30" s="5">
        <f t="shared" si="0"/>
        <v>10261.410971951496</v>
      </c>
      <c r="X30" s="6">
        <f t="shared" si="1"/>
        <v>18.314925136994471</v>
      </c>
      <c r="Y30" s="6">
        <f t="shared" si="2"/>
        <v>18.314925136994471</v>
      </c>
      <c r="Z30" s="6">
        <f t="shared" si="3"/>
        <v>18.314925136994471</v>
      </c>
      <c r="AA30" s="5">
        <f t="shared" si="4"/>
        <v>385.65224096760357</v>
      </c>
      <c r="AB30" s="6">
        <f t="shared" si="5"/>
        <v>0.68832560566400813</v>
      </c>
      <c r="AC30" s="6">
        <f t="shared" si="6"/>
        <v>0.68832560566400813</v>
      </c>
    </row>
    <row r="31" spans="1:29" x14ac:dyDescent="0.25">
      <c r="A31" t="s">
        <v>94</v>
      </c>
      <c r="B31" t="str" cm="1">
        <f t="array" ref="B31:F31">_xlfn.TEXTSPLIT(A31,"_")</f>
        <v>MVPRP</v>
      </c>
      <c r="C31" t="str">
        <v>C20</v>
      </c>
      <c r="D31" t="str">
        <v>P9</v>
      </c>
      <c r="E31" t="str">
        <v>V3</v>
      </c>
      <c r="F31" t="str">
        <v>I3</v>
      </c>
      <c r="G31">
        <v>116181.999595663</v>
      </c>
      <c r="H31">
        <v>115809.362405917</v>
      </c>
      <c r="I31">
        <v>3.2073573448852099E-3</v>
      </c>
      <c r="J31">
        <v>3600.1263711452498</v>
      </c>
      <c r="K31">
        <v>98936.597148238798</v>
      </c>
      <c r="L31">
        <v>97086.117010916496</v>
      </c>
      <c r="M31">
        <v>1.8703697020725499E-2</v>
      </c>
      <c r="N31">
        <v>3600.0946800708798</v>
      </c>
      <c r="O31">
        <v>98774.423249967105</v>
      </c>
      <c r="P31">
        <v>98766.892732051696</v>
      </c>
      <c r="Q31">
        <v>7.6239553393944899E-5</v>
      </c>
      <c r="R31">
        <v>0.44352793693542503</v>
      </c>
      <c r="S31">
        <v>96525.499358178204</v>
      </c>
      <c r="T31">
        <v>96159.489974376498</v>
      </c>
      <c r="U31">
        <v>3.7918413915008901E-3</v>
      </c>
      <c r="V31">
        <v>3600.0966207981101</v>
      </c>
      <c r="W31" s="5">
        <f t="shared" si="0"/>
        <v>17245.402447424203</v>
      </c>
      <c r="X31" s="6">
        <f t="shared" si="1"/>
        <v>17.430761664043338</v>
      </c>
      <c r="Y31" s="6">
        <f t="shared" si="2"/>
        <v>17.054119248105305</v>
      </c>
      <c r="Z31" s="6">
        <f t="shared" si="3"/>
        <v>19.30113136611596</v>
      </c>
      <c r="AA31" s="5">
        <f t="shared" si="4"/>
        <v>0</v>
      </c>
      <c r="AB31" s="6">
        <f t="shared" si="5"/>
        <v>0</v>
      </c>
      <c r="AC31" s="6">
        <f t="shared" si="6"/>
        <v>1.7064527057879142</v>
      </c>
    </row>
    <row r="32" spans="1:29" x14ac:dyDescent="0.25">
      <c r="A32" t="s">
        <v>86</v>
      </c>
      <c r="B32" t="str" cm="1">
        <f t="array" ref="B32:F32">_xlfn.TEXTSPLIT(A32,"_")</f>
        <v>MVPRP</v>
      </c>
      <c r="C32" t="str">
        <v>C25</v>
      </c>
      <c r="D32" t="str">
        <v>P3</v>
      </c>
      <c r="E32" t="str">
        <v>V3</v>
      </c>
      <c r="F32" t="str">
        <v>I3</v>
      </c>
      <c r="G32">
        <v>38054</v>
      </c>
      <c r="H32">
        <v>38054</v>
      </c>
      <c r="I32">
        <v>0</v>
      </c>
      <c r="J32">
        <v>28.681736707687399</v>
      </c>
      <c r="K32">
        <v>31340.3992646923</v>
      </c>
      <c r="L32">
        <v>31340.3992646923</v>
      </c>
      <c r="M32">
        <v>0</v>
      </c>
      <c r="N32">
        <v>27.796728372573899</v>
      </c>
      <c r="O32">
        <v>31340.399264692202</v>
      </c>
      <c r="P32">
        <v>31340.399264692202</v>
      </c>
      <c r="Q32">
        <v>0</v>
      </c>
      <c r="R32">
        <v>0.13144707679748499</v>
      </c>
      <c r="S32">
        <v>31011.5</v>
      </c>
      <c r="T32">
        <v>31011.5</v>
      </c>
      <c r="U32">
        <v>0</v>
      </c>
      <c r="V32">
        <v>49.085165977477999</v>
      </c>
      <c r="W32" s="5">
        <f t="shared" si="0"/>
        <v>6713.6007353077002</v>
      </c>
      <c r="X32" s="6">
        <f t="shared" si="1"/>
        <v>21.421554583930135</v>
      </c>
      <c r="Y32" s="6">
        <f t="shared" si="2"/>
        <v>21.421554583930135</v>
      </c>
      <c r="Z32" s="6">
        <f t="shared" si="3"/>
        <v>21.421554583930135</v>
      </c>
      <c r="AA32" s="5">
        <f t="shared" si="4"/>
        <v>0</v>
      </c>
      <c r="AB32" s="6">
        <f t="shared" si="5"/>
        <v>0</v>
      </c>
      <c r="AC32" s="6">
        <f t="shared" si="6"/>
        <v>-3.1341473017587167E-13</v>
      </c>
    </row>
    <row r="33" spans="1:29" x14ac:dyDescent="0.25">
      <c r="A33" t="s">
        <v>58</v>
      </c>
      <c r="B33" t="str" cm="1">
        <f t="array" ref="B33:F33">_xlfn.TEXTSPLIT(A33,"_")</f>
        <v>MVPRP</v>
      </c>
      <c r="C33" t="str">
        <v>C25</v>
      </c>
      <c r="D33" t="str">
        <v>P6</v>
      </c>
      <c r="E33" t="str">
        <v>V3</v>
      </c>
      <c r="F33" t="str">
        <v>I3</v>
      </c>
      <c r="G33">
        <v>76711.999283793804</v>
      </c>
      <c r="H33">
        <v>76416.527816995702</v>
      </c>
      <c r="I33">
        <v>3.8516981639992801E-3</v>
      </c>
      <c r="J33">
        <v>3600.0264861583701</v>
      </c>
      <c r="K33">
        <v>65896.277919437605</v>
      </c>
      <c r="L33">
        <v>65892.071746189104</v>
      </c>
      <c r="M33">
        <v>6.3830209858651497E-5</v>
      </c>
      <c r="N33">
        <v>582.43223428726196</v>
      </c>
      <c r="O33">
        <v>66330.031882249197</v>
      </c>
      <c r="P33">
        <v>66330.031882249095</v>
      </c>
      <c r="Q33">
        <v>0</v>
      </c>
      <c r="R33">
        <v>0.448040962219238</v>
      </c>
      <c r="S33">
        <v>65227.495956007602</v>
      </c>
      <c r="T33">
        <v>64960.846244726403</v>
      </c>
      <c r="U33">
        <v>4.0879955204947797E-3</v>
      </c>
      <c r="V33">
        <v>3600.07558894157</v>
      </c>
      <c r="W33" s="5">
        <f t="shared" si="0"/>
        <v>10815.721364356199</v>
      </c>
      <c r="X33" s="6">
        <f t="shared" si="1"/>
        <v>16.413250802388426</v>
      </c>
      <c r="Y33" s="6">
        <f t="shared" si="2"/>
        <v>15.964862098007679</v>
      </c>
      <c r="Z33" s="6">
        <f t="shared" si="3"/>
        <v>16.419633823374291</v>
      </c>
      <c r="AA33" s="5">
        <f t="shared" si="4"/>
        <v>433.75396281159192</v>
      </c>
      <c r="AB33" s="6">
        <f t="shared" si="5"/>
        <v>0.65823742479337566</v>
      </c>
      <c r="AC33" s="6">
        <f t="shared" si="6"/>
        <v>0.66462044577924084</v>
      </c>
    </row>
    <row r="34" spans="1:29" x14ac:dyDescent="0.25">
      <c r="A34" t="s">
        <v>110</v>
      </c>
      <c r="B34" t="str" cm="1">
        <f t="array" ref="B34:F34">_xlfn.TEXTSPLIT(A34,"_")</f>
        <v>MVPRP</v>
      </c>
      <c r="C34" t="str">
        <v>C25</v>
      </c>
      <c r="D34" t="str">
        <v>P9</v>
      </c>
      <c r="E34" t="str">
        <v>V3</v>
      </c>
      <c r="F34" t="str">
        <v>I3</v>
      </c>
      <c r="G34">
        <v>140566</v>
      </c>
      <c r="H34">
        <v>137113.438898578</v>
      </c>
      <c r="I34">
        <v>2.4561850671019299E-2</v>
      </c>
      <c r="J34">
        <v>3600.6079318523398</v>
      </c>
      <c r="K34">
        <v>121927.695490802</v>
      </c>
      <c r="L34">
        <v>116243.58755247301</v>
      </c>
      <c r="M34">
        <v>4.6618677696220703E-2</v>
      </c>
      <c r="N34">
        <v>3600.0403726100899</v>
      </c>
      <c r="O34">
        <v>120867.237712195</v>
      </c>
      <c r="P34">
        <v>120867.23771219399</v>
      </c>
      <c r="Q34">
        <v>9.6316689311738502E-16</v>
      </c>
      <c r="R34">
        <v>0.71753907203674305</v>
      </c>
      <c r="S34">
        <v>116251.499881542</v>
      </c>
      <c r="T34">
        <v>115245.010231066</v>
      </c>
      <c r="U34">
        <v>8.65786378241621E-3</v>
      </c>
      <c r="V34">
        <v>3600.0542008876801</v>
      </c>
      <c r="W34" s="5">
        <f t="shared" si="0"/>
        <v>18638.304509198002</v>
      </c>
      <c r="X34" s="6">
        <f t="shared" si="1"/>
        <v>15.286358389841004</v>
      </c>
      <c r="Y34" s="6">
        <f t="shared" si="2"/>
        <v>12.454712070664522</v>
      </c>
      <c r="Z34" s="6">
        <f t="shared" si="3"/>
        <v>19.94822615946336</v>
      </c>
      <c r="AA34" s="5">
        <f t="shared" si="4"/>
        <v>0</v>
      </c>
      <c r="AB34" s="6">
        <f t="shared" si="5"/>
        <v>0</v>
      </c>
      <c r="AC34" s="6">
        <f t="shared" si="6"/>
        <v>3.7921246203417254</v>
      </c>
    </row>
    <row r="35" spans="1:29" x14ac:dyDescent="0.25">
      <c r="A35" t="s">
        <v>52</v>
      </c>
      <c r="B35" t="str" cm="1">
        <f t="array" ref="B35:F35">_xlfn.TEXTSPLIT(A35,"_")</f>
        <v>MVPRP</v>
      </c>
      <c r="C35" t="str">
        <v>C30</v>
      </c>
      <c r="D35" t="str">
        <v>P3</v>
      </c>
      <c r="E35" t="str">
        <v>V3</v>
      </c>
      <c r="F35" t="str">
        <v>I3</v>
      </c>
      <c r="G35">
        <v>41464</v>
      </c>
      <c r="H35">
        <v>41464</v>
      </c>
      <c r="I35">
        <v>0</v>
      </c>
      <c r="J35">
        <v>12.4477450847626</v>
      </c>
      <c r="K35">
        <v>34123.400853526597</v>
      </c>
      <c r="L35">
        <v>34123.400853526597</v>
      </c>
      <c r="M35">
        <v>0</v>
      </c>
      <c r="N35">
        <v>161.43400597572301</v>
      </c>
      <c r="O35">
        <v>34147.722698161</v>
      </c>
      <c r="P35">
        <v>34147.722698161</v>
      </c>
      <c r="Q35">
        <v>0</v>
      </c>
      <c r="R35">
        <v>0.184254169464111</v>
      </c>
      <c r="S35">
        <v>33853</v>
      </c>
      <c r="T35">
        <v>33853</v>
      </c>
      <c r="U35">
        <v>0</v>
      </c>
      <c r="V35">
        <v>102.931480884552</v>
      </c>
      <c r="W35" s="5">
        <f t="shared" si="0"/>
        <v>7340.5991464734034</v>
      </c>
      <c r="X35" s="6">
        <f t="shared" si="1"/>
        <v>21.511921329244547</v>
      </c>
      <c r="Y35" s="6">
        <f t="shared" si="2"/>
        <v>21.511921329244547</v>
      </c>
      <c r="Z35" s="6">
        <f t="shared" si="3"/>
        <v>21.511921329244547</v>
      </c>
      <c r="AA35" s="5">
        <f t="shared" si="4"/>
        <v>24.321844634403533</v>
      </c>
      <c r="AB35" s="6">
        <f t="shared" si="5"/>
        <v>7.127614489190022E-2</v>
      </c>
      <c r="AC35" s="6">
        <f t="shared" si="6"/>
        <v>7.127614489190022E-2</v>
      </c>
    </row>
    <row r="36" spans="1:29" x14ac:dyDescent="0.25">
      <c r="A36" t="s">
        <v>64</v>
      </c>
      <c r="B36" t="str" cm="1">
        <f t="array" ref="B36:F36">_xlfn.TEXTSPLIT(A36,"_")</f>
        <v>MVPRP</v>
      </c>
      <c r="C36" t="str">
        <v>C30</v>
      </c>
      <c r="D36" t="str">
        <v>P6</v>
      </c>
      <c r="E36" t="str">
        <v>V3</v>
      </c>
      <c r="F36" t="str">
        <v>I3</v>
      </c>
      <c r="G36">
        <v>82749</v>
      </c>
      <c r="H36">
        <v>82465.450241958504</v>
      </c>
      <c r="I36">
        <v>3.4266245881103001E-3</v>
      </c>
      <c r="J36">
        <v>3600.7795357704199</v>
      </c>
      <c r="K36">
        <v>70563.605996775499</v>
      </c>
      <c r="L36">
        <v>70563.605996775499</v>
      </c>
      <c r="M36">
        <v>0</v>
      </c>
      <c r="N36">
        <v>1732.4877917766601</v>
      </c>
      <c r="O36">
        <v>70818.445352732306</v>
      </c>
      <c r="P36">
        <v>70818.445352732306</v>
      </c>
      <c r="Q36">
        <v>0</v>
      </c>
      <c r="R36">
        <v>1.34233498573303</v>
      </c>
      <c r="S36">
        <v>69819.4998441918</v>
      </c>
      <c r="T36">
        <v>69466.623639525802</v>
      </c>
      <c r="U36">
        <v>5.0541210615012398E-3</v>
      </c>
      <c r="V36">
        <v>3600.04102897644</v>
      </c>
      <c r="W36" s="5">
        <f t="shared" si="0"/>
        <v>12185.394003224501</v>
      </c>
      <c r="X36" s="6">
        <f t="shared" si="1"/>
        <v>17.268666802234183</v>
      </c>
      <c r="Y36" s="6">
        <f t="shared" si="2"/>
        <v>16.866831105154798</v>
      </c>
      <c r="Z36" s="6">
        <f t="shared" si="3"/>
        <v>17.268666802234183</v>
      </c>
      <c r="AA36" s="5">
        <f t="shared" si="4"/>
        <v>254.83935595680668</v>
      </c>
      <c r="AB36" s="6">
        <f t="shared" si="5"/>
        <v>0.36114843106013023</v>
      </c>
      <c r="AC36" s="6">
        <f t="shared" si="6"/>
        <v>0.36114843106013023</v>
      </c>
    </row>
    <row r="37" spans="1:29" x14ac:dyDescent="0.25">
      <c r="A37" t="s">
        <v>29</v>
      </c>
      <c r="B37" t="str" cm="1">
        <f t="array" ref="B37:F37">_xlfn.TEXTSPLIT(A37,"_")</f>
        <v>MVPRP</v>
      </c>
      <c r="C37" t="str">
        <v>C30</v>
      </c>
      <c r="D37" t="str">
        <v>P9</v>
      </c>
      <c r="E37" t="str">
        <v>V3</v>
      </c>
      <c r="F37" t="str">
        <v>I3</v>
      </c>
      <c r="G37">
        <v>154135</v>
      </c>
      <c r="H37">
        <v>146428.66490523101</v>
      </c>
      <c r="I37">
        <v>4.9997308169909799E-2</v>
      </c>
      <c r="J37">
        <v>3600.0424265861502</v>
      </c>
      <c r="K37">
        <v>139780.17948176499</v>
      </c>
      <c r="L37">
        <v>124277.702685201</v>
      </c>
      <c r="M37">
        <v>0.110906115974664</v>
      </c>
      <c r="N37">
        <v>3600.1860005855601</v>
      </c>
      <c r="O37">
        <v>128936.478350978</v>
      </c>
      <c r="P37">
        <v>128936.478350978</v>
      </c>
      <c r="Q37">
        <v>0</v>
      </c>
      <c r="R37">
        <v>1.9319880008697501</v>
      </c>
      <c r="S37">
        <v>126143.50052799701</v>
      </c>
      <c r="T37">
        <v>124482.53603504501</v>
      </c>
      <c r="U37">
        <v>1.31672617772596E-2</v>
      </c>
      <c r="V37">
        <v>3600.10951900482</v>
      </c>
      <c r="W37" s="5">
        <f t="shared" si="0"/>
        <v>14354.820518235007</v>
      </c>
      <c r="X37" s="6">
        <f t="shared" si="1"/>
        <v>10.269567954094423</v>
      </c>
      <c r="Y37" s="6">
        <f t="shared" si="2"/>
        <v>4.7563863833307947</v>
      </c>
      <c r="Z37" s="6">
        <f t="shared" si="3"/>
        <v>21.360179551560833</v>
      </c>
      <c r="AA37" s="5">
        <f t="shared" si="4"/>
        <v>0</v>
      </c>
      <c r="AB37" s="6">
        <f t="shared" si="5"/>
        <v>0</v>
      </c>
      <c r="AC37" s="6">
        <f t="shared" si="6"/>
        <v>3.3329300928424925</v>
      </c>
    </row>
    <row r="38" spans="1:29" x14ac:dyDescent="0.25">
      <c r="A38" t="s">
        <v>46</v>
      </c>
      <c r="B38" t="str" cm="1">
        <f t="array" ref="B38:F38">_xlfn.TEXTSPLIT(A38,"_")</f>
        <v>MVPRP</v>
      </c>
      <c r="C38" t="str">
        <v>C35</v>
      </c>
      <c r="D38" t="str">
        <v>P3</v>
      </c>
      <c r="E38" t="str">
        <v>V3</v>
      </c>
      <c r="F38" t="str">
        <v>I3</v>
      </c>
      <c r="G38">
        <v>49960</v>
      </c>
      <c r="H38">
        <v>49958.861801242201</v>
      </c>
      <c r="I38">
        <v>2.2782200915835899E-5</v>
      </c>
      <c r="J38">
        <v>111.026981592178</v>
      </c>
      <c r="K38">
        <v>41528.485566394898</v>
      </c>
      <c r="L38">
        <v>41528.485566394898</v>
      </c>
      <c r="M38">
        <v>0</v>
      </c>
      <c r="N38">
        <v>270.73729801178001</v>
      </c>
      <c r="O38">
        <v>41528.485566394898</v>
      </c>
      <c r="P38">
        <v>41528.485566394898</v>
      </c>
      <c r="Q38">
        <v>0</v>
      </c>
      <c r="R38">
        <v>0.251204013824463</v>
      </c>
      <c r="S38">
        <v>41361.5</v>
      </c>
      <c r="T38">
        <v>41361.5</v>
      </c>
      <c r="U38">
        <v>0</v>
      </c>
      <c r="V38">
        <v>621.01512908935604</v>
      </c>
      <c r="W38" s="5">
        <f t="shared" si="0"/>
        <v>8431.5144336051017</v>
      </c>
      <c r="X38" s="6">
        <f t="shared" si="1"/>
        <v>20.302966310016213</v>
      </c>
      <c r="Y38" s="6">
        <f t="shared" si="2"/>
        <v>20.300225543666862</v>
      </c>
      <c r="Z38" s="6">
        <f t="shared" si="3"/>
        <v>20.302966310016213</v>
      </c>
      <c r="AA38" s="5">
        <f t="shared" si="4"/>
        <v>0</v>
      </c>
      <c r="AB38" s="6">
        <f t="shared" si="5"/>
        <v>0</v>
      </c>
      <c r="AC38" s="6">
        <f t="shared" si="6"/>
        <v>0</v>
      </c>
    </row>
    <row r="39" spans="1:29" x14ac:dyDescent="0.25">
      <c r="A39" t="s">
        <v>56</v>
      </c>
      <c r="B39" t="str" cm="1">
        <f t="array" ref="B39:F39">_xlfn.TEXTSPLIT(A39,"_")</f>
        <v>MVPRP</v>
      </c>
      <c r="C39" t="str">
        <v>C35</v>
      </c>
      <c r="D39" t="str">
        <v>P6</v>
      </c>
      <c r="E39" t="str">
        <v>V3</v>
      </c>
      <c r="F39" t="str">
        <v>I3</v>
      </c>
      <c r="G39">
        <v>99886</v>
      </c>
      <c r="H39">
        <v>98851.925147300106</v>
      </c>
      <c r="I39">
        <v>1.03525504344943E-2</v>
      </c>
      <c r="J39">
        <v>3601.8449048995999</v>
      </c>
      <c r="K39">
        <v>86437.593028770207</v>
      </c>
      <c r="L39">
        <v>85060.1312629186</v>
      </c>
      <c r="M39">
        <v>1.5935910725708699E-2</v>
      </c>
      <c r="N39">
        <v>3600.08347153664</v>
      </c>
      <c r="O39">
        <v>86286.751912180698</v>
      </c>
      <c r="P39">
        <v>86286.751912180698</v>
      </c>
      <c r="Q39">
        <v>0</v>
      </c>
      <c r="R39">
        <v>1.0528998374939</v>
      </c>
      <c r="S39">
        <v>85085.999620258503</v>
      </c>
      <c r="T39">
        <v>84172.390987884894</v>
      </c>
      <c r="U39">
        <v>1.0737473103108E-2</v>
      </c>
      <c r="V39">
        <v>3600.0619230270399</v>
      </c>
      <c r="W39" s="5">
        <f t="shared" si="0"/>
        <v>13448.406971229793</v>
      </c>
      <c r="X39" s="6">
        <f t="shared" si="1"/>
        <v>15.55851626589553</v>
      </c>
      <c r="Y39" s="6">
        <f t="shared" si="2"/>
        <v>14.362190898117522</v>
      </c>
      <c r="Z39" s="6">
        <f t="shared" si="3"/>
        <v>17.152107338466383</v>
      </c>
      <c r="AA39" s="5">
        <f t="shared" si="4"/>
        <v>0</v>
      </c>
      <c r="AB39" s="6">
        <f t="shared" si="5"/>
        <v>0</v>
      </c>
      <c r="AC39" s="6">
        <f t="shared" si="6"/>
        <v>1.4190823764074803</v>
      </c>
    </row>
    <row r="40" spans="1:29" x14ac:dyDescent="0.25">
      <c r="A40" t="s">
        <v>34</v>
      </c>
      <c r="B40" t="str" cm="1">
        <f t="array" ref="B40:F40">_xlfn.TEXTSPLIT(A40,"_")</f>
        <v>MVPRP</v>
      </c>
      <c r="C40" t="str">
        <v>C40</v>
      </c>
      <c r="D40" t="str">
        <v>P3</v>
      </c>
      <c r="E40" t="str">
        <v>V3</v>
      </c>
      <c r="F40" t="str">
        <v>I3</v>
      </c>
      <c r="G40">
        <v>61830</v>
      </c>
      <c r="H40">
        <v>61827.609761093801</v>
      </c>
      <c r="I40">
        <v>3.8658238819792197E-5</v>
      </c>
      <c r="J40">
        <v>2714.9084372520401</v>
      </c>
      <c r="K40">
        <v>51505.656298582602</v>
      </c>
      <c r="L40">
        <v>51505.656298582602</v>
      </c>
      <c r="M40">
        <v>0</v>
      </c>
      <c r="N40">
        <v>396.12451291084301</v>
      </c>
      <c r="O40">
        <v>51505.656298582602</v>
      </c>
      <c r="P40">
        <v>51505.656298582602</v>
      </c>
      <c r="Q40">
        <v>0</v>
      </c>
      <c r="R40">
        <v>0.463942050933838</v>
      </c>
      <c r="S40">
        <v>51308.999965019801</v>
      </c>
      <c r="T40">
        <v>51308.999965019801</v>
      </c>
      <c r="U40">
        <v>0</v>
      </c>
      <c r="V40">
        <v>313.60271191597002</v>
      </c>
      <c r="W40" s="5">
        <f t="shared" si="0"/>
        <v>10324.343701417398</v>
      </c>
      <c r="X40" s="6">
        <f t="shared" si="1"/>
        <v>20.045067752493654</v>
      </c>
      <c r="Y40" s="6">
        <f t="shared" si="2"/>
        <v>20.040427021595399</v>
      </c>
      <c r="Z40" s="6">
        <f t="shared" si="3"/>
        <v>20.045067752493654</v>
      </c>
      <c r="AA40" s="5">
        <f t="shared" si="4"/>
        <v>0</v>
      </c>
      <c r="AB40" s="6">
        <f t="shared" si="5"/>
        <v>0</v>
      </c>
      <c r="AC40" s="6">
        <f t="shared" si="6"/>
        <v>0</v>
      </c>
    </row>
    <row r="41" spans="1:29" x14ac:dyDescent="0.25">
      <c r="A41" t="s">
        <v>96</v>
      </c>
      <c r="B41" t="str" cm="1">
        <f t="array" ref="B41:F41">_xlfn.TEXTSPLIT(A41,"_")</f>
        <v>MVPRP</v>
      </c>
      <c r="C41" t="str">
        <v>C40</v>
      </c>
      <c r="D41" t="str">
        <v>P6</v>
      </c>
      <c r="E41" t="str">
        <v>V3</v>
      </c>
      <c r="F41" t="str">
        <v>I3</v>
      </c>
      <c r="G41">
        <v>126608</v>
      </c>
      <c r="H41">
        <v>121582.536354082</v>
      </c>
      <c r="I41">
        <v>3.9693097165408898E-2</v>
      </c>
      <c r="J41">
        <v>3605.21713376045</v>
      </c>
      <c r="K41">
        <v>109303.178046271</v>
      </c>
      <c r="L41">
        <v>107005.447960007</v>
      </c>
      <c r="M41">
        <v>2.10216219448944E-2</v>
      </c>
      <c r="N41">
        <v>3600.1291399002098</v>
      </c>
      <c r="O41">
        <v>109727.49054847</v>
      </c>
      <c r="P41">
        <v>109719.49054847</v>
      </c>
      <c r="Q41">
        <v>7.2907891723771997E-5</v>
      </c>
      <c r="R41">
        <v>1.4621059894561801</v>
      </c>
      <c r="S41">
        <v>108069.999896496</v>
      </c>
      <c r="T41">
        <v>106696.701272203</v>
      </c>
      <c r="U41">
        <v>1.27074916776955E-2</v>
      </c>
      <c r="V41">
        <v>3600.1495361328102</v>
      </c>
      <c r="W41" s="5">
        <f t="shared" si="0"/>
        <v>17304.821953728999</v>
      </c>
      <c r="X41" s="6">
        <f t="shared" si="1"/>
        <v>15.831947673473318</v>
      </c>
      <c r="Y41" s="6">
        <f t="shared" si="2"/>
        <v>11.23421891961166</v>
      </c>
      <c r="Z41" s="6">
        <f t="shared" si="3"/>
        <v>17.934109867962579</v>
      </c>
      <c r="AA41" s="5">
        <f t="shared" si="4"/>
        <v>424.31250219899812</v>
      </c>
      <c r="AB41" s="6">
        <f t="shared" si="5"/>
        <v>0.38819777227280172</v>
      </c>
      <c r="AC41" s="6">
        <f t="shared" si="6"/>
        <v>2.4903599667620648</v>
      </c>
    </row>
    <row r="42" spans="1:29" x14ac:dyDescent="0.25">
      <c r="A42" t="s">
        <v>42</v>
      </c>
      <c r="B42" t="str" cm="1">
        <f t="array" ref="B42:F42">_xlfn.TEXTSPLIT(A42,"_")</f>
        <v>MVPRP</v>
      </c>
      <c r="C42" t="str">
        <v>C45</v>
      </c>
      <c r="D42" t="str">
        <v>P3</v>
      </c>
      <c r="E42" t="str">
        <v>V3</v>
      </c>
      <c r="F42" t="str">
        <v>I3</v>
      </c>
      <c r="G42">
        <v>70029</v>
      </c>
      <c r="H42">
        <v>70029</v>
      </c>
      <c r="I42">
        <v>0</v>
      </c>
      <c r="J42">
        <v>1626.2620828151701</v>
      </c>
      <c r="K42">
        <v>59127.871321666003</v>
      </c>
      <c r="L42">
        <v>59127.871321666003</v>
      </c>
      <c r="M42">
        <v>0</v>
      </c>
      <c r="N42">
        <v>2380.1390798091902</v>
      </c>
      <c r="O42">
        <v>59127.871321666098</v>
      </c>
      <c r="P42">
        <v>59127.871321666003</v>
      </c>
      <c r="Q42">
        <v>0</v>
      </c>
      <c r="R42">
        <v>1.0181260108947801</v>
      </c>
      <c r="S42">
        <v>58896.5</v>
      </c>
      <c r="T42">
        <v>58643.676779328598</v>
      </c>
      <c r="U42">
        <v>4.2926696946576099E-3</v>
      </c>
      <c r="V42">
        <v>3600.0592207908599</v>
      </c>
      <c r="W42" s="5">
        <f t="shared" si="0"/>
        <v>10901.128678333997</v>
      </c>
      <c r="X42" s="6">
        <f t="shared" si="1"/>
        <v>18.43653159612316</v>
      </c>
      <c r="Y42" s="6">
        <f t="shared" si="2"/>
        <v>18.43653159612316</v>
      </c>
      <c r="Z42" s="6">
        <f t="shared" si="3"/>
        <v>18.43653159612316</v>
      </c>
      <c r="AA42" s="5">
        <f t="shared" si="4"/>
        <v>9.4587448984384537E-11</v>
      </c>
      <c r="AB42" s="6">
        <f t="shared" si="5"/>
        <v>1.5997100330199984E-13</v>
      </c>
      <c r="AC42" s="6">
        <f t="shared" si="6"/>
        <v>1.5997100330199984E-13</v>
      </c>
    </row>
    <row r="43" spans="1:29" x14ac:dyDescent="0.25">
      <c r="A43" t="s">
        <v>62</v>
      </c>
      <c r="B43" t="str" cm="1">
        <f t="array" ref="B43:F43">_xlfn.TEXTSPLIT(A43,"_")</f>
        <v>MVPRP</v>
      </c>
      <c r="C43" t="str">
        <v>C50</v>
      </c>
      <c r="D43" t="str">
        <v>P3</v>
      </c>
      <c r="E43" t="str">
        <v>V3</v>
      </c>
      <c r="F43" t="str">
        <v>I3</v>
      </c>
      <c r="G43">
        <v>65560</v>
      </c>
      <c r="H43">
        <v>65319.653853376803</v>
      </c>
      <c r="I43">
        <v>3.6660486062108301E-3</v>
      </c>
      <c r="J43">
        <v>3602.6810309886901</v>
      </c>
      <c r="K43">
        <v>54811.140986393599</v>
      </c>
      <c r="L43">
        <v>54807.994622905302</v>
      </c>
      <c r="M43">
        <v>5.7403721792344399E-5</v>
      </c>
      <c r="N43">
        <v>1380.2202379703499</v>
      </c>
      <c r="O43">
        <v>54811.140986393599</v>
      </c>
      <c r="P43">
        <v>54811.1409863874</v>
      </c>
      <c r="Q43">
        <v>1.12170337514252E-13</v>
      </c>
      <c r="R43">
        <v>0.75376915931701705</v>
      </c>
      <c r="S43">
        <v>54604.999542910897</v>
      </c>
      <c r="T43">
        <v>54230.911383608298</v>
      </c>
      <c r="U43">
        <v>6.8508041833894896E-3</v>
      </c>
      <c r="V43">
        <v>3600.0583188533801</v>
      </c>
      <c r="W43" s="5">
        <f t="shared" si="0"/>
        <v>10748.859013606401</v>
      </c>
      <c r="X43" s="6">
        <f t="shared" si="1"/>
        <v>19.610719317583104</v>
      </c>
      <c r="Y43" s="6">
        <f t="shared" si="2"/>
        <v>19.172220606740982</v>
      </c>
      <c r="Z43" s="6">
        <f t="shared" si="3"/>
        <v>19.616459689762326</v>
      </c>
      <c r="AA43" s="5">
        <f t="shared" si="4"/>
        <v>0</v>
      </c>
      <c r="AB43" s="6">
        <f t="shared" si="5"/>
        <v>0</v>
      </c>
      <c r="AC43" s="6">
        <f t="shared" si="6"/>
        <v>5.740372179221168E-3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E451A-3D89-47EE-B1B4-B7EBA94B1313}">
  <dimension ref="A1:Q48"/>
  <sheetViews>
    <sheetView zoomScale="70" zoomScaleNormal="70" workbookViewId="0">
      <selection activeCell="K18" sqref="K18"/>
    </sheetView>
  </sheetViews>
  <sheetFormatPr baseColWidth="10" defaultRowHeight="13.2" x14ac:dyDescent="0.25"/>
  <cols>
    <col min="1" max="1" width="25.6640625" bestFit="1" customWidth="1"/>
    <col min="2" max="2" width="40" bestFit="1" customWidth="1"/>
    <col min="3" max="3" width="23.6640625" bestFit="1" customWidth="1"/>
    <col min="4" max="4" width="18.33203125" bestFit="1" customWidth="1"/>
    <col min="5" max="5" width="21.6640625" bestFit="1" customWidth="1"/>
    <col min="6" max="6" width="43.109375" bestFit="1" customWidth="1"/>
    <col min="7" max="7" width="23.6640625" bestFit="1" customWidth="1"/>
    <col min="8" max="8" width="18.33203125" bestFit="1" customWidth="1"/>
    <col min="9" max="9" width="21.6640625" bestFit="1" customWidth="1"/>
    <col min="10" max="10" width="30" bestFit="1" customWidth="1"/>
    <col min="11" max="11" width="23.6640625" bestFit="1" customWidth="1"/>
    <col min="12" max="12" width="18.33203125" bestFit="1" customWidth="1"/>
    <col min="13" max="13" width="21.6640625" bestFit="1" customWidth="1"/>
    <col min="14" max="14" width="34.44140625" bestFit="1" customWidth="1"/>
    <col min="15" max="15" width="23.6640625" bestFit="1" customWidth="1"/>
    <col min="16" max="16" width="18.33203125" bestFit="1" customWidth="1"/>
    <col min="17" max="17" width="21.6640625" bestFit="1" customWidth="1"/>
  </cols>
  <sheetData>
    <row r="1" spans="1:17" x14ac:dyDescent="0.25">
      <c r="B1" s="2" t="s">
        <v>128</v>
      </c>
    </row>
    <row r="2" spans="1:17" x14ac:dyDescent="0.25">
      <c r="B2" t="s">
        <v>117</v>
      </c>
      <c r="F2" t="s">
        <v>25</v>
      </c>
      <c r="J2" t="s">
        <v>136</v>
      </c>
      <c r="N2" t="s">
        <v>137</v>
      </c>
    </row>
    <row r="3" spans="1:17" x14ac:dyDescent="0.25">
      <c r="A3" s="2" t="s">
        <v>124</v>
      </c>
      <c r="B3" t="s">
        <v>129</v>
      </c>
      <c r="C3" t="s">
        <v>130</v>
      </c>
      <c r="D3" t="s">
        <v>131</v>
      </c>
      <c r="E3" t="s">
        <v>132</v>
      </c>
      <c r="F3" t="s">
        <v>129</v>
      </c>
      <c r="G3" t="s">
        <v>130</v>
      </c>
      <c r="H3" t="s">
        <v>131</v>
      </c>
      <c r="I3" t="s">
        <v>132</v>
      </c>
      <c r="J3" t="s">
        <v>129</v>
      </c>
      <c r="K3" t="s">
        <v>130</v>
      </c>
      <c r="L3" t="s">
        <v>131</v>
      </c>
      <c r="M3" t="s">
        <v>132</v>
      </c>
      <c r="N3" t="s">
        <v>129</v>
      </c>
      <c r="O3" t="s">
        <v>130</v>
      </c>
      <c r="P3" t="s">
        <v>131</v>
      </c>
      <c r="Q3" t="s">
        <v>132</v>
      </c>
    </row>
    <row r="4" spans="1:17" x14ac:dyDescent="0.25">
      <c r="A4" s="3" t="s">
        <v>125</v>
      </c>
      <c r="B4">
        <v>53806.857073144143</v>
      </c>
      <c r="C4">
        <v>53718.163092660339</v>
      </c>
      <c r="D4">
        <v>9.9626885104568924E-4</v>
      </c>
      <c r="E4">
        <v>1073.8124725364503</v>
      </c>
      <c r="F4">
        <v>50386.565526319624</v>
      </c>
      <c r="G4">
        <v>50353.415855431718</v>
      </c>
      <c r="H4">
        <v>3.6506344700593807E-4</v>
      </c>
      <c r="I4">
        <v>766.73932643163801</v>
      </c>
      <c r="J4">
        <v>50388.531338024593</v>
      </c>
      <c r="K4">
        <v>50386.883628384654</v>
      </c>
      <c r="L4">
        <v>2.7059190407826384E-5</v>
      </c>
      <c r="M4">
        <v>0.61760550453549323</v>
      </c>
      <c r="N4">
        <v>50251.833291124654</v>
      </c>
      <c r="O4">
        <v>50203.153475810352</v>
      </c>
      <c r="P4">
        <v>5.6374135185115659E-4</v>
      </c>
      <c r="Q4">
        <v>1206.8407074837455</v>
      </c>
    </row>
    <row r="5" spans="1:17" x14ac:dyDescent="0.25">
      <c r="A5" s="4" t="s">
        <v>40</v>
      </c>
      <c r="B5">
        <v>14236</v>
      </c>
      <c r="C5">
        <v>14236</v>
      </c>
      <c r="D5">
        <v>0</v>
      </c>
      <c r="E5">
        <v>2.5246286392211901</v>
      </c>
      <c r="F5">
        <v>13025.581183165399</v>
      </c>
      <c r="G5">
        <v>13025.581183165499</v>
      </c>
      <c r="H5">
        <v>0</v>
      </c>
      <c r="I5">
        <v>0.64924144744873102</v>
      </c>
      <c r="J5">
        <v>13025.581183165499</v>
      </c>
      <c r="K5">
        <v>13025.581183165499</v>
      </c>
      <c r="L5">
        <v>0</v>
      </c>
      <c r="M5">
        <v>3.8723945617675802E-2</v>
      </c>
      <c r="N5">
        <v>13002.5</v>
      </c>
      <c r="O5">
        <v>13002.5</v>
      </c>
      <c r="P5">
        <v>0</v>
      </c>
      <c r="Q5">
        <v>0.41492295265197798</v>
      </c>
    </row>
    <row r="6" spans="1:17" x14ac:dyDescent="0.25">
      <c r="A6" s="4" t="s">
        <v>74</v>
      </c>
      <c r="B6">
        <v>30297</v>
      </c>
      <c r="C6">
        <v>30297</v>
      </c>
      <c r="D6">
        <v>0</v>
      </c>
      <c r="E6">
        <v>6.7486011981964102</v>
      </c>
      <c r="F6">
        <v>28310.613691574901</v>
      </c>
      <c r="G6">
        <v>28310.613691574901</v>
      </c>
      <c r="H6">
        <v>0</v>
      </c>
      <c r="I6">
        <v>3.781005859375</v>
      </c>
      <c r="J6">
        <v>28310.613691574999</v>
      </c>
      <c r="K6">
        <v>28310.613691574999</v>
      </c>
      <c r="L6">
        <v>0</v>
      </c>
      <c r="M6">
        <v>0.11749911308288601</v>
      </c>
      <c r="N6">
        <v>28272</v>
      </c>
      <c r="O6">
        <v>28270.6093319262</v>
      </c>
      <c r="P6">
        <v>4.9188882066678302E-5</v>
      </c>
      <c r="Q6">
        <v>3.55665111541748</v>
      </c>
    </row>
    <row r="7" spans="1:17" x14ac:dyDescent="0.25">
      <c r="A7" s="4" t="s">
        <v>104</v>
      </c>
      <c r="B7">
        <v>52638.999136016602</v>
      </c>
      <c r="C7">
        <v>52635.5040288241</v>
      </c>
      <c r="D7">
        <v>6.6397675675101896E-5</v>
      </c>
      <c r="E7">
        <v>249.137942075729</v>
      </c>
      <c r="F7">
        <v>48769.624497487697</v>
      </c>
      <c r="G7">
        <v>48769.624497487697</v>
      </c>
      <c r="H7">
        <v>0</v>
      </c>
      <c r="I7">
        <v>14.7140622138977</v>
      </c>
      <c r="J7">
        <v>48769.624534886003</v>
      </c>
      <c r="K7">
        <v>48769.624534886003</v>
      </c>
      <c r="L7">
        <v>0</v>
      </c>
      <c r="M7">
        <v>0.15393519401550301</v>
      </c>
      <c r="N7">
        <v>48654.5</v>
      </c>
      <c r="O7">
        <v>48654.5</v>
      </c>
      <c r="P7">
        <v>0</v>
      </c>
      <c r="Q7">
        <v>39.388911008834803</v>
      </c>
    </row>
    <row r="8" spans="1:17" x14ac:dyDescent="0.25">
      <c r="A8" s="4" t="s">
        <v>90</v>
      </c>
      <c r="B8">
        <v>19989</v>
      </c>
      <c r="C8">
        <v>19989</v>
      </c>
      <c r="D8">
        <v>0</v>
      </c>
      <c r="E8">
        <v>7.2398519515991202</v>
      </c>
      <c r="F8">
        <v>18327.171586345099</v>
      </c>
      <c r="G8">
        <v>18327.171586345099</v>
      </c>
      <c r="H8">
        <v>0</v>
      </c>
      <c r="I8">
        <v>5.0224914550781303</v>
      </c>
      <c r="J8">
        <v>18327.171586345099</v>
      </c>
      <c r="K8">
        <v>18327.171586345099</v>
      </c>
      <c r="L8">
        <v>0</v>
      </c>
      <c r="M8">
        <v>5.6643009185791002E-2</v>
      </c>
      <c r="N8">
        <v>18296</v>
      </c>
      <c r="O8">
        <v>18296</v>
      </c>
      <c r="P8">
        <v>0</v>
      </c>
      <c r="Q8">
        <v>19.071405172348001</v>
      </c>
    </row>
    <row r="9" spans="1:17" x14ac:dyDescent="0.25">
      <c r="A9" s="4" t="s">
        <v>88</v>
      </c>
      <c r="B9">
        <v>42791</v>
      </c>
      <c r="C9">
        <v>42786.818181818198</v>
      </c>
      <c r="D9">
        <v>9.7726582268017797E-5</v>
      </c>
      <c r="E9">
        <v>581.02645182609604</v>
      </c>
      <c r="F9">
        <v>39870.507457640299</v>
      </c>
      <c r="G9">
        <v>39866.7900447266</v>
      </c>
      <c r="H9">
        <v>9.3237160768489804E-5</v>
      </c>
      <c r="I9">
        <v>57.2211880683899</v>
      </c>
      <c r="J9">
        <v>39887.0536174511</v>
      </c>
      <c r="K9">
        <v>39884.0536174511</v>
      </c>
      <c r="L9">
        <v>7.5212374139731902E-5</v>
      </c>
      <c r="M9">
        <v>0.15292310714721699</v>
      </c>
      <c r="N9">
        <v>39771.5</v>
      </c>
      <c r="O9">
        <v>39771.5</v>
      </c>
      <c r="P9">
        <v>0</v>
      </c>
      <c r="Q9">
        <v>1815.4872729778299</v>
      </c>
    </row>
    <row r="10" spans="1:17" x14ac:dyDescent="0.25">
      <c r="A10" s="4" t="s">
        <v>32</v>
      </c>
      <c r="B10">
        <v>75988</v>
      </c>
      <c r="C10">
        <v>75255.136008802001</v>
      </c>
      <c r="D10">
        <v>9.64447006366774E-3</v>
      </c>
      <c r="E10">
        <v>3601.1645689010602</v>
      </c>
      <c r="F10">
        <v>69995.221982867806</v>
      </c>
      <c r="G10">
        <v>69846.211570691303</v>
      </c>
      <c r="H10">
        <v>2.1288654847463899E-3</v>
      </c>
      <c r="I10">
        <v>3600.08675694466</v>
      </c>
      <c r="J10">
        <v>69995.222006055599</v>
      </c>
      <c r="K10">
        <v>69995.222006055599</v>
      </c>
      <c r="L10">
        <v>0</v>
      </c>
      <c r="M10">
        <v>0.48168206214904802</v>
      </c>
      <c r="N10">
        <v>69719.499487781795</v>
      </c>
      <c r="O10">
        <v>69557.494086119696</v>
      </c>
      <c r="P10">
        <v>2.3236741923323202E-3</v>
      </c>
      <c r="Q10">
        <v>3600.0968580245999</v>
      </c>
    </row>
    <row r="11" spans="1:17" x14ac:dyDescent="0.25">
      <c r="A11" s="4" t="s">
        <v>44</v>
      </c>
      <c r="B11">
        <v>22675</v>
      </c>
      <c r="C11">
        <v>22675</v>
      </c>
      <c r="D11">
        <v>0</v>
      </c>
      <c r="E11">
        <v>7.94667267799377</v>
      </c>
      <c r="F11">
        <v>20945.2212283318</v>
      </c>
      <c r="G11">
        <v>20945.2212283318</v>
      </c>
      <c r="H11">
        <v>0</v>
      </c>
      <c r="I11">
        <v>6.7645709514617902</v>
      </c>
      <c r="J11">
        <v>20945.2212283318</v>
      </c>
      <c r="K11">
        <v>20945.2212283318</v>
      </c>
      <c r="L11">
        <v>0</v>
      </c>
      <c r="M11">
        <v>8.70928764343262E-2</v>
      </c>
      <c r="N11">
        <v>20910</v>
      </c>
      <c r="O11">
        <v>20910</v>
      </c>
      <c r="P11">
        <v>0</v>
      </c>
      <c r="Q11">
        <v>3.2538580894470202</v>
      </c>
    </row>
    <row r="12" spans="1:17" x14ac:dyDescent="0.25">
      <c r="A12" s="4" t="s">
        <v>38</v>
      </c>
      <c r="B12">
        <v>48181</v>
      </c>
      <c r="C12">
        <v>48181</v>
      </c>
      <c r="D12">
        <v>0</v>
      </c>
      <c r="E12">
        <v>27.982041597366301</v>
      </c>
      <c r="F12">
        <v>45340.890509310302</v>
      </c>
      <c r="G12">
        <v>45340.890509310302</v>
      </c>
      <c r="H12">
        <v>0</v>
      </c>
      <c r="I12">
        <v>24.0150790214539</v>
      </c>
      <c r="J12">
        <v>45340.890509310397</v>
      </c>
      <c r="K12">
        <v>45340.890509310397</v>
      </c>
      <c r="L12">
        <v>0</v>
      </c>
      <c r="M12">
        <v>0.403185844421387</v>
      </c>
      <c r="N12">
        <v>45263.5</v>
      </c>
      <c r="O12">
        <v>45263.5</v>
      </c>
      <c r="P12">
        <v>0</v>
      </c>
      <c r="Q12">
        <v>31.1466820240021</v>
      </c>
    </row>
    <row r="13" spans="1:17" x14ac:dyDescent="0.25">
      <c r="A13" s="4" t="s">
        <v>98</v>
      </c>
      <c r="B13">
        <v>83684.999949504898</v>
      </c>
      <c r="C13">
        <v>83678.781075164996</v>
      </c>
      <c r="D13">
        <v>7.4312891721312597E-5</v>
      </c>
      <c r="E13">
        <v>1338.0379493236501</v>
      </c>
      <c r="F13">
        <v>78181.978681211694</v>
      </c>
      <c r="G13">
        <v>78181.978681211694</v>
      </c>
      <c r="H13">
        <v>0</v>
      </c>
      <c r="I13">
        <v>168.85927939415001</v>
      </c>
      <c r="J13">
        <v>78182.2733102817</v>
      </c>
      <c r="K13">
        <v>78174.802840074204</v>
      </c>
      <c r="L13">
        <v>9.5551969662771105E-5</v>
      </c>
      <c r="M13">
        <v>0.51927495002746604</v>
      </c>
      <c r="N13">
        <v>77944.999831541107</v>
      </c>
      <c r="O13">
        <v>77943.090053310094</v>
      </c>
      <c r="P13">
        <v>2.45016131255053E-5</v>
      </c>
      <c r="Q13">
        <v>192.42560005188</v>
      </c>
    </row>
    <row r="14" spans="1:17" x14ac:dyDescent="0.25">
      <c r="A14" s="4" t="s">
        <v>72</v>
      </c>
      <c r="B14">
        <v>26569</v>
      </c>
      <c r="C14">
        <v>26569</v>
      </c>
      <c r="D14">
        <v>0</v>
      </c>
      <c r="E14">
        <v>15.451955080032301</v>
      </c>
      <c r="F14">
        <v>24674.5535864923</v>
      </c>
      <c r="G14">
        <v>24674.5535864923</v>
      </c>
      <c r="H14">
        <v>0</v>
      </c>
      <c r="I14">
        <v>27.5521998405457</v>
      </c>
      <c r="J14">
        <v>24674.5535864923</v>
      </c>
      <c r="K14">
        <v>24674.5535864923</v>
      </c>
      <c r="L14">
        <v>0</v>
      </c>
      <c r="M14">
        <v>0.151582956314087</v>
      </c>
      <c r="N14">
        <v>24584.5</v>
      </c>
      <c r="O14">
        <v>24584.5</v>
      </c>
      <c r="P14">
        <v>0</v>
      </c>
      <c r="Q14">
        <v>32.363929033279398</v>
      </c>
    </row>
    <row r="15" spans="1:17" x14ac:dyDescent="0.25">
      <c r="A15" s="4" t="s">
        <v>68</v>
      </c>
      <c r="B15">
        <v>57677</v>
      </c>
      <c r="C15">
        <v>57671.304179105799</v>
      </c>
      <c r="D15">
        <v>9.8753764832643705E-5</v>
      </c>
      <c r="E15">
        <v>189.830693244934</v>
      </c>
      <c r="F15">
        <v>54514.809695994598</v>
      </c>
      <c r="G15">
        <v>54514.809695994598</v>
      </c>
      <c r="H15">
        <v>0</v>
      </c>
      <c r="I15">
        <v>142.25196409225501</v>
      </c>
      <c r="J15">
        <v>54514.809709988898</v>
      </c>
      <c r="K15">
        <v>54511.181844027698</v>
      </c>
      <c r="L15">
        <v>6.6548264233276603E-5</v>
      </c>
      <c r="M15">
        <v>0.48333787918090798</v>
      </c>
      <c r="N15">
        <v>54401</v>
      </c>
      <c r="O15">
        <v>54401</v>
      </c>
      <c r="P15">
        <v>0</v>
      </c>
      <c r="Q15">
        <v>175.58229088783301</v>
      </c>
    </row>
    <row r="16" spans="1:17" x14ac:dyDescent="0.25">
      <c r="A16" s="4" t="s">
        <v>84</v>
      </c>
      <c r="B16">
        <v>101897.9996581</v>
      </c>
      <c r="C16">
        <v>101701.50339873599</v>
      </c>
      <c r="D16">
        <v>1.9283622840831501E-3</v>
      </c>
      <c r="E16">
        <v>3603.4120757579799</v>
      </c>
      <c r="F16">
        <v>95664.295049533001</v>
      </c>
      <c r="G16">
        <v>95654.819448160095</v>
      </c>
      <c r="H16">
        <v>9.9050553479134305E-5</v>
      </c>
      <c r="I16">
        <v>1795.2350549697901</v>
      </c>
      <c r="J16">
        <v>95664.295208659896</v>
      </c>
      <c r="K16">
        <v>95661.420657705006</v>
      </c>
      <c r="L16">
        <v>3.00483158173635E-5</v>
      </c>
      <c r="M16">
        <v>0.86931490898132302</v>
      </c>
      <c r="N16">
        <v>95318.5</v>
      </c>
      <c r="O16">
        <v>95309.500866150003</v>
      </c>
      <c r="P16">
        <v>9.4411198770556399E-5</v>
      </c>
      <c r="Q16">
        <v>1717.50952887535</v>
      </c>
    </row>
    <row r="17" spans="1:17" x14ac:dyDescent="0.25">
      <c r="A17" s="4" t="s">
        <v>106</v>
      </c>
      <c r="B17">
        <v>29172</v>
      </c>
      <c r="C17">
        <v>29172</v>
      </c>
      <c r="D17">
        <v>0</v>
      </c>
      <c r="E17">
        <v>15.691298961639401</v>
      </c>
      <c r="F17">
        <v>27264.275367252099</v>
      </c>
      <c r="G17">
        <v>27264.275367252099</v>
      </c>
      <c r="H17">
        <v>0</v>
      </c>
      <c r="I17">
        <v>178.18308544158899</v>
      </c>
      <c r="J17">
        <v>27264.275367252099</v>
      </c>
      <c r="K17">
        <v>27262.610460611999</v>
      </c>
      <c r="L17">
        <v>6.1065501197963E-5</v>
      </c>
      <c r="M17">
        <v>0.28699588775634799</v>
      </c>
      <c r="N17">
        <v>27227.5</v>
      </c>
      <c r="O17">
        <v>27227.5</v>
      </c>
      <c r="P17">
        <v>0</v>
      </c>
      <c r="Q17">
        <v>293.42446899414102</v>
      </c>
    </row>
    <row r="18" spans="1:17" x14ac:dyDescent="0.25">
      <c r="A18" s="4" t="s">
        <v>82</v>
      </c>
      <c r="B18">
        <v>61786.999969999997</v>
      </c>
      <c r="C18">
        <v>61782.695040581501</v>
      </c>
      <c r="D18">
        <v>6.96737083947566E-5</v>
      </c>
      <c r="E18">
        <v>1727.2135601043699</v>
      </c>
      <c r="F18">
        <v>58486.329670089297</v>
      </c>
      <c r="G18">
        <v>58482.0909604966</v>
      </c>
      <c r="H18">
        <v>7.2473509907007699E-5</v>
      </c>
      <c r="I18">
        <v>628.48309421539295</v>
      </c>
      <c r="J18">
        <v>58486.329727964498</v>
      </c>
      <c r="K18">
        <v>58480.620915703999</v>
      </c>
      <c r="L18">
        <v>9.7609343706385706E-5</v>
      </c>
      <c r="M18">
        <v>0.91987586021423295</v>
      </c>
      <c r="N18">
        <v>58370.999852040499</v>
      </c>
      <c r="O18">
        <v>58337.748184958597</v>
      </c>
      <c r="P18">
        <v>5.6966074191187595E-4</v>
      </c>
      <c r="Q18">
        <v>3600.0510439872701</v>
      </c>
    </row>
    <row r="19" spans="1:17" x14ac:dyDescent="0.25">
      <c r="A19" s="4" t="s">
        <v>102</v>
      </c>
      <c r="B19">
        <v>111231</v>
      </c>
      <c r="C19">
        <v>110668.141916063</v>
      </c>
      <c r="D19">
        <v>5.06026273194677E-3</v>
      </c>
      <c r="E19">
        <v>3601.7885897159599</v>
      </c>
      <c r="F19">
        <v>104459.89430034799</v>
      </c>
      <c r="G19">
        <v>104043.301515139</v>
      </c>
      <c r="H19">
        <v>3.9880643954279702E-3</v>
      </c>
      <c r="I19">
        <v>3600.0950207710298</v>
      </c>
      <c r="J19">
        <v>104453.499983307</v>
      </c>
      <c r="K19">
        <v>104445.427468687</v>
      </c>
      <c r="L19">
        <v>7.7283332977704503E-5</v>
      </c>
      <c r="M19">
        <v>2.0960528850555402</v>
      </c>
      <c r="N19">
        <v>104120</v>
      </c>
      <c r="O19">
        <v>103658.355906187</v>
      </c>
      <c r="P19">
        <v>4.4337696293953802E-3</v>
      </c>
      <c r="Q19">
        <v>3600.1525189876602</v>
      </c>
    </row>
    <row r="20" spans="1:17" x14ac:dyDescent="0.25">
      <c r="A20" s="4" t="s">
        <v>76</v>
      </c>
      <c r="B20">
        <v>35803</v>
      </c>
      <c r="C20">
        <v>35803</v>
      </c>
      <c r="D20">
        <v>0</v>
      </c>
      <c r="E20">
        <v>26.064972877502399</v>
      </c>
      <c r="F20">
        <v>33620.6139623454</v>
      </c>
      <c r="G20">
        <v>33617.773898749001</v>
      </c>
      <c r="H20">
        <v>8.4473876639703296E-5</v>
      </c>
      <c r="I20">
        <v>190.56372189521801</v>
      </c>
      <c r="J20">
        <v>33620.613962345502</v>
      </c>
      <c r="K20">
        <v>33618.431182678403</v>
      </c>
      <c r="L20">
        <v>6.4923849087718404E-5</v>
      </c>
      <c r="M20">
        <v>0.50154209136962902</v>
      </c>
      <c r="N20">
        <v>33517.5</v>
      </c>
      <c r="O20">
        <v>33517.5</v>
      </c>
      <c r="P20">
        <v>0</v>
      </c>
      <c r="Q20">
        <v>134.83490800857501</v>
      </c>
    </row>
    <row r="21" spans="1:17" x14ac:dyDescent="0.25">
      <c r="A21" s="4" t="s">
        <v>70</v>
      </c>
      <c r="B21">
        <v>75538.9998224054</v>
      </c>
      <c r="C21">
        <v>75433.2378964089</v>
      </c>
      <c r="D21">
        <v>1.40009698625977E-3</v>
      </c>
      <c r="E21">
        <v>3601.5368080139201</v>
      </c>
      <c r="F21">
        <v>71408.633363145593</v>
      </c>
      <c r="G21">
        <v>71407.7168238554</v>
      </c>
      <c r="H21">
        <v>1.28351327699142E-5</v>
      </c>
      <c r="I21">
        <v>787.87908077240002</v>
      </c>
      <c r="J21">
        <v>71408.633299448004</v>
      </c>
      <c r="K21">
        <v>71408.633299448004</v>
      </c>
      <c r="L21">
        <v>0</v>
      </c>
      <c r="M21">
        <v>1.1596198081970199</v>
      </c>
      <c r="N21">
        <v>71232</v>
      </c>
      <c r="O21">
        <v>71100.599730043003</v>
      </c>
      <c r="P21">
        <v>1.84468033969259E-3</v>
      </c>
      <c r="Q21">
        <v>3600.1047670841199</v>
      </c>
    </row>
    <row r="22" spans="1:17" x14ac:dyDescent="0.25">
      <c r="A22" s="4" t="s">
        <v>36</v>
      </c>
      <c r="B22">
        <v>44822</v>
      </c>
      <c r="C22">
        <v>44822</v>
      </c>
      <c r="D22">
        <v>0</v>
      </c>
      <c r="E22">
        <v>107.950572729111</v>
      </c>
      <c r="F22">
        <v>41714.6655546361</v>
      </c>
      <c r="G22">
        <v>41714.6655546361</v>
      </c>
      <c r="H22">
        <v>0</v>
      </c>
      <c r="I22">
        <v>74.477678298950195</v>
      </c>
      <c r="J22">
        <v>41714.6655546361</v>
      </c>
      <c r="K22">
        <v>41714.665554229701</v>
      </c>
      <c r="L22">
        <v>9.7426926250467206E-12</v>
      </c>
      <c r="M22">
        <v>0.58624386787414595</v>
      </c>
      <c r="N22">
        <v>41609</v>
      </c>
      <c r="O22">
        <v>41605.111582441001</v>
      </c>
      <c r="P22">
        <v>9.3451358095235603E-5</v>
      </c>
      <c r="Q22">
        <v>387.69830894470198</v>
      </c>
    </row>
    <row r="23" spans="1:17" x14ac:dyDescent="0.25">
      <c r="A23" s="4" t="s">
        <v>48</v>
      </c>
      <c r="B23">
        <v>96993</v>
      </c>
      <c r="C23">
        <v>96752.303220362606</v>
      </c>
      <c r="D23">
        <v>2.4815891831102099E-3</v>
      </c>
      <c r="E23">
        <v>3601.67462682724</v>
      </c>
      <c r="F23">
        <v>92125.039665893899</v>
      </c>
      <c r="G23">
        <v>92015.716652112897</v>
      </c>
      <c r="H23">
        <v>1.18668077840193E-3</v>
      </c>
      <c r="I23">
        <v>3600.18600106239</v>
      </c>
      <c r="J23">
        <v>92143.426089322704</v>
      </c>
      <c r="K23">
        <v>92143.426089322704</v>
      </c>
      <c r="L23">
        <v>0</v>
      </c>
      <c r="M23">
        <v>2.09613013267517</v>
      </c>
      <c r="N23">
        <v>91913.499942254304</v>
      </c>
      <c r="O23">
        <v>91699.221977955298</v>
      </c>
      <c r="P23">
        <v>2.3313002380884401E-3</v>
      </c>
      <c r="Q23">
        <v>3600.1507289409601</v>
      </c>
    </row>
    <row r="24" spans="1:17" x14ac:dyDescent="0.25">
      <c r="A24" s="4" t="s">
        <v>66</v>
      </c>
      <c r="B24">
        <v>50846</v>
      </c>
      <c r="C24">
        <v>50846</v>
      </c>
      <c r="D24">
        <v>0</v>
      </c>
      <c r="E24">
        <v>68.337500810623197</v>
      </c>
      <c r="F24">
        <v>47594.573005964499</v>
      </c>
      <c r="G24">
        <v>47594.573005964499</v>
      </c>
      <c r="H24">
        <v>0</v>
      </c>
      <c r="I24">
        <v>697.24698352813698</v>
      </c>
      <c r="J24">
        <v>47594.573005964601</v>
      </c>
      <c r="K24">
        <v>47594.573005258302</v>
      </c>
      <c r="L24">
        <v>1.48394483026515E-11</v>
      </c>
      <c r="M24">
        <v>0.88113212585449197</v>
      </c>
      <c r="N24">
        <v>47460</v>
      </c>
      <c r="O24">
        <v>47456.491272926498</v>
      </c>
      <c r="P24">
        <v>7.3930195395707107E-5</v>
      </c>
      <c r="Q24">
        <v>921.40168499946606</v>
      </c>
    </row>
    <row r="25" spans="1:17" x14ac:dyDescent="0.25">
      <c r="A25" s="4" t="s">
        <v>80</v>
      </c>
      <c r="B25">
        <v>47126</v>
      </c>
      <c r="C25">
        <v>47126</v>
      </c>
      <c r="D25">
        <v>0</v>
      </c>
      <c r="E25">
        <v>169.300560951233</v>
      </c>
      <c r="F25">
        <v>43823.382013082301</v>
      </c>
      <c r="G25">
        <v>43823.353462368701</v>
      </c>
      <c r="H25">
        <v>6.5149498415973902E-7</v>
      </c>
      <c r="I25">
        <v>498.25829482078598</v>
      </c>
      <c r="J25">
        <v>43835.830935732803</v>
      </c>
      <c r="K25">
        <v>43835.830934717596</v>
      </c>
      <c r="L25">
        <v>2.31592984158959E-11</v>
      </c>
      <c r="M25">
        <v>0.926927089691162</v>
      </c>
      <c r="N25">
        <v>43699.5</v>
      </c>
      <c r="O25">
        <v>43699.5</v>
      </c>
      <c r="P25">
        <v>0</v>
      </c>
      <c r="Q25">
        <v>1575.5385169982901</v>
      </c>
    </row>
    <row r="26" spans="1:17" x14ac:dyDescent="0.25">
      <c r="A26" s="3" t="s">
        <v>126</v>
      </c>
      <c r="B26">
        <v>74259.523729984314</v>
      </c>
      <c r="C26">
        <v>73348.804870462656</v>
      </c>
      <c r="D26">
        <v>6.9203522835305587E-3</v>
      </c>
      <c r="E26">
        <v>1919.9522780690877</v>
      </c>
      <c r="F26">
        <v>63248.090921894734</v>
      </c>
      <c r="G26">
        <v>61749.925174482974</v>
      </c>
      <c r="H26">
        <v>1.2601029124508929E-2</v>
      </c>
      <c r="I26">
        <v>1387.8106822626937</v>
      </c>
      <c r="J26">
        <v>62746.50887839283</v>
      </c>
      <c r="K26">
        <v>62745.750236702115</v>
      </c>
      <c r="L26">
        <v>7.4407120742819215E-6</v>
      </c>
      <c r="M26">
        <v>0.53511619567871138</v>
      </c>
      <c r="N26">
        <v>61660.642549069264</v>
      </c>
      <c r="O26">
        <v>61281.364117438381</v>
      </c>
      <c r="P26">
        <v>4.1595531819177637E-3</v>
      </c>
      <c r="Q26">
        <v>1953.4038011005946</v>
      </c>
    </row>
    <row r="27" spans="1:17" x14ac:dyDescent="0.25">
      <c r="A27" s="4" t="s">
        <v>50</v>
      </c>
      <c r="B27">
        <v>20750</v>
      </c>
      <c r="C27">
        <v>20750</v>
      </c>
      <c r="D27">
        <v>0</v>
      </c>
      <c r="E27">
        <v>1.7461397647857699</v>
      </c>
      <c r="F27">
        <v>16684.5152113289</v>
      </c>
      <c r="G27">
        <v>16684.5152113289</v>
      </c>
      <c r="H27">
        <v>0</v>
      </c>
      <c r="I27">
        <v>1.80661296844482</v>
      </c>
      <c r="J27">
        <v>16684.5152113289</v>
      </c>
      <c r="K27">
        <v>16684.5152113289</v>
      </c>
      <c r="L27">
        <v>0</v>
      </c>
      <c r="M27">
        <v>3.6213874816894497E-2</v>
      </c>
      <c r="N27">
        <v>16611</v>
      </c>
      <c r="O27">
        <v>16611</v>
      </c>
      <c r="P27">
        <v>0</v>
      </c>
      <c r="Q27">
        <v>1.19254899024963</v>
      </c>
    </row>
    <row r="28" spans="1:17" x14ac:dyDescent="0.25">
      <c r="A28" s="4" t="s">
        <v>78</v>
      </c>
      <c r="B28">
        <v>42067.999985979397</v>
      </c>
      <c r="C28">
        <v>42067.999985979397</v>
      </c>
      <c r="D28">
        <v>0</v>
      </c>
      <c r="E28">
        <v>11.096104145050001</v>
      </c>
      <c r="F28">
        <v>34839.347178387397</v>
      </c>
      <c r="G28">
        <v>34839.347178387397</v>
      </c>
      <c r="H28">
        <v>0</v>
      </c>
      <c r="I28">
        <v>4.9504723548889196</v>
      </c>
      <c r="J28">
        <v>34839.347178387499</v>
      </c>
      <c r="K28">
        <v>34839.347178387397</v>
      </c>
      <c r="L28">
        <v>0</v>
      </c>
      <c r="M28">
        <v>8.5337162017822293E-2</v>
      </c>
      <c r="N28">
        <v>34625.5</v>
      </c>
      <c r="O28">
        <v>34625.5</v>
      </c>
      <c r="P28">
        <v>0</v>
      </c>
      <c r="Q28">
        <v>1.75228595733643</v>
      </c>
    </row>
    <row r="29" spans="1:17" x14ac:dyDescent="0.25">
      <c r="A29" s="4" t="s">
        <v>108</v>
      </c>
      <c r="B29">
        <v>72847.999958617205</v>
      </c>
      <c r="C29">
        <v>72847.999958617205</v>
      </c>
      <c r="D29">
        <v>0</v>
      </c>
      <c r="E29">
        <v>22.308111429214499</v>
      </c>
      <c r="F29">
        <v>61593.951320038199</v>
      </c>
      <c r="G29">
        <v>61593.951320038199</v>
      </c>
      <c r="H29">
        <v>0</v>
      </c>
      <c r="I29">
        <v>118.246260643005</v>
      </c>
      <c r="J29">
        <v>61950.215442203596</v>
      </c>
      <c r="K29">
        <v>61950.215442203502</v>
      </c>
      <c r="L29">
        <v>0</v>
      </c>
      <c r="M29">
        <v>0.11837506294250499</v>
      </c>
      <c r="N29">
        <v>61035.5</v>
      </c>
      <c r="O29">
        <v>61033.606355002797</v>
      </c>
      <c r="P29">
        <v>3.1025304900483003E-5</v>
      </c>
      <c r="Q29">
        <v>234.87872982025101</v>
      </c>
    </row>
    <row r="30" spans="1:17" x14ac:dyDescent="0.25">
      <c r="A30" s="4" t="s">
        <v>24</v>
      </c>
      <c r="B30">
        <v>30676</v>
      </c>
      <c r="C30">
        <v>30676</v>
      </c>
      <c r="D30">
        <v>0</v>
      </c>
      <c r="E30">
        <v>23.045698881149299</v>
      </c>
      <c r="F30">
        <v>24162.859640039998</v>
      </c>
      <c r="G30">
        <v>24162.859640039998</v>
      </c>
      <c r="H30">
        <v>0</v>
      </c>
      <c r="I30">
        <v>11.833907365799</v>
      </c>
      <c r="J30">
        <v>24162.859640039998</v>
      </c>
      <c r="K30">
        <v>24162.859640039998</v>
      </c>
      <c r="L30">
        <v>0</v>
      </c>
      <c r="M30">
        <v>6.2053918838500997E-2</v>
      </c>
      <c r="N30">
        <v>24004</v>
      </c>
      <c r="O30">
        <v>24004</v>
      </c>
      <c r="P30">
        <v>0</v>
      </c>
      <c r="Q30">
        <v>19.826627016067501</v>
      </c>
    </row>
    <row r="31" spans="1:17" x14ac:dyDescent="0.25">
      <c r="A31" s="4" t="s">
        <v>60</v>
      </c>
      <c r="B31">
        <v>60686.999585325299</v>
      </c>
      <c r="C31">
        <v>60686.999585325299</v>
      </c>
      <c r="D31">
        <v>0</v>
      </c>
      <c r="E31">
        <v>867.94262433052097</v>
      </c>
      <c r="F31">
        <v>50192.775307358701</v>
      </c>
      <c r="G31">
        <v>50192.775307358701</v>
      </c>
      <c r="H31">
        <v>0</v>
      </c>
      <c r="I31">
        <v>149.10526490211501</v>
      </c>
      <c r="J31">
        <v>50192.775307358599</v>
      </c>
      <c r="K31">
        <v>50192.775307358497</v>
      </c>
      <c r="L31">
        <v>0</v>
      </c>
      <c r="M31">
        <v>0.19164109230041501</v>
      </c>
      <c r="N31">
        <v>49264.5</v>
      </c>
      <c r="O31">
        <v>49260.743995347599</v>
      </c>
      <c r="P31">
        <v>7.6241607088590503E-5</v>
      </c>
      <c r="Q31">
        <v>57.6475670337677</v>
      </c>
    </row>
    <row r="32" spans="1:17" x14ac:dyDescent="0.25">
      <c r="A32" s="4" t="s">
        <v>100</v>
      </c>
      <c r="B32">
        <v>109246</v>
      </c>
      <c r="C32">
        <v>108534.871643727</v>
      </c>
      <c r="D32">
        <v>6.5094223703681797E-3</v>
      </c>
      <c r="E32">
        <v>3600.0643427372001</v>
      </c>
      <c r="F32">
        <v>92408.284140776203</v>
      </c>
      <c r="G32">
        <v>87666.412706197094</v>
      </c>
      <c r="H32">
        <v>5.1314354320823201E-2</v>
      </c>
      <c r="I32">
        <v>3600.0904128551501</v>
      </c>
      <c r="J32">
        <v>92208.491951856602</v>
      </c>
      <c r="K32">
        <v>92208.491951856398</v>
      </c>
      <c r="L32">
        <v>2.0515995215228101E-15</v>
      </c>
      <c r="M32">
        <v>0.23122382164001501</v>
      </c>
      <c r="N32">
        <v>89063.999121602406</v>
      </c>
      <c r="O32">
        <v>88001.963644798205</v>
      </c>
      <c r="P32">
        <v>1.19244081478321E-2</v>
      </c>
      <c r="Q32">
        <v>3600.0441670417799</v>
      </c>
    </row>
    <row r="33" spans="1:17" x14ac:dyDescent="0.25">
      <c r="A33" s="4" t="s">
        <v>54</v>
      </c>
      <c r="B33">
        <v>33151</v>
      </c>
      <c r="C33">
        <v>33151</v>
      </c>
      <c r="D33">
        <v>0</v>
      </c>
      <c r="E33">
        <v>16.105900287628199</v>
      </c>
      <c r="F33">
        <v>27018.506210203599</v>
      </c>
      <c r="G33">
        <v>27018.506210203599</v>
      </c>
      <c r="H33">
        <v>0</v>
      </c>
      <c r="I33">
        <v>19.694522619247401</v>
      </c>
      <c r="J33">
        <v>27023.1053811036</v>
      </c>
      <c r="K33">
        <v>27023.1053811036</v>
      </c>
      <c r="L33">
        <v>0</v>
      </c>
      <c r="M33">
        <v>8.9956998825073201E-2</v>
      </c>
      <c r="N33">
        <v>26786.5</v>
      </c>
      <c r="O33">
        <v>26786.5</v>
      </c>
      <c r="P33">
        <v>0</v>
      </c>
      <c r="Q33">
        <v>18.750438928604101</v>
      </c>
    </row>
    <row r="34" spans="1:17" x14ac:dyDescent="0.25">
      <c r="A34" s="4" t="s">
        <v>92</v>
      </c>
      <c r="B34">
        <v>66288.999920291695</v>
      </c>
      <c r="C34">
        <v>66288.999920291695</v>
      </c>
      <c r="D34">
        <v>0</v>
      </c>
      <c r="E34">
        <v>2472.0361132621802</v>
      </c>
      <c r="F34">
        <v>56027.588948340199</v>
      </c>
      <c r="G34">
        <v>56027.588948340199</v>
      </c>
      <c r="H34">
        <v>0</v>
      </c>
      <c r="I34">
        <v>306.39131999015802</v>
      </c>
      <c r="J34">
        <v>56413.241189307802</v>
      </c>
      <c r="K34">
        <v>56412.840231726303</v>
      </c>
      <c r="L34">
        <v>7.1075083270183598E-6</v>
      </c>
      <c r="M34">
        <v>0.22145891189575201</v>
      </c>
      <c r="N34">
        <v>55322.499816250303</v>
      </c>
      <c r="O34">
        <v>54992.145958273097</v>
      </c>
      <c r="P34">
        <v>5.9714195684285399E-3</v>
      </c>
      <c r="Q34">
        <v>3600.04701304436</v>
      </c>
    </row>
    <row r="35" spans="1:17" x14ac:dyDescent="0.25">
      <c r="A35" s="4" t="s">
        <v>94</v>
      </c>
      <c r="B35">
        <v>116181.999595663</v>
      </c>
      <c r="C35">
        <v>115809.362405917</v>
      </c>
      <c r="D35">
        <v>3.2073573448852099E-3</v>
      </c>
      <c r="E35">
        <v>3600.1263711452498</v>
      </c>
      <c r="F35">
        <v>98936.597148238798</v>
      </c>
      <c r="G35">
        <v>97086.117010916496</v>
      </c>
      <c r="H35">
        <v>1.8703697020725499E-2</v>
      </c>
      <c r="I35">
        <v>3600.0946800708798</v>
      </c>
      <c r="J35">
        <v>98774.423249967105</v>
      </c>
      <c r="K35">
        <v>98766.892732051696</v>
      </c>
      <c r="L35">
        <v>7.6239553393944899E-5</v>
      </c>
      <c r="M35">
        <v>0.44352793693542503</v>
      </c>
      <c r="N35">
        <v>96525.499358178204</v>
      </c>
      <c r="O35">
        <v>96159.489974376498</v>
      </c>
      <c r="P35">
        <v>3.7918413915008901E-3</v>
      </c>
      <c r="Q35">
        <v>3600.0966207981101</v>
      </c>
    </row>
    <row r="36" spans="1:17" x14ac:dyDescent="0.25">
      <c r="A36" s="4" t="s">
        <v>86</v>
      </c>
      <c r="B36">
        <v>38054</v>
      </c>
      <c r="C36">
        <v>38054</v>
      </c>
      <c r="D36">
        <v>0</v>
      </c>
      <c r="E36">
        <v>28.681736707687399</v>
      </c>
      <c r="F36">
        <v>31340.3992646923</v>
      </c>
      <c r="G36">
        <v>31340.3992646923</v>
      </c>
      <c r="H36">
        <v>0</v>
      </c>
      <c r="I36">
        <v>27.796728372573899</v>
      </c>
      <c r="J36">
        <v>31340.399264692202</v>
      </c>
      <c r="K36">
        <v>31340.399264692202</v>
      </c>
      <c r="L36">
        <v>0</v>
      </c>
      <c r="M36">
        <v>0.13144707679748499</v>
      </c>
      <c r="N36">
        <v>31011.5</v>
      </c>
      <c r="O36">
        <v>31011.5</v>
      </c>
      <c r="P36">
        <v>0</v>
      </c>
      <c r="Q36">
        <v>49.085165977477999</v>
      </c>
    </row>
    <row r="37" spans="1:17" x14ac:dyDescent="0.25">
      <c r="A37" s="4" t="s">
        <v>58</v>
      </c>
      <c r="B37">
        <v>76711.999283793804</v>
      </c>
      <c r="C37">
        <v>76416.527816995702</v>
      </c>
      <c r="D37">
        <v>3.8516981639992801E-3</v>
      </c>
      <c r="E37">
        <v>3600.0264861583701</v>
      </c>
      <c r="F37">
        <v>65896.277919437605</v>
      </c>
      <c r="G37">
        <v>65892.071746189104</v>
      </c>
      <c r="H37">
        <v>6.3830209858651497E-5</v>
      </c>
      <c r="I37">
        <v>582.43223428726196</v>
      </c>
      <c r="J37">
        <v>66330.031882249197</v>
      </c>
      <c r="K37">
        <v>66330.031882249095</v>
      </c>
      <c r="L37">
        <v>0</v>
      </c>
      <c r="M37">
        <v>0.448040962219238</v>
      </c>
      <c r="N37">
        <v>65227.495956007602</v>
      </c>
      <c r="O37">
        <v>64960.846244726403</v>
      </c>
      <c r="P37">
        <v>4.0879955204947797E-3</v>
      </c>
      <c r="Q37">
        <v>3600.07558894157</v>
      </c>
    </row>
    <row r="38" spans="1:17" x14ac:dyDescent="0.25">
      <c r="A38" s="4" t="s">
        <v>110</v>
      </c>
      <c r="B38">
        <v>140566</v>
      </c>
      <c r="C38">
        <v>137113.438898578</v>
      </c>
      <c r="D38">
        <v>2.4561850671019299E-2</v>
      </c>
      <c r="E38">
        <v>3600.6079318523398</v>
      </c>
      <c r="F38">
        <v>121927.695490802</v>
      </c>
      <c r="G38">
        <v>116243.58755247301</v>
      </c>
      <c r="H38">
        <v>4.6618677696220703E-2</v>
      </c>
      <c r="I38">
        <v>3600.0403726100899</v>
      </c>
      <c r="J38">
        <v>120867.237712195</v>
      </c>
      <c r="K38">
        <v>120867.23771219399</v>
      </c>
      <c r="L38">
        <v>9.6316689311738502E-16</v>
      </c>
      <c r="M38">
        <v>0.71753907203674305</v>
      </c>
      <c r="N38">
        <v>116251.499881542</v>
      </c>
      <c r="O38">
        <v>115245.010231066</v>
      </c>
      <c r="P38">
        <v>8.65786378241621E-3</v>
      </c>
      <c r="Q38">
        <v>3600.0542008876801</v>
      </c>
    </row>
    <row r="39" spans="1:17" x14ac:dyDescent="0.25">
      <c r="A39" s="4" t="s">
        <v>52</v>
      </c>
      <c r="B39">
        <v>41464</v>
      </c>
      <c r="C39">
        <v>41464</v>
      </c>
      <c r="D39">
        <v>0</v>
      </c>
      <c r="E39">
        <v>12.4477450847626</v>
      </c>
      <c r="F39">
        <v>34123.400853526597</v>
      </c>
      <c r="G39">
        <v>34123.400853526597</v>
      </c>
      <c r="H39">
        <v>0</v>
      </c>
      <c r="I39">
        <v>161.43400597572301</v>
      </c>
      <c r="J39">
        <v>34147.722698161</v>
      </c>
      <c r="K39">
        <v>34147.722698161</v>
      </c>
      <c r="L39">
        <v>0</v>
      </c>
      <c r="M39">
        <v>0.184254169464111</v>
      </c>
      <c r="N39">
        <v>33853</v>
      </c>
      <c r="O39">
        <v>33853</v>
      </c>
      <c r="P39">
        <v>0</v>
      </c>
      <c r="Q39">
        <v>102.931480884552</v>
      </c>
    </row>
    <row r="40" spans="1:17" x14ac:dyDescent="0.25">
      <c r="A40" s="4" t="s">
        <v>64</v>
      </c>
      <c r="B40">
        <v>82749</v>
      </c>
      <c r="C40">
        <v>82465.450241958504</v>
      </c>
      <c r="D40">
        <v>3.4266245881103001E-3</v>
      </c>
      <c r="E40">
        <v>3600.7795357704199</v>
      </c>
      <c r="F40">
        <v>70563.605996775499</v>
      </c>
      <c r="G40">
        <v>70563.605996775499</v>
      </c>
      <c r="H40">
        <v>0</v>
      </c>
      <c r="I40">
        <v>1732.4877917766601</v>
      </c>
      <c r="J40">
        <v>70818.445352732306</v>
      </c>
      <c r="K40">
        <v>70818.445352732306</v>
      </c>
      <c r="L40">
        <v>0</v>
      </c>
      <c r="M40">
        <v>1.34233498573303</v>
      </c>
      <c r="N40">
        <v>69819.4998441918</v>
      </c>
      <c r="O40">
        <v>69466.623639525802</v>
      </c>
      <c r="P40">
        <v>5.0541210615012398E-3</v>
      </c>
      <c r="Q40">
        <v>3600.04102897644</v>
      </c>
    </row>
    <row r="41" spans="1:17" x14ac:dyDescent="0.25">
      <c r="A41" s="4" t="s">
        <v>29</v>
      </c>
      <c r="B41">
        <v>154135</v>
      </c>
      <c r="C41">
        <v>146428.66490523101</v>
      </c>
      <c r="D41">
        <v>4.9997308169909799E-2</v>
      </c>
      <c r="E41">
        <v>3600.0424265861502</v>
      </c>
      <c r="F41">
        <v>139780.17948176499</v>
      </c>
      <c r="G41">
        <v>124277.702685201</v>
      </c>
      <c r="H41">
        <v>0.110906115974664</v>
      </c>
      <c r="I41">
        <v>3600.1860005855601</v>
      </c>
      <c r="J41">
        <v>128936.478350978</v>
      </c>
      <c r="K41">
        <v>128936.478350978</v>
      </c>
      <c r="L41">
        <v>0</v>
      </c>
      <c r="M41">
        <v>1.9319880008697501</v>
      </c>
      <c r="N41">
        <v>126143.50052799701</v>
      </c>
      <c r="O41">
        <v>124482.53603504501</v>
      </c>
      <c r="P41">
        <v>1.31672617772596E-2</v>
      </c>
      <c r="Q41">
        <v>3600.10951900482</v>
      </c>
    </row>
    <row r="42" spans="1:17" x14ac:dyDescent="0.25">
      <c r="A42" s="4" t="s">
        <v>46</v>
      </c>
      <c r="B42">
        <v>49960</v>
      </c>
      <c r="C42">
        <v>49958.861801242201</v>
      </c>
      <c r="D42">
        <v>2.2782200915835899E-5</v>
      </c>
      <c r="E42">
        <v>111.026981592178</v>
      </c>
      <c r="F42">
        <v>41528.485566394898</v>
      </c>
      <c r="G42">
        <v>41528.485566394898</v>
      </c>
      <c r="H42">
        <v>0</v>
      </c>
      <c r="I42">
        <v>270.73729801178001</v>
      </c>
      <c r="J42">
        <v>41528.485566394898</v>
      </c>
      <c r="K42">
        <v>41528.485566394898</v>
      </c>
      <c r="L42">
        <v>0</v>
      </c>
      <c r="M42">
        <v>0.251204013824463</v>
      </c>
      <c r="N42">
        <v>41361.5</v>
      </c>
      <c r="O42">
        <v>41361.5</v>
      </c>
      <c r="P42">
        <v>0</v>
      </c>
      <c r="Q42">
        <v>621.01512908935604</v>
      </c>
    </row>
    <row r="43" spans="1:17" x14ac:dyDescent="0.25">
      <c r="A43" s="4" t="s">
        <v>56</v>
      </c>
      <c r="B43">
        <v>99886</v>
      </c>
      <c r="C43">
        <v>98851.925147300106</v>
      </c>
      <c r="D43">
        <v>1.03525504344943E-2</v>
      </c>
      <c r="E43">
        <v>3601.8449048995999</v>
      </c>
      <c r="F43">
        <v>86437.593028770207</v>
      </c>
      <c r="G43">
        <v>85060.1312629186</v>
      </c>
      <c r="H43">
        <v>1.5935910725708699E-2</v>
      </c>
      <c r="I43">
        <v>3600.08347153664</v>
      </c>
      <c r="J43">
        <v>86286.751912180698</v>
      </c>
      <c r="K43">
        <v>86286.751912180698</v>
      </c>
      <c r="L43">
        <v>0</v>
      </c>
      <c r="M43">
        <v>1.0528998374939</v>
      </c>
      <c r="N43">
        <v>85085.999620258503</v>
      </c>
      <c r="O43">
        <v>84172.390987884894</v>
      </c>
      <c r="P43">
        <v>1.0737473103108E-2</v>
      </c>
      <c r="Q43">
        <v>3600.0619230270399</v>
      </c>
    </row>
    <row r="44" spans="1:17" x14ac:dyDescent="0.25">
      <c r="A44" s="4" t="s">
        <v>34</v>
      </c>
      <c r="B44">
        <v>61830</v>
      </c>
      <c r="C44">
        <v>61827.609761093801</v>
      </c>
      <c r="D44">
        <v>3.8658238819792197E-5</v>
      </c>
      <c r="E44">
        <v>2714.9084372520401</v>
      </c>
      <c r="F44">
        <v>51505.656298582602</v>
      </c>
      <c r="G44">
        <v>51505.656298582602</v>
      </c>
      <c r="H44">
        <v>0</v>
      </c>
      <c r="I44">
        <v>396.12451291084301</v>
      </c>
      <c r="J44">
        <v>51505.656298582602</v>
      </c>
      <c r="K44">
        <v>51505.656298582602</v>
      </c>
      <c r="L44">
        <v>0</v>
      </c>
      <c r="M44">
        <v>0.463942050933838</v>
      </c>
      <c r="N44">
        <v>51308.999965019801</v>
      </c>
      <c r="O44">
        <v>51308.999965019801</v>
      </c>
      <c r="P44">
        <v>0</v>
      </c>
      <c r="Q44">
        <v>313.60271191597002</v>
      </c>
    </row>
    <row r="45" spans="1:17" x14ac:dyDescent="0.25">
      <c r="A45" s="4" t="s">
        <v>96</v>
      </c>
      <c r="B45">
        <v>126608</v>
      </c>
      <c r="C45">
        <v>121582.536354082</v>
      </c>
      <c r="D45">
        <v>3.9693097165408898E-2</v>
      </c>
      <c r="E45">
        <v>3605.21713376045</v>
      </c>
      <c r="F45">
        <v>109303.178046271</v>
      </c>
      <c r="G45">
        <v>107005.447960007</v>
      </c>
      <c r="H45">
        <v>2.10216219448944E-2</v>
      </c>
      <c r="I45">
        <v>3600.1291399002098</v>
      </c>
      <c r="J45">
        <v>109727.49054847</v>
      </c>
      <c r="K45">
        <v>109719.49054847</v>
      </c>
      <c r="L45">
        <v>7.2907891723771997E-5</v>
      </c>
      <c r="M45">
        <v>1.4621059894561801</v>
      </c>
      <c r="N45">
        <v>108069.999896496</v>
      </c>
      <c r="O45">
        <v>106696.701272203</v>
      </c>
      <c r="P45">
        <v>1.27074916776955E-2</v>
      </c>
      <c r="Q45">
        <v>3600.1495361328102</v>
      </c>
    </row>
    <row r="46" spans="1:17" x14ac:dyDescent="0.25">
      <c r="A46" s="4" t="s">
        <v>42</v>
      </c>
      <c r="B46">
        <v>70029</v>
      </c>
      <c r="C46">
        <v>70029</v>
      </c>
      <c r="D46">
        <v>0</v>
      </c>
      <c r="E46">
        <v>1626.2620828151701</v>
      </c>
      <c r="F46">
        <v>59127.871321666003</v>
      </c>
      <c r="G46">
        <v>59127.871321666003</v>
      </c>
      <c r="H46">
        <v>0</v>
      </c>
      <c r="I46">
        <v>2380.1390798091902</v>
      </c>
      <c r="J46">
        <v>59127.871321666098</v>
      </c>
      <c r="K46">
        <v>59127.871321666003</v>
      </c>
      <c r="L46">
        <v>0</v>
      </c>
      <c r="M46">
        <v>1.0181260108947801</v>
      </c>
      <c r="N46">
        <v>58896.5</v>
      </c>
      <c r="O46">
        <v>58643.676779328598</v>
      </c>
      <c r="P46">
        <v>4.2926696946576099E-3</v>
      </c>
      <c r="Q46">
        <v>3600.0592207908599</v>
      </c>
    </row>
    <row r="47" spans="1:17" x14ac:dyDescent="0.25">
      <c r="A47" s="4" t="s">
        <v>62</v>
      </c>
      <c r="B47">
        <v>65560</v>
      </c>
      <c r="C47">
        <v>65319.653853376803</v>
      </c>
      <c r="D47">
        <v>3.6660486062108301E-3</v>
      </c>
      <c r="E47">
        <v>3602.6810309886901</v>
      </c>
      <c r="F47">
        <v>54811.140986393599</v>
      </c>
      <c r="G47">
        <v>54807.994622905302</v>
      </c>
      <c r="H47">
        <v>5.7403721792344399E-5</v>
      </c>
      <c r="I47">
        <v>1380.2202379703499</v>
      </c>
      <c r="J47">
        <v>54811.140986393599</v>
      </c>
      <c r="K47">
        <v>54811.1409863874</v>
      </c>
      <c r="L47">
        <v>1.12170337514252E-13</v>
      </c>
      <c r="M47">
        <v>0.75376915931701705</v>
      </c>
      <c r="N47">
        <v>54604.999542910897</v>
      </c>
      <c r="O47">
        <v>54230.911383608298</v>
      </c>
      <c r="P47">
        <v>6.8508041833894896E-3</v>
      </c>
      <c r="Q47">
        <v>3600.0583188533801</v>
      </c>
    </row>
    <row r="48" spans="1:17" x14ac:dyDescent="0.25">
      <c r="A48" s="3" t="s">
        <v>127</v>
      </c>
      <c r="B48">
        <v>64033.190401564221</v>
      </c>
      <c r="C48">
        <v>63533.483981561491</v>
      </c>
      <c r="D48">
        <v>3.9583105672881241E-3</v>
      </c>
      <c r="E48">
        <v>1496.8823753027691</v>
      </c>
      <c r="F48">
        <v>56817.328224107172</v>
      </c>
      <c r="G48">
        <v>56051.670514957346</v>
      </c>
      <c r="H48">
        <v>6.4830462857574326E-3</v>
      </c>
      <c r="I48">
        <v>1077.2750043471658</v>
      </c>
      <c r="J48">
        <v>56567.520108208701</v>
      </c>
      <c r="K48">
        <v>56566.316932543377</v>
      </c>
      <c r="L48">
        <v>1.7249951241054157E-5</v>
      </c>
      <c r="M48">
        <v>0.57636085010710225</v>
      </c>
      <c r="N48">
        <v>55956.237920096966</v>
      </c>
      <c r="O48">
        <v>55742.258796624374</v>
      </c>
      <c r="P48">
        <v>2.36164726688446E-3</v>
      </c>
      <c r="Q48">
        <v>1580.1222542921703</v>
      </c>
    </row>
  </sheetData>
  <pageMargins left="0.7" right="0.7" top="0.78740157499999996" bottom="0.78740157499999996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169"/>
  <sheetViews>
    <sheetView tabSelected="1" topLeftCell="C37" zoomScaleNormal="100" workbookViewId="0">
      <selection activeCell="G2" sqref="G2:G43"/>
    </sheetView>
  </sheetViews>
  <sheetFormatPr baseColWidth="10" defaultColWidth="11.5546875" defaultRowHeight="13.2" x14ac:dyDescent="0.25"/>
  <cols>
    <col min="1" max="6" width="21.109375" customWidth="1"/>
    <col min="7" max="7" width="40.109375" customWidth="1"/>
    <col min="8" max="8" width="11.6640625" customWidth="1"/>
    <col min="9" max="10" width="16.6640625" customWidth="1"/>
    <col min="11" max="11" width="20.44140625" customWidth="1"/>
    <col min="12" max="12" width="17.6640625" customWidth="1"/>
    <col min="13" max="13" width="158.44140625" customWidth="1"/>
    <col min="14" max="14" width="4.44140625" customWidth="1"/>
    <col min="15" max="15" width="5.109375" customWidth="1"/>
    <col min="16" max="16" width="15.44140625" customWidth="1"/>
    <col min="17" max="17" width="19.109375" customWidth="1"/>
    <col min="18" max="18" width="9.5546875" customWidth="1"/>
    <col min="19" max="19" width="11.109375" customWidth="1"/>
    <col min="20" max="20" width="10" customWidth="1"/>
    <col min="21" max="21" width="10.33203125" customWidth="1"/>
    <col min="22" max="22" width="8.44140625" customWidth="1"/>
    <col min="23" max="26" width="16.6640625" customWidth="1"/>
    <col min="27" max="27" width="13" customWidth="1"/>
    <col min="28" max="28" width="18.33203125" customWidth="1"/>
    <col min="29" max="29" width="16.88671875" customWidth="1"/>
  </cols>
  <sheetData>
    <row r="1" spans="1:33" x14ac:dyDescent="0.25">
      <c r="A1" t="s">
        <v>0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123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120</v>
      </c>
      <c r="AF1" t="s">
        <v>121</v>
      </c>
      <c r="AG1" t="s">
        <v>122</v>
      </c>
    </row>
    <row r="2" spans="1:33" x14ac:dyDescent="0.25">
      <c r="A2" t="s">
        <v>24</v>
      </c>
      <c r="B2" t="str" cm="1">
        <f t="array" ref="B2:F2">_xlfn.TEXTSPLIT(A2,"_")</f>
        <v>MVPRP</v>
      </c>
      <c r="C2" t="str">
        <v>C15</v>
      </c>
      <c r="D2" t="str">
        <v>P3</v>
      </c>
      <c r="E2" t="str">
        <v>V3</v>
      </c>
      <c r="F2" t="str">
        <v>I3</v>
      </c>
      <c r="G2" t="s">
        <v>176</v>
      </c>
      <c r="H2" t="s">
        <v>26</v>
      </c>
      <c r="I2">
        <v>24162.859640039998</v>
      </c>
      <c r="J2">
        <v>24162.859640039998</v>
      </c>
      <c r="K2">
        <v>0</v>
      </c>
      <c r="L2">
        <v>11.833907365799</v>
      </c>
      <c r="M2" t="s">
        <v>27</v>
      </c>
      <c r="N2">
        <v>132</v>
      </c>
      <c r="P2">
        <v>2</v>
      </c>
      <c r="Q2">
        <v>0.5</v>
      </c>
      <c r="R2">
        <v>100</v>
      </c>
      <c r="S2">
        <v>50</v>
      </c>
      <c r="T2">
        <v>0</v>
      </c>
      <c r="U2">
        <v>2</v>
      </c>
      <c r="V2" s="1" t="s">
        <v>28</v>
      </c>
      <c r="W2">
        <v>0.05</v>
      </c>
      <c r="X2">
        <v>3000</v>
      </c>
      <c r="Y2">
        <v>9960</v>
      </c>
      <c r="Z2">
        <v>4200</v>
      </c>
      <c r="AA2">
        <v>7002.8596400400002</v>
      </c>
      <c r="AB2">
        <v>-1</v>
      </c>
      <c r="AC2">
        <v>-1</v>
      </c>
      <c r="AD2">
        <v>-1</v>
      </c>
    </row>
    <row r="3" spans="1:33" x14ac:dyDescent="0.25">
      <c r="A3" t="s">
        <v>29</v>
      </c>
      <c r="B3" t="str" cm="1">
        <f t="array" ref="B3:F3">_xlfn.TEXTSPLIT(A3,"_")</f>
        <v>MVPRP</v>
      </c>
      <c r="C3" t="str">
        <v>C30</v>
      </c>
      <c r="D3" t="str">
        <v>P9</v>
      </c>
      <c r="E3" t="str">
        <v>V3</v>
      </c>
      <c r="F3" t="str">
        <v>I3</v>
      </c>
      <c r="G3" t="s">
        <v>176</v>
      </c>
      <c r="H3" t="s">
        <v>30</v>
      </c>
      <c r="I3">
        <v>139780.17948176499</v>
      </c>
      <c r="J3">
        <v>124277.702685201</v>
      </c>
      <c r="K3">
        <v>0.110906115974664</v>
      </c>
      <c r="L3">
        <v>3600.1860005855601</v>
      </c>
      <c r="M3" t="s">
        <v>31</v>
      </c>
      <c r="N3">
        <v>228</v>
      </c>
      <c r="P3">
        <v>2</v>
      </c>
      <c r="Q3">
        <v>0.5</v>
      </c>
      <c r="R3">
        <v>100</v>
      </c>
      <c r="S3">
        <v>50</v>
      </c>
      <c r="T3">
        <v>0</v>
      </c>
      <c r="U3">
        <v>2</v>
      </c>
      <c r="V3" s="1" t="s">
        <v>28</v>
      </c>
      <c r="W3">
        <v>0.05</v>
      </c>
      <c r="X3">
        <v>12000</v>
      </c>
      <c r="Y3">
        <v>67710</v>
      </c>
      <c r="Z3">
        <v>27125</v>
      </c>
      <c r="AA3">
        <v>32945.179481765103</v>
      </c>
      <c r="AB3">
        <v>-1</v>
      </c>
      <c r="AC3">
        <v>-1</v>
      </c>
      <c r="AD3">
        <v>-1</v>
      </c>
    </row>
    <row r="4" spans="1:33" x14ac:dyDescent="0.25">
      <c r="A4" t="s">
        <v>32</v>
      </c>
      <c r="B4" t="str" cm="1">
        <f t="array" ref="B4:F4">_xlfn.TEXTSPLIT(A4,"_")</f>
        <v>MVPRP</v>
      </c>
      <c r="C4" t="str">
        <v>C15</v>
      </c>
      <c r="D4" t="str">
        <v>P9</v>
      </c>
      <c r="E4" t="str">
        <v>V3</v>
      </c>
      <c r="F4" t="str">
        <v>I1</v>
      </c>
      <c r="G4" t="s">
        <v>176</v>
      </c>
      <c r="H4" t="s">
        <v>30</v>
      </c>
      <c r="I4">
        <v>69995.221982867806</v>
      </c>
      <c r="J4">
        <v>69846.211570691303</v>
      </c>
      <c r="K4">
        <v>2.1288654847463899E-3</v>
      </c>
      <c r="L4">
        <v>3600.08675694466</v>
      </c>
      <c r="M4" t="s">
        <v>33</v>
      </c>
      <c r="N4">
        <v>132</v>
      </c>
      <c r="P4">
        <v>2</v>
      </c>
      <c r="Q4">
        <v>0.5</v>
      </c>
      <c r="R4">
        <v>100</v>
      </c>
      <c r="S4">
        <v>50</v>
      </c>
      <c r="T4">
        <v>0</v>
      </c>
      <c r="U4">
        <v>2</v>
      </c>
      <c r="V4" s="1" t="s">
        <v>28</v>
      </c>
      <c r="W4">
        <v>0.05</v>
      </c>
      <c r="X4">
        <v>9000</v>
      </c>
      <c r="Y4">
        <v>40950</v>
      </c>
      <c r="Z4">
        <v>13146.000034598999</v>
      </c>
      <c r="AA4">
        <v>6899.2219482688297</v>
      </c>
      <c r="AB4">
        <v>-1</v>
      </c>
      <c r="AC4">
        <v>-1</v>
      </c>
      <c r="AD4">
        <v>-1</v>
      </c>
    </row>
    <row r="5" spans="1:33" x14ac:dyDescent="0.25">
      <c r="A5" t="s">
        <v>34</v>
      </c>
      <c r="B5" t="str" cm="1">
        <f t="array" ref="B5:F5">_xlfn.TEXTSPLIT(A5,"_")</f>
        <v>MVPRP</v>
      </c>
      <c r="C5" t="str">
        <v>C40</v>
      </c>
      <c r="D5" t="str">
        <v>P3</v>
      </c>
      <c r="E5" t="str">
        <v>V3</v>
      </c>
      <c r="F5" t="str">
        <v>I3</v>
      </c>
      <c r="G5" t="s">
        <v>176</v>
      </c>
      <c r="H5" t="s">
        <v>26</v>
      </c>
      <c r="I5">
        <v>51505.656298582602</v>
      </c>
      <c r="J5">
        <v>51505.656298582602</v>
      </c>
      <c r="K5">
        <v>0</v>
      </c>
      <c r="L5">
        <v>396.12451291084301</v>
      </c>
      <c r="M5" t="s">
        <v>35</v>
      </c>
      <c r="N5">
        <v>360</v>
      </c>
      <c r="P5">
        <v>2</v>
      </c>
      <c r="Q5">
        <v>0.5</v>
      </c>
      <c r="R5">
        <v>100</v>
      </c>
      <c r="S5">
        <v>50</v>
      </c>
      <c r="T5">
        <v>0</v>
      </c>
      <c r="U5">
        <v>2</v>
      </c>
      <c r="V5" s="1" t="s">
        <v>28</v>
      </c>
      <c r="W5">
        <v>0.05</v>
      </c>
      <c r="X5">
        <v>3000</v>
      </c>
      <c r="Y5">
        <v>27660</v>
      </c>
      <c r="Z5">
        <v>9577</v>
      </c>
      <c r="AA5">
        <v>11268.6562985826</v>
      </c>
      <c r="AB5">
        <v>-1</v>
      </c>
      <c r="AC5">
        <v>-1</v>
      </c>
      <c r="AD5">
        <v>-1</v>
      </c>
    </row>
    <row r="6" spans="1:33" x14ac:dyDescent="0.25">
      <c r="A6" t="s">
        <v>36</v>
      </c>
      <c r="B6" t="str" cm="1">
        <f t="array" ref="B6:F6">_xlfn.TEXTSPLIT(A6,"_")</f>
        <v>MVPRP</v>
      </c>
      <c r="C6" t="str">
        <v>C40</v>
      </c>
      <c r="D6" t="str">
        <v>P3</v>
      </c>
      <c r="E6" t="str">
        <v>V3</v>
      </c>
      <c r="F6" t="str">
        <v>I1</v>
      </c>
      <c r="G6" t="s">
        <v>176</v>
      </c>
      <c r="H6" t="s">
        <v>26</v>
      </c>
      <c r="I6">
        <v>41714.6655546361</v>
      </c>
      <c r="J6">
        <v>41714.6655546361</v>
      </c>
      <c r="K6">
        <v>0</v>
      </c>
      <c r="L6">
        <v>74.477678298950195</v>
      </c>
      <c r="M6" t="s">
        <v>37</v>
      </c>
      <c r="N6">
        <v>360</v>
      </c>
      <c r="P6">
        <v>2</v>
      </c>
      <c r="Q6">
        <v>0.5</v>
      </c>
      <c r="R6">
        <v>100</v>
      </c>
      <c r="S6">
        <v>50</v>
      </c>
      <c r="T6">
        <v>0</v>
      </c>
      <c r="U6">
        <v>2</v>
      </c>
      <c r="V6" s="1" t="s">
        <v>28</v>
      </c>
      <c r="W6">
        <v>0.05</v>
      </c>
      <c r="X6">
        <v>6000</v>
      </c>
      <c r="Y6">
        <v>27660</v>
      </c>
      <c r="Z6">
        <v>4692</v>
      </c>
      <c r="AA6">
        <v>3362.6655546361098</v>
      </c>
      <c r="AB6">
        <v>-1</v>
      </c>
      <c r="AC6">
        <v>-1</v>
      </c>
      <c r="AD6">
        <v>-1</v>
      </c>
    </row>
    <row r="7" spans="1:33" x14ac:dyDescent="0.25">
      <c r="A7" t="s">
        <v>38</v>
      </c>
      <c r="B7" t="str" cm="1">
        <f t="array" ref="B7:F7">_xlfn.TEXTSPLIT(A7,"_")</f>
        <v>MVPRP</v>
      </c>
      <c r="C7" t="str">
        <v>C20</v>
      </c>
      <c r="D7" t="str">
        <v>P6</v>
      </c>
      <c r="E7" t="str">
        <v>V3</v>
      </c>
      <c r="F7" t="str">
        <v>I1</v>
      </c>
      <c r="G7" t="s">
        <v>176</v>
      </c>
      <c r="H7" t="s">
        <v>26</v>
      </c>
      <c r="I7">
        <v>45340.890509310302</v>
      </c>
      <c r="J7">
        <v>45340.890509310302</v>
      </c>
      <c r="K7">
        <v>0</v>
      </c>
      <c r="L7">
        <v>24.0150790214539</v>
      </c>
      <c r="M7" t="s">
        <v>39</v>
      </c>
      <c r="N7">
        <v>189</v>
      </c>
      <c r="P7">
        <v>2</v>
      </c>
      <c r="Q7">
        <v>0.5</v>
      </c>
      <c r="R7">
        <v>100</v>
      </c>
      <c r="S7">
        <v>50</v>
      </c>
      <c r="T7">
        <v>0</v>
      </c>
      <c r="U7">
        <v>2</v>
      </c>
      <c r="V7" s="1" t="s">
        <v>28</v>
      </c>
      <c r="W7">
        <v>0.05</v>
      </c>
      <c r="X7">
        <v>6000</v>
      </c>
      <c r="Y7">
        <v>23820</v>
      </c>
      <c r="Z7">
        <v>12510</v>
      </c>
      <c r="AA7">
        <v>3010.8905093103999</v>
      </c>
      <c r="AB7">
        <v>-1</v>
      </c>
      <c r="AC7">
        <v>-1</v>
      </c>
      <c r="AD7">
        <v>-1</v>
      </c>
    </row>
    <row r="8" spans="1:33" x14ac:dyDescent="0.25">
      <c r="A8" t="s">
        <v>40</v>
      </c>
      <c r="B8" t="str" cm="1">
        <f t="array" ref="B8:F8">_xlfn.TEXTSPLIT(A8,"_")</f>
        <v>MVPRP</v>
      </c>
      <c r="C8" t="str">
        <v>C10</v>
      </c>
      <c r="D8" t="str">
        <v>P3</v>
      </c>
      <c r="E8" t="str">
        <v>V3</v>
      </c>
      <c r="F8" t="str">
        <v>I1</v>
      </c>
      <c r="G8" t="s">
        <v>176</v>
      </c>
      <c r="H8" t="s">
        <v>26</v>
      </c>
      <c r="I8">
        <v>13025.581183165399</v>
      </c>
      <c r="J8">
        <v>13025.581183165499</v>
      </c>
      <c r="K8">
        <v>0</v>
      </c>
      <c r="L8">
        <v>0.64924144744873102</v>
      </c>
      <c r="M8" t="s">
        <v>41</v>
      </c>
      <c r="N8">
        <v>132</v>
      </c>
      <c r="P8">
        <v>2</v>
      </c>
      <c r="Q8">
        <v>0.5</v>
      </c>
      <c r="R8">
        <v>100</v>
      </c>
      <c r="S8">
        <v>50</v>
      </c>
      <c r="T8">
        <v>0</v>
      </c>
      <c r="U8">
        <v>2</v>
      </c>
      <c r="V8" s="1" t="s">
        <v>28</v>
      </c>
      <c r="W8">
        <v>0.05</v>
      </c>
      <c r="X8">
        <v>3000</v>
      </c>
      <c r="Y8">
        <v>6390</v>
      </c>
      <c r="Z8">
        <v>2313</v>
      </c>
      <c r="AA8">
        <v>1322.5811831654701</v>
      </c>
      <c r="AB8">
        <v>-1</v>
      </c>
      <c r="AC8">
        <v>-1</v>
      </c>
      <c r="AD8">
        <v>-1</v>
      </c>
    </row>
    <row r="9" spans="1:33" x14ac:dyDescent="0.25">
      <c r="A9" t="s">
        <v>42</v>
      </c>
      <c r="B9" t="str" cm="1">
        <f t="array" ref="B9:F9">_xlfn.TEXTSPLIT(A9,"_")</f>
        <v>MVPRP</v>
      </c>
      <c r="C9" t="str">
        <v>C45</v>
      </c>
      <c r="D9" t="str">
        <v>P3</v>
      </c>
      <c r="E9" t="str">
        <v>V3</v>
      </c>
      <c r="F9" t="str">
        <v>I3</v>
      </c>
      <c r="G9" t="s">
        <v>176</v>
      </c>
      <c r="H9" t="s">
        <v>26</v>
      </c>
      <c r="I9">
        <v>59127.871321666003</v>
      </c>
      <c r="J9">
        <v>59127.871321666003</v>
      </c>
      <c r="K9">
        <v>0</v>
      </c>
      <c r="L9">
        <v>2380.1390798091902</v>
      </c>
      <c r="M9" t="s">
        <v>43</v>
      </c>
      <c r="N9">
        <v>360</v>
      </c>
      <c r="P9">
        <v>2</v>
      </c>
      <c r="Q9">
        <v>0.5</v>
      </c>
      <c r="R9">
        <v>100</v>
      </c>
      <c r="S9">
        <v>50</v>
      </c>
      <c r="T9">
        <v>0</v>
      </c>
      <c r="U9">
        <v>2</v>
      </c>
      <c r="V9" s="1" t="s">
        <v>28</v>
      </c>
      <c r="W9">
        <v>0.05</v>
      </c>
      <c r="X9">
        <v>3000</v>
      </c>
      <c r="Y9">
        <v>33060</v>
      </c>
      <c r="Z9">
        <v>11010</v>
      </c>
      <c r="AA9">
        <v>12057.871321666</v>
      </c>
      <c r="AB9">
        <v>-1</v>
      </c>
      <c r="AC9">
        <v>-1</v>
      </c>
      <c r="AD9">
        <v>-1</v>
      </c>
    </row>
    <row r="10" spans="1:33" x14ac:dyDescent="0.25">
      <c r="A10" t="s">
        <v>44</v>
      </c>
      <c r="B10" t="str" cm="1">
        <f t="array" ref="B10:F10">_xlfn.TEXTSPLIT(A10,"_")</f>
        <v>MVPRP</v>
      </c>
      <c r="C10" t="str">
        <v>C20</v>
      </c>
      <c r="D10" t="str">
        <v>P3</v>
      </c>
      <c r="E10" t="str">
        <v>V3</v>
      </c>
      <c r="F10" t="str">
        <v>I1</v>
      </c>
      <c r="G10" t="s">
        <v>176</v>
      </c>
      <c r="H10" t="s">
        <v>26</v>
      </c>
      <c r="I10">
        <v>20945.2212283318</v>
      </c>
      <c r="J10">
        <v>20945.2212283318</v>
      </c>
      <c r="K10">
        <v>0</v>
      </c>
      <c r="L10">
        <v>6.7645709514617902</v>
      </c>
      <c r="M10" t="s">
        <v>45</v>
      </c>
      <c r="N10">
        <v>189</v>
      </c>
      <c r="P10">
        <v>2</v>
      </c>
      <c r="Q10">
        <v>0.5</v>
      </c>
      <c r="R10">
        <v>100</v>
      </c>
      <c r="S10">
        <v>50</v>
      </c>
      <c r="T10">
        <v>0</v>
      </c>
      <c r="U10">
        <v>2</v>
      </c>
      <c r="V10" s="1" t="s">
        <v>28</v>
      </c>
      <c r="W10">
        <v>0.05</v>
      </c>
      <c r="X10">
        <v>3000</v>
      </c>
      <c r="Y10">
        <v>12030</v>
      </c>
      <c r="Z10">
        <v>3897</v>
      </c>
      <c r="AA10">
        <v>2018.2212283317699</v>
      </c>
      <c r="AB10">
        <v>-1</v>
      </c>
      <c r="AC10">
        <v>-1</v>
      </c>
      <c r="AD10">
        <v>-1</v>
      </c>
    </row>
    <row r="11" spans="1:33" x14ac:dyDescent="0.25">
      <c r="A11" t="s">
        <v>46</v>
      </c>
      <c r="B11" t="str" cm="1">
        <f t="array" ref="B11:F11">_xlfn.TEXTSPLIT(A11,"_")</f>
        <v>MVPRP</v>
      </c>
      <c r="C11" t="str">
        <v>C35</v>
      </c>
      <c r="D11" t="str">
        <v>P3</v>
      </c>
      <c r="E11" t="str">
        <v>V3</v>
      </c>
      <c r="F11" t="str">
        <v>I3</v>
      </c>
      <c r="G11" t="s">
        <v>176</v>
      </c>
      <c r="H11" t="s">
        <v>26</v>
      </c>
      <c r="I11">
        <v>41528.485566394898</v>
      </c>
      <c r="J11">
        <v>41528.485566394898</v>
      </c>
      <c r="K11">
        <v>0</v>
      </c>
      <c r="L11">
        <v>270.73729801178001</v>
      </c>
      <c r="M11" t="s">
        <v>47</v>
      </c>
      <c r="N11">
        <v>276</v>
      </c>
      <c r="P11">
        <v>2</v>
      </c>
      <c r="Q11">
        <v>0.5</v>
      </c>
      <c r="R11">
        <v>100</v>
      </c>
      <c r="S11">
        <v>50</v>
      </c>
      <c r="T11">
        <v>0</v>
      </c>
      <c r="U11">
        <v>2</v>
      </c>
      <c r="V11" s="1" t="s">
        <v>28</v>
      </c>
      <c r="W11">
        <v>0.05</v>
      </c>
      <c r="X11">
        <v>3000</v>
      </c>
      <c r="Y11">
        <v>21600</v>
      </c>
      <c r="Z11">
        <v>7360</v>
      </c>
      <c r="AA11">
        <v>9568.4855663949093</v>
      </c>
      <c r="AB11">
        <v>-1</v>
      </c>
      <c r="AC11">
        <v>-1</v>
      </c>
      <c r="AD11">
        <v>-1</v>
      </c>
    </row>
    <row r="12" spans="1:33" x14ac:dyDescent="0.25">
      <c r="A12" t="s">
        <v>48</v>
      </c>
      <c r="B12" t="str" cm="1">
        <f t="array" ref="B12:F12">_xlfn.TEXTSPLIT(A12,"_")</f>
        <v>MVPRP</v>
      </c>
      <c r="C12" t="str">
        <v>C40</v>
      </c>
      <c r="D12" t="str">
        <v>P6</v>
      </c>
      <c r="E12" t="str">
        <v>V3</v>
      </c>
      <c r="F12" t="str">
        <v>I1</v>
      </c>
      <c r="G12" t="s">
        <v>176</v>
      </c>
      <c r="H12" t="s">
        <v>30</v>
      </c>
      <c r="I12">
        <v>92125.039665893899</v>
      </c>
      <c r="J12">
        <v>92015.716652112897</v>
      </c>
      <c r="K12">
        <v>1.18668077840193E-3</v>
      </c>
      <c r="L12">
        <v>3600.18600106239</v>
      </c>
      <c r="M12" t="s">
        <v>49</v>
      </c>
      <c r="N12">
        <v>360</v>
      </c>
      <c r="P12">
        <v>2</v>
      </c>
      <c r="Q12">
        <v>0.5</v>
      </c>
      <c r="R12">
        <v>100</v>
      </c>
      <c r="S12">
        <v>50</v>
      </c>
      <c r="T12">
        <v>0</v>
      </c>
      <c r="U12">
        <v>2</v>
      </c>
      <c r="V12" s="1" t="s">
        <v>28</v>
      </c>
      <c r="W12">
        <v>0.05</v>
      </c>
      <c r="X12">
        <v>6000</v>
      </c>
      <c r="Y12">
        <v>55170</v>
      </c>
      <c r="Z12">
        <v>25151.00001575</v>
      </c>
      <c r="AA12">
        <v>5804.0396447052499</v>
      </c>
      <c r="AB12">
        <v>-1</v>
      </c>
      <c r="AC12">
        <v>-1</v>
      </c>
      <c r="AD12">
        <v>-1</v>
      </c>
    </row>
    <row r="13" spans="1:33" x14ac:dyDescent="0.25">
      <c r="A13" t="s">
        <v>50</v>
      </c>
      <c r="B13" t="str" cm="1">
        <f t="array" ref="B13:F13">_xlfn.TEXTSPLIT(A13,"_")</f>
        <v>MVPRP</v>
      </c>
      <c r="C13" t="str">
        <v>C10</v>
      </c>
      <c r="D13" t="str">
        <v>P3</v>
      </c>
      <c r="E13" t="str">
        <v>V3</v>
      </c>
      <c r="F13" t="str">
        <v>I3</v>
      </c>
      <c r="G13" t="s">
        <v>176</v>
      </c>
      <c r="H13" t="s">
        <v>26</v>
      </c>
      <c r="I13">
        <v>16684.5152113289</v>
      </c>
      <c r="J13">
        <v>16684.5152113289</v>
      </c>
      <c r="K13">
        <v>0</v>
      </c>
      <c r="L13">
        <v>1.80661296844482</v>
      </c>
      <c r="M13" t="s">
        <v>51</v>
      </c>
      <c r="N13">
        <v>132</v>
      </c>
      <c r="P13">
        <v>2</v>
      </c>
      <c r="Q13">
        <v>0.5</v>
      </c>
      <c r="R13">
        <v>100</v>
      </c>
      <c r="S13">
        <v>50</v>
      </c>
      <c r="T13">
        <v>0</v>
      </c>
      <c r="U13">
        <v>2</v>
      </c>
      <c r="V13" s="1" t="s">
        <v>28</v>
      </c>
      <c r="W13">
        <v>0.05</v>
      </c>
      <c r="X13">
        <v>3000</v>
      </c>
      <c r="Y13">
        <v>6390</v>
      </c>
      <c r="Z13">
        <v>3082</v>
      </c>
      <c r="AA13">
        <v>4212.5152113288896</v>
      </c>
      <c r="AB13">
        <v>-1</v>
      </c>
      <c r="AC13">
        <v>-1</v>
      </c>
      <c r="AD13">
        <v>-1</v>
      </c>
    </row>
    <row r="14" spans="1:33" x14ac:dyDescent="0.25">
      <c r="A14" t="s">
        <v>52</v>
      </c>
      <c r="B14" t="str" cm="1">
        <f t="array" ref="B14:F14">_xlfn.TEXTSPLIT(A14,"_")</f>
        <v>MVPRP</v>
      </c>
      <c r="C14" t="str">
        <v>C30</v>
      </c>
      <c r="D14" t="str">
        <v>P3</v>
      </c>
      <c r="E14" t="str">
        <v>V3</v>
      </c>
      <c r="F14" t="str">
        <v>I3</v>
      </c>
      <c r="G14" t="s">
        <v>176</v>
      </c>
      <c r="H14" t="s">
        <v>26</v>
      </c>
      <c r="I14">
        <v>34123.400853526597</v>
      </c>
      <c r="J14">
        <v>34123.400853526597</v>
      </c>
      <c r="K14">
        <v>0</v>
      </c>
      <c r="L14">
        <v>161.43400597572301</v>
      </c>
      <c r="M14" t="s">
        <v>53</v>
      </c>
      <c r="N14">
        <v>228</v>
      </c>
      <c r="P14">
        <v>2</v>
      </c>
      <c r="Q14">
        <v>0.5</v>
      </c>
      <c r="R14">
        <v>100</v>
      </c>
      <c r="S14">
        <v>50</v>
      </c>
      <c r="T14">
        <v>0</v>
      </c>
      <c r="U14">
        <v>2</v>
      </c>
      <c r="V14" s="1" t="s">
        <v>28</v>
      </c>
      <c r="W14">
        <v>0.05</v>
      </c>
      <c r="X14">
        <v>3000</v>
      </c>
      <c r="Y14">
        <v>16680</v>
      </c>
      <c r="Z14">
        <v>6255</v>
      </c>
      <c r="AA14">
        <v>8188.4008535265903</v>
      </c>
      <c r="AB14">
        <v>-1</v>
      </c>
      <c r="AC14">
        <v>-1</v>
      </c>
      <c r="AD14">
        <v>-1</v>
      </c>
    </row>
    <row r="15" spans="1:33" x14ac:dyDescent="0.25">
      <c r="A15" t="s">
        <v>54</v>
      </c>
      <c r="B15" t="str" cm="1">
        <f t="array" ref="B15:F15">_xlfn.TEXTSPLIT(A15,"_")</f>
        <v>MVPRP</v>
      </c>
      <c r="C15" t="str">
        <v>C20</v>
      </c>
      <c r="D15" t="str">
        <v>P3</v>
      </c>
      <c r="E15" t="str">
        <v>V3</v>
      </c>
      <c r="F15" t="str">
        <v>I3</v>
      </c>
      <c r="G15" t="s">
        <v>176</v>
      </c>
      <c r="H15" t="s">
        <v>26</v>
      </c>
      <c r="I15">
        <v>27018.506210203599</v>
      </c>
      <c r="J15">
        <v>27018.506210203599</v>
      </c>
      <c r="K15">
        <v>0</v>
      </c>
      <c r="L15">
        <v>19.694522619247401</v>
      </c>
      <c r="M15" t="s">
        <v>55</v>
      </c>
      <c r="N15">
        <v>189</v>
      </c>
      <c r="P15">
        <v>2</v>
      </c>
      <c r="Q15">
        <v>0.5</v>
      </c>
      <c r="R15">
        <v>100</v>
      </c>
      <c r="S15">
        <v>50</v>
      </c>
      <c r="T15">
        <v>0</v>
      </c>
      <c r="U15">
        <v>2</v>
      </c>
      <c r="V15" s="1" t="s">
        <v>28</v>
      </c>
      <c r="W15">
        <v>0.05</v>
      </c>
      <c r="X15">
        <v>3000</v>
      </c>
      <c r="Y15">
        <v>12030</v>
      </c>
      <c r="Z15">
        <v>5255</v>
      </c>
      <c r="AA15">
        <v>6733.50621020363</v>
      </c>
      <c r="AB15">
        <v>-1</v>
      </c>
      <c r="AC15">
        <v>-1</v>
      </c>
      <c r="AD15">
        <v>-1</v>
      </c>
    </row>
    <row r="16" spans="1:33" x14ac:dyDescent="0.25">
      <c r="A16" t="s">
        <v>56</v>
      </c>
      <c r="B16" t="str" cm="1">
        <f t="array" ref="B16:F16">_xlfn.TEXTSPLIT(A16,"_")</f>
        <v>MVPRP</v>
      </c>
      <c r="C16" t="str">
        <v>C35</v>
      </c>
      <c r="D16" t="str">
        <v>P6</v>
      </c>
      <c r="E16" t="str">
        <v>V3</v>
      </c>
      <c r="F16" t="str">
        <v>I3</v>
      </c>
      <c r="G16" t="s">
        <v>176</v>
      </c>
      <c r="H16" t="s">
        <v>30</v>
      </c>
      <c r="I16">
        <v>86437.593028770207</v>
      </c>
      <c r="J16">
        <v>85060.1312629186</v>
      </c>
      <c r="K16">
        <v>1.5935910725708699E-2</v>
      </c>
      <c r="L16">
        <v>3600.08347153664</v>
      </c>
      <c r="M16" t="s">
        <v>57</v>
      </c>
      <c r="N16">
        <v>276</v>
      </c>
      <c r="P16">
        <v>2</v>
      </c>
      <c r="Q16">
        <v>0.5</v>
      </c>
      <c r="R16">
        <v>100</v>
      </c>
      <c r="S16">
        <v>50</v>
      </c>
      <c r="T16">
        <v>0</v>
      </c>
      <c r="U16">
        <v>2</v>
      </c>
      <c r="V16" s="1" t="s">
        <v>28</v>
      </c>
      <c r="W16">
        <v>0.05</v>
      </c>
      <c r="X16">
        <v>6000</v>
      </c>
      <c r="Y16">
        <v>42900</v>
      </c>
      <c r="Z16">
        <v>19630</v>
      </c>
      <c r="AA16">
        <v>17907.593028770199</v>
      </c>
      <c r="AB16">
        <v>-1</v>
      </c>
      <c r="AC16">
        <v>-1</v>
      </c>
      <c r="AD16">
        <v>-1</v>
      </c>
    </row>
    <row r="17" spans="1:30" x14ac:dyDescent="0.25">
      <c r="A17" t="s">
        <v>58</v>
      </c>
      <c r="B17" t="str" cm="1">
        <f t="array" ref="B17:F17">_xlfn.TEXTSPLIT(A17,"_")</f>
        <v>MVPRP</v>
      </c>
      <c r="C17" t="str">
        <v>C25</v>
      </c>
      <c r="D17" t="str">
        <v>P6</v>
      </c>
      <c r="E17" t="str">
        <v>V3</v>
      </c>
      <c r="F17" t="str">
        <v>I3</v>
      </c>
      <c r="G17" t="s">
        <v>176</v>
      </c>
      <c r="H17" t="s">
        <v>26</v>
      </c>
      <c r="I17">
        <v>65896.277919437605</v>
      </c>
      <c r="J17">
        <v>65892.071746189104</v>
      </c>
      <c r="K17">
        <v>6.3830209858651497E-5</v>
      </c>
      <c r="L17">
        <v>582.43223428726196</v>
      </c>
      <c r="M17" t="s">
        <v>59</v>
      </c>
      <c r="N17">
        <v>189</v>
      </c>
      <c r="P17">
        <v>2</v>
      </c>
      <c r="Q17">
        <v>0.5</v>
      </c>
      <c r="R17">
        <v>100</v>
      </c>
      <c r="S17">
        <v>50</v>
      </c>
      <c r="T17">
        <v>0</v>
      </c>
      <c r="U17">
        <v>2</v>
      </c>
      <c r="V17" s="1" t="s">
        <v>28</v>
      </c>
      <c r="W17">
        <v>0.05</v>
      </c>
      <c r="X17">
        <v>6000</v>
      </c>
      <c r="Y17">
        <v>28380</v>
      </c>
      <c r="Z17">
        <v>17593</v>
      </c>
      <c r="AA17">
        <v>13923.2779194377</v>
      </c>
      <c r="AB17">
        <v>-1</v>
      </c>
      <c r="AC17">
        <v>-1</v>
      </c>
      <c r="AD17">
        <v>-1</v>
      </c>
    </row>
    <row r="18" spans="1:30" x14ac:dyDescent="0.25">
      <c r="A18" t="s">
        <v>60</v>
      </c>
      <c r="B18" t="str" cm="1">
        <f t="array" ref="B18:F18">_xlfn.TEXTSPLIT(A18,"_")</f>
        <v>MVPRP</v>
      </c>
      <c r="C18" t="str">
        <v>C15</v>
      </c>
      <c r="D18" t="str">
        <v>P6</v>
      </c>
      <c r="E18" t="str">
        <v>V3</v>
      </c>
      <c r="F18" t="str">
        <v>I3</v>
      </c>
      <c r="G18" t="s">
        <v>176</v>
      </c>
      <c r="H18" t="s">
        <v>26</v>
      </c>
      <c r="I18">
        <v>50192.775307358701</v>
      </c>
      <c r="J18">
        <v>50192.775307358701</v>
      </c>
      <c r="K18">
        <v>0</v>
      </c>
      <c r="L18">
        <v>149.10526490211501</v>
      </c>
      <c r="M18" t="s">
        <v>61</v>
      </c>
      <c r="N18">
        <v>132</v>
      </c>
      <c r="P18">
        <v>2</v>
      </c>
      <c r="Q18">
        <v>0.5</v>
      </c>
      <c r="R18">
        <v>100</v>
      </c>
      <c r="S18">
        <v>50</v>
      </c>
      <c r="T18">
        <v>0</v>
      </c>
      <c r="U18">
        <v>2</v>
      </c>
      <c r="V18" s="1" t="s">
        <v>28</v>
      </c>
      <c r="W18">
        <v>0.05</v>
      </c>
      <c r="X18">
        <v>6000</v>
      </c>
      <c r="Y18">
        <v>19800</v>
      </c>
      <c r="Z18">
        <v>12042</v>
      </c>
      <c r="AA18">
        <v>12350.775307358599</v>
      </c>
      <c r="AB18">
        <v>-1</v>
      </c>
      <c r="AC18">
        <v>-1</v>
      </c>
      <c r="AD18">
        <v>-1</v>
      </c>
    </row>
    <row r="19" spans="1:30" x14ac:dyDescent="0.25">
      <c r="A19" t="s">
        <v>62</v>
      </c>
      <c r="B19" t="str" cm="1">
        <f t="array" ref="B19:F19">_xlfn.TEXTSPLIT(A19,"_")</f>
        <v>MVPRP</v>
      </c>
      <c r="C19" t="str">
        <v>C50</v>
      </c>
      <c r="D19" t="str">
        <v>P3</v>
      </c>
      <c r="E19" t="str">
        <v>V3</v>
      </c>
      <c r="F19" t="str">
        <v>I3</v>
      </c>
      <c r="G19" t="s">
        <v>176</v>
      </c>
      <c r="H19" t="s">
        <v>26</v>
      </c>
      <c r="I19">
        <v>54811.140986393599</v>
      </c>
      <c r="J19">
        <v>54807.994622905302</v>
      </c>
      <c r="K19">
        <v>5.7403721792344399E-5</v>
      </c>
      <c r="L19">
        <v>1380.2202379703499</v>
      </c>
      <c r="M19" t="s">
        <v>63</v>
      </c>
      <c r="N19">
        <v>360</v>
      </c>
      <c r="P19">
        <v>2</v>
      </c>
      <c r="Q19">
        <v>0.5</v>
      </c>
      <c r="R19">
        <v>100</v>
      </c>
      <c r="S19">
        <v>50</v>
      </c>
      <c r="T19">
        <v>0</v>
      </c>
      <c r="U19">
        <v>2</v>
      </c>
      <c r="V19" s="1" t="s">
        <v>28</v>
      </c>
      <c r="W19">
        <v>0.05</v>
      </c>
      <c r="X19">
        <v>3000</v>
      </c>
      <c r="Y19">
        <v>29580</v>
      </c>
      <c r="Z19">
        <v>10419</v>
      </c>
      <c r="AA19">
        <v>11812.140986393601</v>
      </c>
      <c r="AB19">
        <v>-1</v>
      </c>
      <c r="AC19">
        <v>-1</v>
      </c>
      <c r="AD19">
        <v>-1</v>
      </c>
    </row>
    <row r="20" spans="1:30" x14ac:dyDescent="0.25">
      <c r="A20" t="s">
        <v>64</v>
      </c>
      <c r="B20" t="str" cm="1">
        <f t="array" ref="B20:F20">_xlfn.TEXTSPLIT(A20,"_")</f>
        <v>MVPRP</v>
      </c>
      <c r="C20" t="str">
        <v>C30</v>
      </c>
      <c r="D20" t="str">
        <v>P6</v>
      </c>
      <c r="E20" t="str">
        <v>V3</v>
      </c>
      <c r="F20" t="str">
        <v>I3</v>
      </c>
      <c r="G20" t="s">
        <v>176</v>
      </c>
      <c r="H20" t="s">
        <v>26</v>
      </c>
      <c r="I20">
        <v>70563.605996775499</v>
      </c>
      <c r="J20">
        <v>70563.605996775499</v>
      </c>
      <c r="K20">
        <v>0</v>
      </c>
      <c r="L20">
        <v>1732.4877917766601</v>
      </c>
      <c r="M20" t="s">
        <v>65</v>
      </c>
      <c r="N20">
        <v>228</v>
      </c>
      <c r="P20">
        <v>2</v>
      </c>
      <c r="Q20">
        <v>0.5</v>
      </c>
      <c r="R20">
        <v>100</v>
      </c>
      <c r="S20">
        <v>50</v>
      </c>
      <c r="T20">
        <v>0</v>
      </c>
      <c r="U20">
        <v>2</v>
      </c>
      <c r="V20" s="1" t="s">
        <v>28</v>
      </c>
      <c r="W20">
        <v>0.05</v>
      </c>
      <c r="X20">
        <v>6000</v>
      </c>
      <c r="Y20">
        <v>33150</v>
      </c>
      <c r="Z20">
        <v>16451</v>
      </c>
      <c r="AA20">
        <v>14962.605996775501</v>
      </c>
      <c r="AB20">
        <v>-1</v>
      </c>
      <c r="AC20">
        <v>-1</v>
      </c>
      <c r="AD20">
        <v>-1</v>
      </c>
    </row>
    <row r="21" spans="1:30" x14ac:dyDescent="0.25">
      <c r="A21" t="s">
        <v>66</v>
      </c>
      <c r="B21" t="str" cm="1">
        <f t="array" ref="B21:F21">_xlfn.TEXTSPLIT(A21,"_")</f>
        <v>MVPRP</v>
      </c>
      <c r="C21" t="str">
        <v>C45</v>
      </c>
      <c r="D21" t="str">
        <v>P3</v>
      </c>
      <c r="E21" t="str">
        <v>V3</v>
      </c>
      <c r="F21" t="str">
        <v>I1</v>
      </c>
      <c r="G21" t="s">
        <v>176</v>
      </c>
      <c r="H21" t="s">
        <v>26</v>
      </c>
      <c r="I21">
        <v>47594.573005964499</v>
      </c>
      <c r="J21">
        <v>47594.573005964499</v>
      </c>
      <c r="K21">
        <v>0</v>
      </c>
      <c r="L21">
        <v>697.24698352813698</v>
      </c>
      <c r="M21" t="s">
        <v>67</v>
      </c>
      <c r="N21">
        <v>360</v>
      </c>
      <c r="P21">
        <v>2</v>
      </c>
      <c r="Q21">
        <v>0.5</v>
      </c>
      <c r="R21">
        <v>100</v>
      </c>
      <c r="S21">
        <v>50</v>
      </c>
      <c r="T21">
        <v>0</v>
      </c>
      <c r="U21">
        <v>2</v>
      </c>
      <c r="V21" s="1" t="s">
        <v>28</v>
      </c>
      <c r="W21">
        <v>0.05</v>
      </c>
      <c r="X21">
        <v>6000</v>
      </c>
      <c r="Y21">
        <v>33060</v>
      </c>
      <c r="Z21">
        <v>4926</v>
      </c>
      <c r="AA21">
        <v>3608.5730059645898</v>
      </c>
      <c r="AB21">
        <v>-1</v>
      </c>
      <c r="AC21">
        <v>-1</v>
      </c>
      <c r="AD21">
        <v>-1</v>
      </c>
    </row>
    <row r="22" spans="1:30" x14ac:dyDescent="0.25">
      <c r="A22" t="s">
        <v>68</v>
      </c>
      <c r="B22" t="str" cm="1">
        <f t="array" ref="B22:F22">_xlfn.TEXTSPLIT(A22,"_")</f>
        <v>MVPRP</v>
      </c>
      <c r="C22" t="str">
        <v>C25</v>
      </c>
      <c r="D22" t="str">
        <v>P6</v>
      </c>
      <c r="E22" t="str">
        <v>V3</v>
      </c>
      <c r="F22" t="str">
        <v>I1</v>
      </c>
      <c r="G22" t="s">
        <v>176</v>
      </c>
      <c r="H22" t="s">
        <v>26</v>
      </c>
      <c r="I22">
        <v>54514.809695994598</v>
      </c>
      <c r="J22">
        <v>54514.809695994598</v>
      </c>
      <c r="K22">
        <v>0</v>
      </c>
      <c r="L22">
        <v>142.25196409225501</v>
      </c>
      <c r="M22" t="s">
        <v>69</v>
      </c>
      <c r="N22">
        <v>189</v>
      </c>
      <c r="P22">
        <v>2</v>
      </c>
      <c r="Q22">
        <v>0.5</v>
      </c>
      <c r="R22">
        <v>100</v>
      </c>
      <c r="S22">
        <v>50</v>
      </c>
      <c r="T22">
        <v>0</v>
      </c>
      <c r="U22">
        <v>2</v>
      </c>
      <c r="V22" s="1" t="s">
        <v>28</v>
      </c>
      <c r="W22">
        <v>0.05</v>
      </c>
      <c r="X22">
        <v>6000</v>
      </c>
      <c r="Y22">
        <v>28380</v>
      </c>
      <c r="Z22">
        <v>16316</v>
      </c>
      <c r="AA22">
        <v>3818.8096959946602</v>
      </c>
      <c r="AB22">
        <v>-1</v>
      </c>
      <c r="AC22">
        <v>-1</v>
      </c>
      <c r="AD22">
        <v>-1</v>
      </c>
    </row>
    <row r="23" spans="1:30" x14ac:dyDescent="0.25">
      <c r="A23" t="s">
        <v>70</v>
      </c>
      <c r="B23" t="str" cm="1">
        <f t="array" ref="B23:F23">_xlfn.TEXTSPLIT(A23,"_")</f>
        <v>MVPRP</v>
      </c>
      <c r="C23" t="str">
        <v>C35</v>
      </c>
      <c r="D23" t="str">
        <v>P6</v>
      </c>
      <c r="E23" t="str">
        <v>V3</v>
      </c>
      <c r="F23" t="str">
        <v>I1</v>
      </c>
      <c r="G23" t="s">
        <v>176</v>
      </c>
      <c r="H23" t="s">
        <v>26</v>
      </c>
      <c r="I23">
        <v>71408.633363145593</v>
      </c>
      <c r="J23">
        <v>71407.7168238554</v>
      </c>
      <c r="K23">
        <v>1.28351327699142E-5</v>
      </c>
      <c r="L23">
        <v>787.87908077240002</v>
      </c>
      <c r="M23" t="s">
        <v>71</v>
      </c>
      <c r="N23">
        <v>276</v>
      </c>
      <c r="P23">
        <v>2</v>
      </c>
      <c r="Q23">
        <v>0.5</v>
      </c>
      <c r="R23">
        <v>100</v>
      </c>
      <c r="S23">
        <v>50</v>
      </c>
      <c r="T23">
        <v>0</v>
      </c>
      <c r="U23">
        <v>2</v>
      </c>
      <c r="V23" s="1" t="s">
        <v>28</v>
      </c>
      <c r="W23">
        <v>0.05</v>
      </c>
      <c r="X23">
        <v>6000</v>
      </c>
      <c r="Y23">
        <v>42900</v>
      </c>
      <c r="Z23">
        <v>17311</v>
      </c>
      <c r="AA23">
        <v>5197.63336314559</v>
      </c>
      <c r="AB23">
        <v>-1</v>
      </c>
      <c r="AC23">
        <v>-1</v>
      </c>
      <c r="AD23">
        <v>-1</v>
      </c>
    </row>
    <row r="24" spans="1:30" x14ac:dyDescent="0.25">
      <c r="A24" t="s">
        <v>72</v>
      </c>
      <c r="B24" t="str" cm="1">
        <f t="array" ref="B24:F24">_xlfn.TEXTSPLIT(A24,"_")</f>
        <v>MVPRP</v>
      </c>
      <c r="C24" t="str">
        <v>C25</v>
      </c>
      <c r="D24" t="str">
        <v>P3</v>
      </c>
      <c r="E24" t="str">
        <v>V3</v>
      </c>
      <c r="F24" t="str">
        <v>I1</v>
      </c>
      <c r="G24" t="s">
        <v>176</v>
      </c>
      <c r="H24" t="s">
        <v>26</v>
      </c>
      <c r="I24">
        <v>24674.5535864923</v>
      </c>
      <c r="J24">
        <v>24674.5535864923</v>
      </c>
      <c r="K24">
        <v>0</v>
      </c>
      <c r="L24">
        <v>27.5521998405457</v>
      </c>
      <c r="M24" t="s">
        <v>73</v>
      </c>
      <c r="N24">
        <v>189</v>
      </c>
      <c r="P24">
        <v>2</v>
      </c>
      <c r="Q24">
        <v>0.5</v>
      </c>
      <c r="R24">
        <v>100</v>
      </c>
      <c r="S24">
        <v>50</v>
      </c>
      <c r="T24">
        <v>0</v>
      </c>
      <c r="U24">
        <v>2</v>
      </c>
      <c r="V24" s="1" t="s">
        <v>28</v>
      </c>
      <c r="W24">
        <v>0.05</v>
      </c>
      <c r="X24">
        <v>3000</v>
      </c>
      <c r="Y24">
        <v>14340</v>
      </c>
      <c r="Z24">
        <v>4877</v>
      </c>
      <c r="AA24">
        <v>2457.5535864922899</v>
      </c>
      <c r="AB24">
        <v>-1</v>
      </c>
      <c r="AC24">
        <v>-1</v>
      </c>
      <c r="AD24">
        <v>-1</v>
      </c>
    </row>
    <row r="25" spans="1:30" x14ac:dyDescent="0.25">
      <c r="A25" t="s">
        <v>74</v>
      </c>
      <c r="B25" t="str" cm="1">
        <f t="array" ref="B25:F25">_xlfn.TEXTSPLIT(A25,"_")</f>
        <v>MVPRP</v>
      </c>
      <c r="C25" t="str">
        <v>C10</v>
      </c>
      <c r="D25" t="str">
        <v>P6</v>
      </c>
      <c r="E25" t="str">
        <v>V3</v>
      </c>
      <c r="F25" t="str">
        <v>I1</v>
      </c>
      <c r="G25" t="s">
        <v>176</v>
      </c>
      <c r="H25" t="s">
        <v>26</v>
      </c>
      <c r="I25">
        <v>28310.613691574901</v>
      </c>
      <c r="J25">
        <v>28310.613691574901</v>
      </c>
      <c r="K25">
        <v>0</v>
      </c>
      <c r="L25">
        <v>3.781005859375</v>
      </c>
      <c r="M25" t="s">
        <v>75</v>
      </c>
      <c r="N25">
        <v>132</v>
      </c>
      <c r="P25">
        <v>2</v>
      </c>
      <c r="Q25">
        <v>0.5</v>
      </c>
      <c r="R25">
        <v>100</v>
      </c>
      <c r="S25">
        <v>50</v>
      </c>
      <c r="T25">
        <v>0</v>
      </c>
      <c r="U25">
        <v>2</v>
      </c>
      <c r="V25" s="1" t="s">
        <v>28</v>
      </c>
      <c r="W25">
        <v>0.05</v>
      </c>
      <c r="X25">
        <v>6000</v>
      </c>
      <c r="Y25">
        <v>12690</v>
      </c>
      <c r="Z25">
        <v>7408</v>
      </c>
      <c r="AA25">
        <v>2212.6136915750199</v>
      </c>
      <c r="AB25">
        <v>-1</v>
      </c>
      <c r="AC25">
        <v>-1</v>
      </c>
      <c r="AD25">
        <v>-1</v>
      </c>
    </row>
    <row r="26" spans="1:30" x14ac:dyDescent="0.25">
      <c r="A26" t="s">
        <v>76</v>
      </c>
      <c r="B26" t="str" cm="1">
        <f t="array" ref="B26:F26">_xlfn.TEXTSPLIT(A26,"_")</f>
        <v>MVPRP</v>
      </c>
      <c r="C26" t="str">
        <v>C35</v>
      </c>
      <c r="D26" t="str">
        <v>P3</v>
      </c>
      <c r="E26" t="str">
        <v>V3</v>
      </c>
      <c r="F26" t="str">
        <v>I1</v>
      </c>
      <c r="G26" t="s">
        <v>176</v>
      </c>
      <c r="H26" t="s">
        <v>26</v>
      </c>
      <c r="I26">
        <v>33620.6139623454</v>
      </c>
      <c r="J26">
        <v>33617.773898749001</v>
      </c>
      <c r="K26">
        <v>8.4473876639703296E-5</v>
      </c>
      <c r="L26">
        <v>190.56372189521801</v>
      </c>
      <c r="M26" t="s">
        <v>77</v>
      </c>
      <c r="N26">
        <v>276</v>
      </c>
      <c r="P26">
        <v>2</v>
      </c>
      <c r="Q26">
        <v>0.5</v>
      </c>
      <c r="R26">
        <v>100</v>
      </c>
      <c r="S26">
        <v>50</v>
      </c>
      <c r="T26">
        <v>0</v>
      </c>
      <c r="U26">
        <v>2</v>
      </c>
      <c r="V26" s="1" t="s">
        <v>28</v>
      </c>
      <c r="W26">
        <v>0.05</v>
      </c>
      <c r="X26">
        <v>3000</v>
      </c>
      <c r="Y26">
        <v>21600</v>
      </c>
      <c r="Z26">
        <v>6341</v>
      </c>
      <c r="AA26">
        <v>2679.6139623455401</v>
      </c>
      <c r="AB26">
        <v>-1</v>
      </c>
      <c r="AC26">
        <v>-1</v>
      </c>
      <c r="AD26">
        <v>-1</v>
      </c>
    </row>
    <row r="27" spans="1:30" x14ac:dyDescent="0.25">
      <c r="A27" t="s">
        <v>78</v>
      </c>
      <c r="B27" t="str" cm="1">
        <f t="array" ref="B27:F27">_xlfn.TEXTSPLIT(A27,"_")</f>
        <v>MVPRP</v>
      </c>
      <c r="C27" t="str">
        <v>C10</v>
      </c>
      <c r="D27" t="str">
        <v>P6</v>
      </c>
      <c r="E27" t="str">
        <v>V3</v>
      </c>
      <c r="F27" t="str">
        <v>I3</v>
      </c>
      <c r="G27" t="s">
        <v>176</v>
      </c>
      <c r="H27" t="s">
        <v>26</v>
      </c>
      <c r="I27">
        <v>34839.347178387397</v>
      </c>
      <c r="J27">
        <v>34839.347178387397</v>
      </c>
      <c r="K27">
        <v>0</v>
      </c>
      <c r="L27">
        <v>4.9504723548889196</v>
      </c>
      <c r="M27" t="s">
        <v>79</v>
      </c>
      <c r="N27">
        <v>132</v>
      </c>
      <c r="P27">
        <v>2</v>
      </c>
      <c r="Q27">
        <v>0.5</v>
      </c>
      <c r="R27">
        <v>100</v>
      </c>
      <c r="S27">
        <v>50</v>
      </c>
      <c r="T27">
        <v>0</v>
      </c>
      <c r="U27">
        <v>2</v>
      </c>
      <c r="V27" s="1" t="s">
        <v>28</v>
      </c>
      <c r="W27">
        <v>0.05</v>
      </c>
      <c r="X27">
        <v>6000</v>
      </c>
      <c r="Y27">
        <v>12690</v>
      </c>
      <c r="Z27">
        <v>8493</v>
      </c>
      <c r="AA27">
        <v>7656.3471783874602</v>
      </c>
      <c r="AB27">
        <v>-1</v>
      </c>
      <c r="AC27">
        <v>-1</v>
      </c>
      <c r="AD27">
        <v>-1</v>
      </c>
    </row>
    <row r="28" spans="1:30" x14ac:dyDescent="0.25">
      <c r="A28" t="s">
        <v>80</v>
      </c>
      <c r="B28" t="str" cm="1">
        <f t="array" ref="B28:F28">_xlfn.TEXTSPLIT(A28,"_")</f>
        <v>MVPRP</v>
      </c>
      <c r="C28" t="str">
        <v>C50</v>
      </c>
      <c r="D28" t="str">
        <v>P3</v>
      </c>
      <c r="E28" t="str">
        <v>V3</v>
      </c>
      <c r="F28" t="str">
        <v>I1</v>
      </c>
      <c r="G28" t="s">
        <v>176</v>
      </c>
      <c r="H28" t="s">
        <v>26</v>
      </c>
      <c r="I28">
        <v>43823.382013082301</v>
      </c>
      <c r="J28">
        <v>43823.353462368701</v>
      </c>
      <c r="K28">
        <v>6.5149498415973902E-7</v>
      </c>
      <c r="L28">
        <v>498.25829482078598</v>
      </c>
      <c r="M28" t="s">
        <v>81</v>
      </c>
      <c r="N28">
        <v>360</v>
      </c>
      <c r="P28">
        <v>2</v>
      </c>
      <c r="Q28">
        <v>0.5</v>
      </c>
      <c r="R28">
        <v>100</v>
      </c>
      <c r="S28">
        <v>50</v>
      </c>
      <c r="T28">
        <v>0</v>
      </c>
      <c r="U28">
        <v>2</v>
      </c>
      <c r="V28" s="1" t="s">
        <v>28</v>
      </c>
      <c r="W28">
        <v>0.05</v>
      </c>
      <c r="X28">
        <v>6000</v>
      </c>
      <c r="Y28">
        <v>29580</v>
      </c>
      <c r="Z28">
        <v>4586</v>
      </c>
      <c r="AA28">
        <v>3657.3820130863201</v>
      </c>
      <c r="AB28">
        <v>-1</v>
      </c>
      <c r="AC28">
        <v>-1</v>
      </c>
      <c r="AD28">
        <v>-1</v>
      </c>
    </row>
    <row r="29" spans="1:30" x14ac:dyDescent="0.25">
      <c r="A29" t="s">
        <v>82</v>
      </c>
      <c r="B29" t="str" cm="1">
        <f t="array" ref="B29:F29">_xlfn.TEXTSPLIT(A29,"_")</f>
        <v>MVPRP</v>
      </c>
      <c r="C29" t="str">
        <v>C30</v>
      </c>
      <c r="D29" t="str">
        <v>P6</v>
      </c>
      <c r="E29" t="str">
        <v>V3</v>
      </c>
      <c r="F29" t="str">
        <v>I1</v>
      </c>
      <c r="G29" t="s">
        <v>176</v>
      </c>
      <c r="H29" t="s">
        <v>26</v>
      </c>
      <c r="I29">
        <v>58486.329670089297</v>
      </c>
      <c r="J29">
        <v>58482.0909604966</v>
      </c>
      <c r="K29">
        <v>7.2473509907007699E-5</v>
      </c>
      <c r="L29">
        <v>628.48309421539295</v>
      </c>
      <c r="M29" t="s">
        <v>83</v>
      </c>
      <c r="N29">
        <v>228</v>
      </c>
      <c r="P29">
        <v>2</v>
      </c>
      <c r="Q29">
        <v>0.5</v>
      </c>
      <c r="R29">
        <v>100</v>
      </c>
      <c r="S29">
        <v>50</v>
      </c>
      <c r="T29">
        <v>0</v>
      </c>
      <c r="U29">
        <v>2</v>
      </c>
      <c r="V29" s="1" t="s">
        <v>28</v>
      </c>
      <c r="W29">
        <v>0.05</v>
      </c>
      <c r="X29">
        <v>6000</v>
      </c>
      <c r="Y29">
        <v>33150</v>
      </c>
      <c r="Z29">
        <v>15612.0000029576</v>
      </c>
      <c r="AA29">
        <v>3724.3296671317898</v>
      </c>
      <c r="AB29">
        <v>-1</v>
      </c>
      <c r="AC29">
        <v>-1</v>
      </c>
      <c r="AD29">
        <v>-1</v>
      </c>
    </row>
    <row r="30" spans="1:30" x14ac:dyDescent="0.25">
      <c r="A30" t="s">
        <v>84</v>
      </c>
      <c r="B30" t="str" cm="1">
        <f t="array" ref="B30:F30">_xlfn.TEXTSPLIT(A30,"_")</f>
        <v>MVPRP</v>
      </c>
      <c r="C30" t="str">
        <v>C25</v>
      </c>
      <c r="D30" t="str">
        <v>P9</v>
      </c>
      <c r="E30" t="str">
        <v>V3</v>
      </c>
      <c r="F30" t="str">
        <v>I1</v>
      </c>
      <c r="G30" t="s">
        <v>176</v>
      </c>
      <c r="H30" t="s">
        <v>26</v>
      </c>
      <c r="I30">
        <v>95664.295049533001</v>
      </c>
      <c r="J30">
        <v>95654.819448160095</v>
      </c>
      <c r="K30">
        <v>9.9050553479134305E-5</v>
      </c>
      <c r="L30">
        <v>1795.2350549697901</v>
      </c>
      <c r="M30" t="s">
        <v>85</v>
      </c>
      <c r="N30">
        <v>189</v>
      </c>
      <c r="P30">
        <v>2</v>
      </c>
      <c r="Q30">
        <v>0.5</v>
      </c>
      <c r="R30">
        <v>100</v>
      </c>
      <c r="S30">
        <v>50</v>
      </c>
      <c r="T30">
        <v>0</v>
      </c>
      <c r="U30">
        <v>2</v>
      </c>
      <c r="V30" s="1" t="s">
        <v>28</v>
      </c>
      <c r="W30">
        <v>0.05</v>
      </c>
      <c r="X30">
        <v>9000</v>
      </c>
      <c r="Y30">
        <v>59880</v>
      </c>
      <c r="Z30">
        <v>19204</v>
      </c>
      <c r="AA30">
        <v>7580.2950495329897</v>
      </c>
      <c r="AB30">
        <v>-1</v>
      </c>
      <c r="AC30">
        <v>-1</v>
      </c>
      <c r="AD30">
        <v>-1</v>
      </c>
    </row>
    <row r="31" spans="1:30" x14ac:dyDescent="0.25">
      <c r="A31" t="s">
        <v>86</v>
      </c>
      <c r="B31" t="str" cm="1">
        <f t="array" ref="B31:F31">_xlfn.TEXTSPLIT(A31,"_")</f>
        <v>MVPRP</v>
      </c>
      <c r="C31" t="str">
        <v>C25</v>
      </c>
      <c r="D31" t="str">
        <v>P3</v>
      </c>
      <c r="E31" t="str">
        <v>V3</v>
      </c>
      <c r="F31" t="str">
        <v>I3</v>
      </c>
      <c r="G31" t="s">
        <v>176</v>
      </c>
      <c r="H31" t="s">
        <v>26</v>
      </c>
      <c r="I31">
        <v>31340.3992646923</v>
      </c>
      <c r="J31">
        <v>31340.3992646923</v>
      </c>
      <c r="K31">
        <v>0</v>
      </c>
      <c r="L31">
        <v>27.796728372573899</v>
      </c>
      <c r="M31" t="s">
        <v>87</v>
      </c>
      <c r="N31">
        <v>189</v>
      </c>
      <c r="P31">
        <v>2</v>
      </c>
      <c r="Q31">
        <v>0.5</v>
      </c>
      <c r="R31">
        <v>100</v>
      </c>
      <c r="S31">
        <v>50</v>
      </c>
      <c r="T31">
        <v>0</v>
      </c>
      <c r="U31">
        <v>2</v>
      </c>
      <c r="V31" s="1" t="s">
        <v>28</v>
      </c>
      <c r="W31">
        <v>0.05</v>
      </c>
      <c r="X31">
        <v>3000</v>
      </c>
      <c r="Y31">
        <v>14340</v>
      </c>
      <c r="Z31">
        <v>6083</v>
      </c>
      <c r="AA31">
        <v>7917.3992646921997</v>
      </c>
      <c r="AB31">
        <v>-1</v>
      </c>
      <c r="AC31">
        <v>-1</v>
      </c>
      <c r="AD31">
        <v>-1</v>
      </c>
    </row>
    <row r="32" spans="1:30" x14ac:dyDescent="0.25">
      <c r="A32" t="s">
        <v>88</v>
      </c>
      <c r="B32" t="str" cm="1">
        <f t="array" ref="B32:F32">_xlfn.TEXTSPLIT(A32,"_")</f>
        <v>MVPRP</v>
      </c>
      <c r="C32" t="str">
        <v>C15</v>
      </c>
      <c r="D32" t="str">
        <v>P6</v>
      </c>
      <c r="E32" t="str">
        <v>V3</v>
      </c>
      <c r="F32" t="str">
        <v>I1</v>
      </c>
      <c r="G32" t="s">
        <v>176</v>
      </c>
      <c r="H32" t="s">
        <v>26</v>
      </c>
      <c r="I32">
        <v>39870.507457640299</v>
      </c>
      <c r="J32">
        <v>39866.7900447266</v>
      </c>
      <c r="K32">
        <v>9.3237160768489804E-5</v>
      </c>
      <c r="L32">
        <v>57.2211880683899</v>
      </c>
      <c r="M32" t="s">
        <v>89</v>
      </c>
      <c r="N32">
        <v>132</v>
      </c>
      <c r="P32">
        <v>2</v>
      </c>
      <c r="Q32">
        <v>0.5</v>
      </c>
      <c r="R32">
        <v>100</v>
      </c>
      <c r="S32">
        <v>50</v>
      </c>
      <c r="T32">
        <v>0</v>
      </c>
      <c r="U32">
        <v>2</v>
      </c>
      <c r="V32" s="1" t="s">
        <v>28</v>
      </c>
      <c r="W32">
        <v>0.05</v>
      </c>
      <c r="X32">
        <v>6000</v>
      </c>
      <c r="Y32">
        <v>19800</v>
      </c>
      <c r="Z32">
        <v>10256</v>
      </c>
      <c r="AA32">
        <v>3814.5074576403399</v>
      </c>
      <c r="AB32">
        <v>-1</v>
      </c>
      <c r="AC32">
        <v>-1</v>
      </c>
      <c r="AD32">
        <v>-1</v>
      </c>
    </row>
    <row r="33" spans="1:34" x14ac:dyDescent="0.25">
      <c r="A33" t="s">
        <v>90</v>
      </c>
      <c r="B33" t="str" cm="1">
        <f t="array" ref="B33:F33">_xlfn.TEXTSPLIT(A33,"_")</f>
        <v>MVPRP</v>
      </c>
      <c r="C33" t="str">
        <v>C15</v>
      </c>
      <c r="D33" t="str">
        <v>P3</v>
      </c>
      <c r="E33" t="str">
        <v>V3</v>
      </c>
      <c r="F33" t="str">
        <v>I1</v>
      </c>
      <c r="G33" t="s">
        <v>176</v>
      </c>
      <c r="H33" t="s">
        <v>26</v>
      </c>
      <c r="I33">
        <v>18327.171586345099</v>
      </c>
      <c r="J33">
        <v>18327.171586345099</v>
      </c>
      <c r="K33">
        <v>0</v>
      </c>
      <c r="L33">
        <v>5.0224914550781303</v>
      </c>
      <c r="M33" t="s">
        <v>91</v>
      </c>
      <c r="N33">
        <v>132</v>
      </c>
      <c r="P33">
        <v>2</v>
      </c>
      <c r="Q33">
        <v>0.5</v>
      </c>
      <c r="R33">
        <v>100</v>
      </c>
      <c r="S33">
        <v>50</v>
      </c>
      <c r="T33">
        <v>0</v>
      </c>
      <c r="U33">
        <v>2</v>
      </c>
      <c r="V33" s="1" t="s">
        <v>28</v>
      </c>
      <c r="W33">
        <v>0.05</v>
      </c>
      <c r="X33">
        <v>3000</v>
      </c>
      <c r="Y33">
        <v>9960</v>
      </c>
      <c r="Z33">
        <v>3581</v>
      </c>
      <c r="AA33">
        <v>1786.1715863450599</v>
      </c>
      <c r="AB33">
        <v>-1</v>
      </c>
      <c r="AC33">
        <v>-1</v>
      </c>
      <c r="AD33">
        <v>-1</v>
      </c>
    </row>
    <row r="34" spans="1:34" x14ac:dyDescent="0.25">
      <c r="A34" t="s">
        <v>92</v>
      </c>
      <c r="B34" t="str" cm="1">
        <f t="array" ref="B34:F34">_xlfn.TEXTSPLIT(A34,"_")</f>
        <v>MVPRP</v>
      </c>
      <c r="C34" t="str">
        <v>C20</v>
      </c>
      <c r="D34" t="str">
        <v>P6</v>
      </c>
      <c r="E34" t="str">
        <v>V3</v>
      </c>
      <c r="F34" t="str">
        <v>I3</v>
      </c>
      <c r="G34" t="s">
        <v>176</v>
      </c>
      <c r="H34" t="s">
        <v>26</v>
      </c>
      <c r="I34">
        <v>56027.588948340199</v>
      </c>
      <c r="J34">
        <v>56027.588948340199</v>
      </c>
      <c r="K34">
        <v>0</v>
      </c>
      <c r="L34">
        <v>306.39131999015802</v>
      </c>
      <c r="M34" t="s">
        <v>93</v>
      </c>
      <c r="N34">
        <v>189</v>
      </c>
      <c r="P34">
        <v>2</v>
      </c>
      <c r="Q34">
        <v>0.5</v>
      </c>
      <c r="R34">
        <v>100</v>
      </c>
      <c r="S34">
        <v>50</v>
      </c>
      <c r="T34">
        <v>0</v>
      </c>
      <c r="U34">
        <v>2</v>
      </c>
      <c r="V34" s="1" t="s">
        <v>28</v>
      </c>
      <c r="W34">
        <v>0.05</v>
      </c>
      <c r="X34">
        <v>6000</v>
      </c>
      <c r="Y34">
        <v>23820</v>
      </c>
      <c r="Z34">
        <v>14713</v>
      </c>
      <c r="AA34">
        <v>11494.588948340201</v>
      </c>
      <c r="AB34">
        <v>-1</v>
      </c>
      <c r="AC34">
        <v>-1</v>
      </c>
      <c r="AD34">
        <v>-1</v>
      </c>
    </row>
    <row r="35" spans="1:34" x14ac:dyDescent="0.25">
      <c r="A35" t="s">
        <v>94</v>
      </c>
      <c r="B35" t="str" cm="1">
        <f t="array" ref="B35:F35">_xlfn.TEXTSPLIT(A35,"_")</f>
        <v>MVPRP</v>
      </c>
      <c r="C35" t="str">
        <v>C20</v>
      </c>
      <c r="D35" t="str">
        <v>P9</v>
      </c>
      <c r="E35" t="str">
        <v>V3</v>
      </c>
      <c r="F35" t="str">
        <v>I3</v>
      </c>
      <c r="G35" t="s">
        <v>176</v>
      </c>
      <c r="H35" t="s">
        <v>30</v>
      </c>
      <c r="I35">
        <v>98936.597148238798</v>
      </c>
      <c r="J35">
        <v>97086.117010916496</v>
      </c>
      <c r="K35">
        <v>1.8703697020725499E-2</v>
      </c>
      <c r="L35">
        <v>3600.0946800708798</v>
      </c>
      <c r="M35" t="s">
        <v>95</v>
      </c>
      <c r="N35">
        <v>189</v>
      </c>
      <c r="P35">
        <v>2</v>
      </c>
      <c r="Q35">
        <v>0.5</v>
      </c>
      <c r="R35">
        <v>100</v>
      </c>
      <c r="S35">
        <v>50</v>
      </c>
      <c r="T35">
        <v>0</v>
      </c>
      <c r="U35">
        <v>2</v>
      </c>
      <c r="V35" s="1" t="s">
        <v>28</v>
      </c>
      <c r="W35">
        <v>0.05</v>
      </c>
      <c r="X35">
        <v>9000</v>
      </c>
      <c r="Y35">
        <v>48120</v>
      </c>
      <c r="Z35">
        <v>20915</v>
      </c>
      <c r="AA35">
        <v>20901.597148238699</v>
      </c>
      <c r="AB35">
        <v>-1</v>
      </c>
      <c r="AC35">
        <v>-1</v>
      </c>
      <c r="AD35">
        <v>-1</v>
      </c>
    </row>
    <row r="36" spans="1:34" x14ac:dyDescent="0.25">
      <c r="A36" t="s">
        <v>96</v>
      </c>
      <c r="B36" t="str" cm="1">
        <f t="array" ref="B36:F36">_xlfn.TEXTSPLIT(A36,"_")</f>
        <v>MVPRP</v>
      </c>
      <c r="C36" t="str">
        <v>C40</v>
      </c>
      <c r="D36" t="str">
        <v>P6</v>
      </c>
      <c r="E36" t="str">
        <v>V3</v>
      </c>
      <c r="F36" t="str">
        <v>I3</v>
      </c>
      <c r="G36" t="s">
        <v>176</v>
      </c>
      <c r="H36" t="s">
        <v>30</v>
      </c>
      <c r="I36">
        <v>109303.178046271</v>
      </c>
      <c r="J36">
        <v>107005.447960007</v>
      </c>
      <c r="K36">
        <v>2.10216219448944E-2</v>
      </c>
      <c r="L36">
        <v>3600.1291399002098</v>
      </c>
      <c r="M36" t="s">
        <v>97</v>
      </c>
      <c r="N36">
        <v>360</v>
      </c>
      <c r="P36">
        <v>2</v>
      </c>
      <c r="Q36">
        <v>0.5</v>
      </c>
      <c r="R36">
        <v>100</v>
      </c>
      <c r="S36">
        <v>50</v>
      </c>
      <c r="T36">
        <v>0</v>
      </c>
      <c r="U36">
        <v>2</v>
      </c>
      <c r="V36" s="1" t="s">
        <v>28</v>
      </c>
      <c r="W36">
        <v>0.05</v>
      </c>
      <c r="X36">
        <v>6000</v>
      </c>
      <c r="Y36">
        <v>55170</v>
      </c>
      <c r="Z36">
        <v>27975</v>
      </c>
      <c r="AA36">
        <v>20158.178046271001</v>
      </c>
      <c r="AB36">
        <v>-1</v>
      </c>
      <c r="AC36">
        <v>-1</v>
      </c>
      <c r="AD36">
        <v>-1</v>
      </c>
    </row>
    <row r="37" spans="1:34" x14ac:dyDescent="0.25">
      <c r="A37" t="s">
        <v>98</v>
      </c>
      <c r="B37" t="str" cm="1">
        <f t="array" ref="B37:F37">_xlfn.TEXTSPLIT(A37,"_")</f>
        <v>MVPRP</v>
      </c>
      <c r="C37" t="str">
        <v>C20</v>
      </c>
      <c r="D37" t="str">
        <v>P9</v>
      </c>
      <c r="E37" t="str">
        <v>V3</v>
      </c>
      <c r="F37" t="str">
        <v>I1</v>
      </c>
      <c r="G37" t="s">
        <v>176</v>
      </c>
      <c r="H37" t="s">
        <v>26</v>
      </c>
      <c r="I37">
        <v>78181.978681211694</v>
      </c>
      <c r="J37">
        <v>78181.978681211694</v>
      </c>
      <c r="K37">
        <v>0</v>
      </c>
      <c r="L37">
        <v>168.85927939415001</v>
      </c>
      <c r="M37" t="s">
        <v>99</v>
      </c>
      <c r="N37">
        <v>189</v>
      </c>
      <c r="P37">
        <v>2</v>
      </c>
      <c r="Q37">
        <v>0.5</v>
      </c>
      <c r="R37">
        <v>100</v>
      </c>
      <c r="S37">
        <v>50</v>
      </c>
      <c r="T37">
        <v>0</v>
      </c>
      <c r="U37">
        <v>2</v>
      </c>
      <c r="V37" s="1" t="s">
        <v>28</v>
      </c>
      <c r="W37">
        <v>0.05</v>
      </c>
      <c r="X37">
        <v>9000</v>
      </c>
      <c r="Y37">
        <v>48120</v>
      </c>
      <c r="Z37">
        <v>15062</v>
      </c>
      <c r="AA37">
        <v>5999.9786812116999</v>
      </c>
      <c r="AB37">
        <v>-1</v>
      </c>
      <c r="AC37">
        <v>-1</v>
      </c>
      <c r="AD37">
        <v>-1</v>
      </c>
    </row>
    <row r="38" spans="1:34" x14ac:dyDescent="0.25">
      <c r="A38" t="s">
        <v>100</v>
      </c>
      <c r="B38" t="str" cm="1">
        <f t="array" ref="B38:F38">_xlfn.TEXTSPLIT(A38,"_")</f>
        <v>MVPRP</v>
      </c>
      <c r="C38" t="str">
        <v>C15</v>
      </c>
      <c r="D38" t="str">
        <v>P9</v>
      </c>
      <c r="E38" t="str">
        <v>V3</v>
      </c>
      <c r="F38" t="str">
        <v>I3</v>
      </c>
      <c r="G38" t="s">
        <v>176</v>
      </c>
      <c r="H38" t="s">
        <v>30</v>
      </c>
      <c r="I38">
        <v>92408.284140776203</v>
      </c>
      <c r="J38">
        <v>87666.412706197094</v>
      </c>
      <c r="K38">
        <v>5.1314354320823201E-2</v>
      </c>
      <c r="L38">
        <v>3600.0904128551501</v>
      </c>
      <c r="M38" t="s">
        <v>101</v>
      </c>
      <c r="N38">
        <v>132</v>
      </c>
      <c r="P38">
        <v>2</v>
      </c>
      <c r="Q38">
        <v>0.5</v>
      </c>
      <c r="R38">
        <v>100</v>
      </c>
      <c r="S38">
        <v>50</v>
      </c>
      <c r="T38">
        <v>0</v>
      </c>
      <c r="U38">
        <v>2</v>
      </c>
      <c r="V38" s="1" t="s">
        <v>28</v>
      </c>
      <c r="W38">
        <v>0.05</v>
      </c>
      <c r="X38">
        <v>9000.0003701808491</v>
      </c>
      <c r="Y38">
        <v>40950</v>
      </c>
      <c r="Z38">
        <v>20876.998955999999</v>
      </c>
      <c r="AA38">
        <v>21581.284814595401</v>
      </c>
      <c r="AB38">
        <v>-1</v>
      </c>
      <c r="AC38">
        <v>-1</v>
      </c>
      <c r="AD38">
        <v>-1</v>
      </c>
    </row>
    <row r="39" spans="1:34" x14ac:dyDescent="0.25">
      <c r="A39" t="s">
        <v>102</v>
      </c>
      <c r="B39" t="str" cm="1">
        <f t="array" ref="B39:F39">_xlfn.TEXTSPLIT(A39,"_")</f>
        <v>MVPRP</v>
      </c>
      <c r="C39" t="str">
        <v>C30</v>
      </c>
      <c r="D39" t="str">
        <v>P9</v>
      </c>
      <c r="E39" t="str">
        <v>V3</v>
      </c>
      <c r="F39" t="str">
        <v>I1</v>
      </c>
      <c r="G39" t="s">
        <v>176</v>
      </c>
      <c r="H39" t="s">
        <v>30</v>
      </c>
      <c r="I39">
        <v>104459.89430034799</v>
      </c>
      <c r="J39">
        <v>104043.301515139</v>
      </c>
      <c r="K39">
        <v>3.9880643954279702E-3</v>
      </c>
      <c r="L39">
        <v>3600.0950207710298</v>
      </c>
      <c r="M39" t="s">
        <v>103</v>
      </c>
      <c r="N39">
        <v>228</v>
      </c>
      <c r="P39">
        <v>2</v>
      </c>
      <c r="Q39">
        <v>0.5</v>
      </c>
      <c r="R39">
        <v>100</v>
      </c>
      <c r="S39">
        <v>50</v>
      </c>
      <c r="T39">
        <v>0</v>
      </c>
      <c r="U39">
        <v>2</v>
      </c>
      <c r="V39" s="1" t="s">
        <v>28</v>
      </c>
      <c r="W39">
        <v>0.05</v>
      </c>
      <c r="X39">
        <v>12000</v>
      </c>
      <c r="Y39">
        <v>67710</v>
      </c>
      <c r="Z39">
        <v>16479</v>
      </c>
      <c r="AA39">
        <v>8270.8943003483691</v>
      </c>
      <c r="AB39">
        <v>-1</v>
      </c>
      <c r="AC39">
        <v>-1</v>
      </c>
      <c r="AD39">
        <v>-1</v>
      </c>
    </row>
    <row r="40" spans="1:34" x14ac:dyDescent="0.25">
      <c r="A40" t="s">
        <v>104</v>
      </c>
      <c r="B40" t="str" cm="1">
        <f t="array" ref="B40:F40">_xlfn.TEXTSPLIT(A40,"_")</f>
        <v>MVPRP</v>
      </c>
      <c r="C40" t="str">
        <v>C10</v>
      </c>
      <c r="D40" t="str">
        <v>P9</v>
      </c>
      <c r="E40" t="str">
        <v>V3</v>
      </c>
      <c r="F40" t="str">
        <v>I1</v>
      </c>
      <c r="G40" t="s">
        <v>176</v>
      </c>
      <c r="H40" t="s">
        <v>26</v>
      </c>
      <c r="I40">
        <v>48769.624497487697</v>
      </c>
      <c r="J40">
        <v>48769.624497487697</v>
      </c>
      <c r="K40">
        <v>0</v>
      </c>
      <c r="L40">
        <v>14.7140622138977</v>
      </c>
      <c r="M40" t="s">
        <v>105</v>
      </c>
      <c r="N40">
        <v>132</v>
      </c>
      <c r="P40">
        <v>2</v>
      </c>
      <c r="Q40">
        <v>0.5</v>
      </c>
      <c r="R40">
        <v>100</v>
      </c>
      <c r="S40">
        <v>50</v>
      </c>
      <c r="T40">
        <v>0</v>
      </c>
      <c r="U40">
        <v>2</v>
      </c>
      <c r="V40" s="1" t="s">
        <v>28</v>
      </c>
      <c r="W40">
        <v>0.05</v>
      </c>
      <c r="X40">
        <v>9000</v>
      </c>
      <c r="Y40">
        <v>26370</v>
      </c>
      <c r="Z40">
        <v>9066.0000763355401</v>
      </c>
      <c r="AA40">
        <v>4333.6244211521898</v>
      </c>
      <c r="AB40">
        <v>-1</v>
      </c>
      <c r="AC40">
        <v>-1</v>
      </c>
      <c r="AD40">
        <v>-1</v>
      </c>
    </row>
    <row r="41" spans="1:34" x14ac:dyDescent="0.25">
      <c r="A41" t="s">
        <v>106</v>
      </c>
      <c r="B41" t="str" cm="1">
        <f t="array" ref="B41:F41">_xlfn.TEXTSPLIT(A41,"_")</f>
        <v>MVPRP</v>
      </c>
      <c r="C41" t="str">
        <v>C30</v>
      </c>
      <c r="D41" t="str">
        <v>P3</v>
      </c>
      <c r="E41" t="str">
        <v>V3</v>
      </c>
      <c r="F41" t="str">
        <v>I1</v>
      </c>
      <c r="G41" t="s">
        <v>176</v>
      </c>
      <c r="H41" t="s">
        <v>26</v>
      </c>
      <c r="I41">
        <v>27264.275367252099</v>
      </c>
      <c r="J41">
        <v>27264.275367252099</v>
      </c>
      <c r="K41">
        <v>0</v>
      </c>
      <c r="L41">
        <v>178.18308544158899</v>
      </c>
      <c r="M41" t="s">
        <v>107</v>
      </c>
      <c r="N41">
        <v>228</v>
      </c>
      <c r="P41">
        <v>2</v>
      </c>
      <c r="Q41">
        <v>0.5</v>
      </c>
      <c r="R41">
        <v>100</v>
      </c>
      <c r="S41">
        <v>50</v>
      </c>
      <c r="T41">
        <v>0</v>
      </c>
      <c r="U41">
        <v>2</v>
      </c>
      <c r="V41" s="1" t="s">
        <v>28</v>
      </c>
      <c r="W41">
        <v>0.05</v>
      </c>
      <c r="X41">
        <v>3000</v>
      </c>
      <c r="Y41">
        <v>16680</v>
      </c>
      <c r="Z41">
        <v>5477</v>
      </c>
      <c r="AA41">
        <v>2107.2753672520998</v>
      </c>
      <c r="AB41">
        <v>-1</v>
      </c>
      <c r="AC41">
        <v>-1</v>
      </c>
      <c r="AD41">
        <v>-1</v>
      </c>
    </row>
    <row r="42" spans="1:34" x14ac:dyDescent="0.25">
      <c r="A42" t="s">
        <v>108</v>
      </c>
      <c r="B42" t="str" cm="1">
        <f t="array" ref="B42:F42">_xlfn.TEXTSPLIT(A42,"_")</f>
        <v>MVPRP</v>
      </c>
      <c r="C42" t="str">
        <v>C10</v>
      </c>
      <c r="D42" t="str">
        <v>P9</v>
      </c>
      <c r="E42" t="str">
        <v>V3</v>
      </c>
      <c r="F42" t="str">
        <v>I3</v>
      </c>
      <c r="G42" t="s">
        <v>176</v>
      </c>
      <c r="H42" t="s">
        <v>26</v>
      </c>
      <c r="I42">
        <v>61593.951320038199</v>
      </c>
      <c r="J42">
        <v>61593.951320038199</v>
      </c>
      <c r="K42">
        <v>0</v>
      </c>
      <c r="L42">
        <v>118.246260643005</v>
      </c>
      <c r="M42" t="s">
        <v>109</v>
      </c>
      <c r="N42">
        <v>132</v>
      </c>
      <c r="P42">
        <v>2</v>
      </c>
      <c r="Q42">
        <v>0.5</v>
      </c>
      <c r="R42">
        <v>100</v>
      </c>
      <c r="S42">
        <v>50</v>
      </c>
      <c r="T42">
        <v>0</v>
      </c>
      <c r="U42">
        <v>2</v>
      </c>
      <c r="V42" s="1" t="s">
        <v>28</v>
      </c>
      <c r="W42">
        <v>0.05</v>
      </c>
      <c r="X42">
        <v>9000</v>
      </c>
      <c r="Y42">
        <v>26370</v>
      </c>
      <c r="Z42">
        <v>14133</v>
      </c>
      <c r="AA42">
        <v>12090.951320038201</v>
      </c>
      <c r="AB42">
        <v>-1</v>
      </c>
      <c r="AC42">
        <v>-1</v>
      </c>
      <c r="AD42">
        <v>-1</v>
      </c>
    </row>
    <row r="43" spans="1:34" x14ac:dyDescent="0.25">
      <c r="A43" t="s">
        <v>110</v>
      </c>
      <c r="B43" t="str" cm="1">
        <f t="array" ref="B43:F43">_xlfn.TEXTSPLIT(A43,"_")</f>
        <v>MVPRP</v>
      </c>
      <c r="C43" t="str">
        <v>C25</v>
      </c>
      <c r="D43" t="str">
        <v>P9</v>
      </c>
      <c r="E43" t="str">
        <v>V3</v>
      </c>
      <c r="F43" t="str">
        <v>I3</v>
      </c>
      <c r="G43" t="s">
        <v>176</v>
      </c>
      <c r="H43" t="s">
        <v>30</v>
      </c>
      <c r="I43">
        <v>121927.695490802</v>
      </c>
      <c r="J43">
        <v>116243.58755247301</v>
      </c>
      <c r="K43">
        <v>4.6618677696220703E-2</v>
      </c>
      <c r="L43">
        <v>3600.0403726100899</v>
      </c>
      <c r="M43" t="s">
        <v>111</v>
      </c>
      <c r="N43">
        <v>189</v>
      </c>
      <c r="P43">
        <v>2</v>
      </c>
      <c r="Q43">
        <v>0.5</v>
      </c>
      <c r="R43">
        <v>100</v>
      </c>
      <c r="S43">
        <v>50</v>
      </c>
      <c r="T43">
        <v>0</v>
      </c>
      <c r="U43">
        <v>2</v>
      </c>
      <c r="V43" s="1" t="s">
        <v>28</v>
      </c>
      <c r="W43">
        <v>0.05</v>
      </c>
      <c r="X43">
        <v>12000</v>
      </c>
      <c r="Y43">
        <v>59880</v>
      </c>
      <c r="Z43">
        <v>23270</v>
      </c>
      <c r="AA43">
        <v>26777.695490801601</v>
      </c>
      <c r="AB43">
        <v>-1</v>
      </c>
      <c r="AC43">
        <v>-1</v>
      </c>
      <c r="AD43">
        <v>-1</v>
      </c>
    </row>
    <row r="44" spans="1:34" x14ac:dyDescent="0.25">
      <c r="A44" t="s">
        <v>24</v>
      </c>
      <c r="B44" t="str" cm="1">
        <f t="array" ref="B44:F44">_xlfn.TEXTSPLIT(A44,"_")</f>
        <v>MVPRP</v>
      </c>
      <c r="C44" t="str">
        <v>C15</v>
      </c>
      <c r="D44" t="str">
        <v>P3</v>
      </c>
      <c r="E44" t="str">
        <v>V3</v>
      </c>
      <c r="F44" t="str">
        <v>I3</v>
      </c>
      <c r="G44" t="s">
        <v>117</v>
      </c>
      <c r="H44" t="s">
        <v>26</v>
      </c>
      <c r="I44">
        <v>30676</v>
      </c>
      <c r="J44">
        <v>30676</v>
      </c>
      <c r="K44">
        <v>0</v>
      </c>
      <c r="L44">
        <v>23.045698881149299</v>
      </c>
      <c r="M44" t="s">
        <v>118</v>
      </c>
      <c r="N44">
        <v>132</v>
      </c>
      <c r="P44">
        <v>2</v>
      </c>
      <c r="Q44">
        <v>0.5</v>
      </c>
      <c r="R44">
        <v>100</v>
      </c>
      <c r="S44">
        <v>50</v>
      </c>
      <c r="T44">
        <v>0</v>
      </c>
      <c r="U44">
        <v>1</v>
      </c>
      <c r="V44" s="1" t="s">
        <v>119</v>
      </c>
      <c r="W44">
        <v>0</v>
      </c>
      <c r="X44">
        <v>3000</v>
      </c>
      <c r="Y44">
        <v>9960</v>
      </c>
      <c r="Z44">
        <v>4874</v>
      </c>
      <c r="AA44">
        <v>12842</v>
      </c>
      <c r="AB44">
        <v>0</v>
      </c>
      <c r="AC44">
        <v>0</v>
      </c>
      <c r="AD44">
        <v>0</v>
      </c>
      <c r="AE44">
        <v>187</v>
      </c>
      <c r="AF44">
        <v>0</v>
      </c>
      <c r="AG44">
        <v>25</v>
      </c>
      <c r="AH44">
        <v>0</v>
      </c>
    </row>
    <row r="45" spans="1:34" x14ac:dyDescent="0.25">
      <c r="A45" t="s">
        <v>29</v>
      </c>
      <c r="B45" t="str" cm="1">
        <f t="array" ref="B45:F45">_xlfn.TEXTSPLIT(A45,"_")</f>
        <v>MVPRP</v>
      </c>
      <c r="C45" t="str">
        <v>C30</v>
      </c>
      <c r="D45" t="str">
        <v>P9</v>
      </c>
      <c r="E45" t="str">
        <v>V3</v>
      </c>
      <c r="F45" t="str">
        <v>I3</v>
      </c>
      <c r="G45" t="s">
        <v>117</v>
      </c>
      <c r="H45" t="s">
        <v>30</v>
      </c>
      <c r="I45">
        <v>154135</v>
      </c>
      <c r="J45">
        <v>146428.66490523101</v>
      </c>
      <c r="K45">
        <v>4.9997308169909799E-2</v>
      </c>
      <c r="L45">
        <v>3600.0424265861502</v>
      </c>
      <c r="M45" t="s">
        <v>118</v>
      </c>
      <c r="N45">
        <v>228</v>
      </c>
      <c r="P45">
        <v>2</v>
      </c>
      <c r="Q45">
        <v>0.5</v>
      </c>
      <c r="R45">
        <v>100</v>
      </c>
      <c r="S45">
        <v>50</v>
      </c>
      <c r="T45">
        <v>0</v>
      </c>
      <c r="U45">
        <v>1</v>
      </c>
      <c r="V45" s="1" t="s">
        <v>119</v>
      </c>
      <c r="W45">
        <v>0</v>
      </c>
      <c r="X45">
        <v>12000</v>
      </c>
      <c r="Y45">
        <v>67710</v>
      </c>
      <c r="Z45">
        <v>24957</v>
      </c>
      <c r="AA45">
        <v>49468</v>
      </c>
      <c r="AB45">
        <v>0</v>
      </c>
      <c r="AC45">
        <v>0</v>
      </c>
      <c r="AD45">
        <v>0</v>
      </c>
      <c r="AE45">
        <v>3719</v>
      </c>
      <c r="AF45">
        <v>0</v>
      </c>
      <c r="AG45">
        <v>382</v>
      </c>
      <c r="AH45">
        <v>0</v>
      </c>
    </row>
    <row r="46" spans="1:34" x14ac:dyDescent="0.25">
      <c r="A46" t="s">
        <v>34</v>
      </c>
      <c r="B46" t="str" cm="1">
        <f t="array" ref="B46:F46">_xlfn.TEXTSPLIT(A46,"_")</f>
        <v>MVPRP</v>
      </c>
      <c r="C46" t="str">
        <v>C40</v>
      </c>
      <c r="D46" t="str">
        <v>P3</v>
      </c>
      <c r="E46" t="str">
        <v>V3</v>
      </c>
      <c r="F46" t="str">
        <v>I3</v>
      </c>
      <c r="G46" t="s">
        <v>117</v>
      </c>
      <c r="H46" t="s">
        <v>26</v>
      </c>
      <c r="I46">
        <v>61830</v>
      </c>
      <c r="J46">
        <v>61827.609761093801</v>
      </c>
      <c r="K46">
        <v>3.8658238819792197E-5</v>
      </c>
      <c r="L46">
        <v>2714.9084372520401</v>
      </c>
      <c r="M46" t="s">
        <v>118</v>
      </c>
      <c r="N46">
        <v>360</v>
      </c>
      <c r="P46">
        <v>2</v>
      </c>
      <c r="Q46">
        <v>0.5</v>
      </c>
      <c r="R46">
        <v>100</v>
      </c>
      <c r="S46">
        <v>50</v>
      </c>
      <c r="T46">
        <v>0</v>
      </c>
      <c r="U46">
        <v>1</v>
      </c>
      <c r="V46" s="1" t="s">
        <v>119</v>
      </c>
      <c r="W46">
        <v>0</v>
      </c>
      <c r="X46">
        <v>3000</v>
      </c>
      <c r="Y46">
        <v>27660</v>
      </c>
      <c r="Z46">
        <v>12624</v>
      </c>
      <c r="AA46">
        <v>18546</v>
      </c>
      <c r="AB46">
        <v>0</v>
      </c>
      <c r="AC46">
        <v>0</v>
      </c>
      <c r="AD46">
        <v>0</v>
      </c>
      <c r="AE46">
        <v>925</v>
      </c>
      <c r="AF46">
        <v>0</v>
      </c>
      <c r="AG46">
        <v>122</v>
      </c>
      <c r="AH46">
        <v>0</v>
      </c>
    </row>
    <row r="47" spans="1:34" x14ac:dyDescent="0.25">
      <c r="A47" t="s">
        <v>42</v>
      </c>
      <c r="B47" t="str" cm="1">
        <f t="array" ref="B47:F47">_xlfn.TEXTSPLIT(A47,"_")</f>
        <v>MVPRP</v>
      </c>
      <c r="C47" t="str">
        <v>C45</v>
      </c>
      <c r="D47" t="str">
        <v>P3</v>
      </c>
      <c r="E47" t="str">
        <v>V3</v>
      </c>
      <c r="F47" t="str">
        <v>I3</v>
      </c>
      <c r="G47" t="s">
        <v>117</v>
      </c>
      <c r="H47" t="s">
        <v>26</v>
      </c>
      <c r="I47">
        <v>70029</v>
      </c>
      <c r="J47">
        <v>70029</v>
      </c>
      <c r="K47">
        <v>0</v>
      </c>
      <c r="L47">
        <v>1626.2620828151701</v>
      </c>
      <c r="M47" t="s">
        <v>118</v>
      </c>
      <c r="N47">
        <v>360</v>
      </c>
      <c r="P47">
        <v>2</v>
      </c>
      <c r="Q47">
        <v>0.5</v>
      </c>
      <c r="R47">
        <v>100</v>
      </c>
      <c r="S47">
        <v>50</v>
      </c>
      <c r="T47">
        <v>0</v>
      </c>
      <c r="U47">
        <v>1</v>
      </c>
      <c r="V47" s="1" t="s">
        <v>119</v>
      </c>
      <c r="W47">
        <v>0</v>
      </c>
      <c r="X47">
        <v>3000</v>
      </c>
      <c r="Y47">
        <v>33060</v>
      </c>
      <c r="Z47">
        <v>14204</v>
      </c>
      <c r="AA47">
        <v>19765</v>
      </c>
      <c r="AB47">
        <v>0</v>
      </c>
      <c r="AC47">
        <v>0</v>
      </c>
      <c r="AD47">
        <v>0</v>
      </c>
      <c r="AE47">
        <v>708</v>
      </c>
      <c r="AF47">
        <v>0</v>
      </c>
      <c r="AG47">
        <v>107</v>
      </c>
      <c r="AH47">
        <v>0</v>
      </c>
    </row>
    <row r="48" spans="1:34" x14ac:dyDescent="0.25">
      <c r="A48" t="s">
        <v>46</v>
      </c>
      <c r="B48" t="str" cm="1">
        <f t="array" ref="B48:F48">_xlfn.TEXTSPLIT(A48,"_")</f>
        <v>MVPRP</v>
      </c>
      <c r="C48" t="str">
        <v>C35</v>
      </c>
      <c r="D48" t="str">
        <v>P3</v>
      </c>
      <c r="E48" t="str">
        <v>V3</v>
      </c>
      <c r="F48" t="str">
        <v>I3</v>
      </c>
      <c r="G48" t="s">
        <v>117</v>
      </c>
      <c r="H48" t="s">
        <v>26</v>
      </c>
      <c r="I48">
        <v>49960</v>
      </c>
      <c r="J48">
        <v>49958.861801242201</v>
      </c>
      <c r="K48">
        <v>2.2782200915835899E-5</v>
      </c>
      <c r="L48">
        <v>111.026981592178</v>
      </c>
      <c r="M48" t="s">
        <v>118</v>
      </c>
      <c r="N48">
        <v>276</v>
      </c>
      <c r="P48">
        <v>2</v>
      </c>
      <c r="Q48">
        <v>0.5</v>
      </c>
      <c r="R48">
        <v>100</v>
      </c>
      <c r="S48">
        <v>50</v>
      </c>
      <c r="T48">
        <v>0</v>
      </c>
      <c r="U48">
        <v>1</v>
      </c>
      <c r="V48" s="1" t="s">
        <v>119</v>
      </c>
      <c r="W48">
        <v>0</v>
      </c>
      <c r="X48">
        <v>3000</v>
      </c>
      <c r="Y48">
        <v>21600</v>
      </c>
      <c r="Z48">
        <v>8870</v>
      </c>
      <c r="AA48">
        <v>16490</v>
      </c>
      <c r="AB48">
        <v>0</v>
      </c>
      <c r="AC48">
        <v>0</v>
      </c>
      <c r="AD48">
        <v>0</v>
      </c>
      <c r="AE48">
        <v>271</v>
      </c>
      <c r="AF48">
        <v>0</v>
      </c>
      <c r="AG48">
        <v>73</v>
      </c>
      <c r="AH48">
        <v>0</v>
      </c>
    </row>
    <row r="49" spans="1:34" x14ac:dyDescent="0.25">
      <c r="A49" t="s">
        <v>50</v>
      </c>
      <c r="B49" t="str" cm="1">
        <f t="array" ref="B49:F49">_xlfn.TEXTSPLIT(A49,"_")</f>
        <v>MVPRP</v>
      </c>
      <c r="C49" t="str">
        <v>C10</v>
      </c>
      <c r="D49" t="str">
        <v>P3</v>
      </c>
      <c r="E49" t="str">
        <v>V3</v>
      </c>
      <c r="F49" t="str">
        <v>I3</v>
      </c>
      <c r="G49" t="s">
        <v>117</v>
      </c>
      <c r="H49" t="s">
        <v>26</v>
      </c>
      <c r="I49">
        <v>20750</v>
      </c>
      <c r="J49">
        <v>20750</v>
      </c>
      <c r="K49">
        <v>0</v>
      </c>
      <c r="L49">
        <v>1.7461397647857699</v>
      </c>
      <c r="M49" t="s">
        <v>118</v>
      </c>
      <c r="N49">
        <v>132</v>
      </c>
      <c r="P49">
        <v>2</v>
      </c>
      <c r="Q49">
        <v>0.5</v>
      </c>
      <c r="R49">
        <v>100</v>
      </c>
      <c r="S49">
        <v>50</v>
      </c>
      <c r="T49">
        <v>0</v>
      </c>
      <c r="U49">
        <v>1</v>
      </c>
      <c r="V49" s="1" t="s">
        <v>119</v>
      </c>
      <c r="W49">
        <v>0</v>
      </c>
      <c r="X49">
        <v>3000</v>
      </c>
      <c r="Y49">
        <v>6390</v>
      </c>
      <c r="Z49">
        <v>3082</v>
      </c>
      <c r="AA49">
        <v>8278</v>
      </c>
      <c r="AB49">
        <v>0</v>
      </c>
      <c r="AC49">
        <v>0</v>
      </c>
      <c r="AD49">
        <v>0</v>
      </c>
      <c r="AE49">
        <v>25</v>
      </c>
      <c r="AF49">
        <v>0</v>
      </c>
      <c r="AG49">
        <v>3</v>
      </c>
      <c r="AH49">
        <v>0</v>
      </c>
    </row>
    <row r="50" spans="1:34" x14ac:dyDescent="0.25">
      <c r="A50" t="s">
        <v>52</v>
      </c>
      <c r="B50" t="str" cm="1">
        <f t="array" ref="B50:F50">_xlfn.TEXTSPLIT(A50,"_")</f>
        <v>MVPRP</v>
      </c>
      <c r="C50" t="str">
        <v>C30</v>
      </c>
      <c r="D50" t="str">
        <v>P3</v>
      </c>
      <c r="E50" t="str">
        <v>V3</v>
      </c>
      <c r="F50" t="str">
        <v>I3</v>
      </c>
      <c r="G50" t="s">
        <v>117</v>
      </c>
      <c r="H50" t="s">
        <v>26</v>
      </c>
      <c r="I50">
        <v>41464</v>
      </c>
      <c r="J50">
        <v>41464</v>
      </c>
      <c r="K50">
        <v>0</v>
      </c>
      <c r="L50">
        <v>12.4477450847626</v>
      </c>
      <c r="M50" t="s">
        <v>118</v>
      </c>
      <c r="N50">
        <v>228</v>
      </c>
      <c r="P50">
        <v>2</v>
      </c>
      <c r="Q50">
        <v>0.5</v>
      </c>
      <c r="R50">
        <v>100</v>
      </c>
      <c r="S50">
        <v>50</v>
      </c>
      <c r="T50">
        <v>0</v>
      </c>
      <c r="U50">
        <v>1</v>
      </c>
      <c r="V50" s="1" t="s">
        <v>119</v>
      </c>
      <c r="W50">
        <v>0</v>
      </c>
      <c r="X50">
        <v>3000</v>
      </c>
      <c r="Y50">
        <v>16680</v>
      </c>
      <c r="Z50">
        <v>6562</v>
      </c>
      <c r="AA50">
        <v>15222</v>
      </c>
      <c r="AB50">
        <v>0</v>
      </c>
      <c r="AC50">
        <v>0</v>
      </c>
      <c r="AD50">
        <v>0</v>
      </c>
      <c r="AE50">
        <v>276</v>
      </c>
      <c r="AF50">
        <v>0</v>
      </c>
      <c r="AG50">
        <v>37</v>
      </c>
      <c r="AH50">
        <v>0</v>
      </c>
    </row>
    <row r="51" spans="1:34" x14ac:dyDescent="0.25">
      <c r="A51" t="s">
        <v>54</v>
      </c>
      <c r="B51" t="str" cm="1">
        <f t="array" ref="B51:F51">_xlfn.TEXTSPLIT(A51,"_")</f>
        <v>MVPRP</v>
      </c>
      <c r="C51" t="str">
        <v>C20</v>
      </c>
      <c r="D51" t="str">
        <v>P3</v>
      </c>
      <c r="E51" t="str">
        <v>V3</v>
      </c>
      <c r="F51" t="str">
        <v>I3</v>
      </c>
      <c r="G51" t="s">
        <v>117</v>
      </c>
      <c r="H51" t="s">
        <v>26</v>
      </c>
      <c r="I51">
        <v>33151</v>
      </c>
      <c r="J51">
        <v>33151</v>
      </c>
      <c r="K51">
        <v>0</v>
      </c>
      <c r="L51">
        <v>16.105900287628199</v>
      </c>
      <c r="M51" t="s">
        <v>118</v>
      </c>
      <c r="N51">
        <v>189</v>
      </c>
      <c r="P51">
        <v>2</v>
      </c>
      <c r="Q51">
        <v>0.5</v>
      </c>
      <c r="R51">
        <v>100</v>
      </c>
      <c r="S51">
        <v>50</v>
      </c>
      <c r="T51">
        <v>0</v>
      </c>
      <c r="U51">
        <v>1</v>
      </c>
      <c r="V51" s="1" t="s">
        <v>119</v>
      </c>
      <c r="W51">
        <v>0</v>
      </c>
      <c r="X51">
        <v>3000</v>
      </c>
      <c r="Y51">
        <v>12030</v>
      </c>
      <c r="Z51">
        <v>5961</v>
      </c>
      <c r="AA51">
        <v>12160</v>
      </c>
      <c r="AB51">
        <v>0</v>
      </c>
      <c r="AC51">
        <v>0</v>
      </c>
      <c r="AD51">
        <v>0</v>
      </c>
      <c r="AE51">
        <v>133</v>
      </c>
      <c r="AF51">
        <v>0</v>
      </c>
      <c r="AG51">
        <v>19</v>
      </c>
      <c r="AH51">
        <v>0</v>
      </c>
    </row>
    <row r="52" spans="1:34" x14ac:dyDescent="0.25">
      <c r="A52" t="s">
        <v>56</v>
      </c>
      <c r="B52" t="str" cm="1">
        <f t="array" ref="B52:F52">_xlfn.TEXTSPLIT(A52,"_")</f>
        <v>MVPRP</v>
      </c>
      <c r="C52" t="str">
        <v>C35</v>
      </c>
      <c r="D52" t="str">
        <v>P6</v>
      </c>
      <c r="E52" t="str">
        <v>V3</v>
      </c>
      <c r="F52" t="str">
        <v>I3</v>
      </c>
      <c r="G52" t="s">
        <v>117</v>
      </c>
      <c r="H52" t="s">
        <v>30</v>
      </c>
      <c r="I52">
        <v>99886</v>
      </c>
      <c r="J52">
        <v>98851.925147300106</v>
      </c>
      <c r="K52">
        <v>1.03525504344943E-2</v>
      </c>
      <c r="L52">
        <v>3601.8449048995999</v>
      </c>
      <c r="M52" t="s">
        <v>118</v>
      </c>
      <c r="N52">
        <v>276</v>
      </c>
      <c r="P52">
        <v>2</v>
      </c>
      <c r="Q52">
        <v>0.5</v>
      </c>
      <c r="R52">
        <v>100</v>
      </c>
      <c r="S52">
        <v>50</v>
      </c>
      <c r="T52">
        <v>0</v>
      </c>
      <c r="U52">
        <v>1</v>
      </c>
      <c r="V52" s="1" t="s">
        <v>119</v>
      </c>
      <c r="W52">
        <v>0</v>
      </c>
      <c r="X52">
        <v>6000</v>
      </c>
      <c r="Y52">
        <v>42900</v>
      </c>
      <c r="Z52">
        <v>22352</v>
      </c>
      <c r="AA52">
        <v>28634</v>
      </c>
      <c r="AB52">
        <v>0</v>
      </c>
      <c r="AC52">
        <v>0</v>
      </c>
      <c r="AD52">
        <v>0</v>
      </c>
      <c r="AE52">
        <v>1326</v>
      </c>
      <c r="AF52">
        <v>0</v>
      </c>
      <c r="AG52">
        <v>221</v>
      </c>
      <c r="AH52">
        <v>0</v>
      </c>
    </row>
    <row r="53" spans="1:34" x14ac:dyDescent="0.25">
      <c r="A53" t="s">
        <v>58</v>
      </c>
      <c r="B53" t="str" cm="1">
        <f t="array" ref="B53:F53">_xlfn.TEXTSPLIT(A53,"_")</f>
        <v>MVPRP</v>
      </c>
      <c r="C53" t="str">
        <v>C25</v>
      </c>
      <c r="D53" t="str">
        <v>P6</v>
      </c>
      <c r="E53" t="str">
        <v>V3</v>
      </c>
      <c r="F53" t="str">
        <v>I3</v>
      </c>
      <c r="G53" t="s">
        <v>117</v>
      </c>
      <c r="H53" t="s">
        <v>30</v>
      </c>
      <c r="I53">
        <v>76711.999283793804</v>
      </c>
      <c r="J53">
        <v>76416.527816995702</v>
      </c>
      <c r="K53">
        <v>3.8516981639992801E-3</v>
      </c>
      <c r="L53">
        <v>3600.0264861583701</v>
      </c>
      <c r="M53" t="s">
        <v>118</v>
      </c>
      <c r="N53">
        <v>189</v>
      </c>
      <c r="P53">
        <v>2</v>
      </c>
      <c r="Q53">
        <v>0.5</v>
      </c>
      <c r="R53">
        <v>100</v>
      </c>
      <c r="S53">
        <v>50</v>
      </c>
      <c r="T53">
        <v>0</v>
      </c>
      <c r="U53">
        <v>1</v>
      </c>
      <c r="V53" s="1" t="s">
        <v>119</v>
      </c>
      <c r="W53">
        <v>0</v>
      </c>
      <c r="X53">
        <v>6000</v>
      </c>
      <c r="Y53">
        <v>28379.999999990301</v>
      </c>
      <c r="Z53">
        <v>19686.999970307599</v>
      </c>
      <c r="AA53">
        <v>22644.9993134959</v>
      </c>
      <c r="AB53">
        <v>0</v>
      </c>
      <c r="AC53">
        <v>0</v>
      </c>
      <c r="AD53">
        <v>0</v>
      </c>
      <c r="AE53">
        <v>1021</v>
      </c>
      <c r="AF53">
        <v>0</v>
      </c>
      <c r="AG53">
        <v>91</v>
      </c>
      <c r="AH53">
        <v>0</v>
      </c>
    </row>
    <row r="54" spans="1:34" x14ac:dyDescent="0.25">
      <c r="A54" t="s">
        <v>60</v>
      </c>
      <c r="B54" t="str" cm="1">
        <f t="array" ref="B54:F54">_xlfn.TEXTSPLIT(A54,"_")</f>
        <v>MVPRP</v>
      </c>
      <c r="C54" t="str">
        <v>C15</v>
      </c>
      <c r="D54" t="str">
        <v>P6</v>
      </c>
      <c r="E54" t="str">
        <v>V3</v>
      </c>
      <c r="F54" t="str">
        <v>I3</v>
      </c>
      <c r="G54" t="s">
        <v>117</v>
      </c>
      <c r="H54" t="s">
        <v>26</v>
      </c>
      <c r="I54">
        <v>60686.999585325299</v>
      </c>
      <c r="J54">
        <v>60686.999585325299</v>
      </c>
      <c r="K54">
        <v>0</v>
      </c>
      <c r="L54">
        <v>867.94262433052097</v>
      </c>
      <c r="M54" t="s">
        <v>118</v>
      </c>
      <c r="N54">
        <v>132</v>
      </c>
      <c r="P54">
        <v>2</v>
      </c>
      <c r="Q54">
        <v>0.5</v>
      </c>
      <c r="R54">
        <v>100</v>
      </c>
      <c r="S54">
        <v>50</v>
      </c>
      <c r="T54">
        <v>0</v>
      </c>
      <c r="U54">
        <v>1</v>
      </c>
      <c r="V54" s="1" t="s">
        <v>119</v>
      </c>
      <c r="W54">
        <v>0</v>
      </c>
      <c r="X54">
        <v>6000</v>
      </c>
      <c r="Y54">
        <v>19800</v>
      </c>
      <c r="Z54">
        <v>12042.0007707271</v>
      </c>
      <c r="AA54">
        <v>22844.998812239399</v>
      </c>
      <c r="AB54">
        <v>0</v>
      </c>
      <c r="AC54">
        <v>0</v>
      </c>
      <c r="AD54">
        <v>0</v>
      </c>
      <c r="AE54">
        <v>604</v>
      </c>
      <c r="AF54">
        <v>0</v>
      </c>
      <c r="AG54">
        <v>26</v>
      </c>
      <c r="AH54">
        <v>0</v>
      </c>
    </row>
    <row r="55" spans="1:34" x14ac:dyDescent="0.25">
      <c r="A55" t="s">
        <v>62</v>
      </c>
      <c r="B55" t="str" cm="1">
        <f t="array" ref="B55:F55">_xlfn.TEXTSPLIT(A55,"_")</f>
        <v>MVPRP</v>
      </c>
      <c r="C55" t="str">
        <v>C50</v>
      </c>
      <c r="D55" t="str">
        <v>P3</v>
      </c>
      <c r="E55" t="str">
        <v>V3</v>
      </c>
      <c r="F55" t="str">
        <v>I3</v>
      </c>
      <c r="G55" t="s">
        <v>117</v>
      </c>
      <c r="H55" t="s">
        <v>30</v>
      </c>
      <c r="I55">
        <v>65560</v>
      </c>
      <c r="J55">
        <v>65319.653853376803</v>
      </c>
      <c r="K55">
        <v>3.6660486062108301E-3</v>
      </c>
      <c r="L55">
        <v>3602.6810309886901</v>
      </c>
      <c r="M55" t="s">
        <v>118</v>
      </c>
      <c r="N55">
        <v>360</v>
      </c>
      <c r="P55">
        <v>2</v>
      </c>
      <c r="Q55">
        <v>0.5</v>
      </c>
      <c r="R55">
        <v>100</v>
      </c>
      <c r="S55">
        <v>50</v>
      </c>
      <c r="T55">
        <v>0</v>
      </c>
      <c r="U55">
        <v>1</v>
      </c>
      <c r="V55" s="1" t="s">
        <v>119</v>
      </c>
      <c r="W55">
        <v>0</v>
      </c>
      <c r="X55">
        <v>3000</v>
      </c>
      <c r="Y55">
        <v>29580</v>
      </c>
      <c r="Z55">
        <v>12059</v>
      </c>
      <c r="AA55">
        <v>20921</v>
      </c>
      <c r="AB55">
        <v>0</v>
      </c>
      <c r="AC55">
        <v>0</v>
      </c>
      <c r="AD55">
        <v>0</v>
      </c>
      <c r="AE55">
        <v>1523</v>
      </c>
      <c r="AF55">
        <v>0</v>
      </c>
      <c r="AG55">
        <v>171</v>
      </c>
      <c r="AH55">
        <v>0</v>
      </c>
    </row>
    <row r="56" spans="1:34" x14ac:dyDescent="0.25">
      <c r="A56" t="s">
        <v>64</v>
      </c>
      <c r="B56" t="str" cm="1">
        <f t="array" ref="B56:F56">_xlfn.TEXTSPLIT(A56,"_")</f>
        <v>MVPRP</v>
      </c>
      <c r="C56" t="str">
        <v>C30</v>
      </c>
      <c r="D56" t="str">
        <v>P6</v>
      </c>
      <c r="E56" t="str">
        <v>V3</v>
      </c>
      <c r="F56" t="str">
        <v>I3</v>
      </c>
      <c r="G56" t="s">
        <v>117</v>
      </c>
      <c r="H56" t="s">
        <v>30</v>
      </c>
      <c r="I56">
        <v>82749</v>
      </c>
      <c r="J56">
        <v>82465.450241958504</v>
      </c>
      <c r="K56">
        <v>3.4266245881103001E-3</v>
      </c>
      <c r="L56">
        <v>3600.7795357704199</v>
      </c>
      <c r="M56" t="s">
        <v>118</v>
      </c>
      <c r="N56">
        <v>228</v>
      </c>
      <c r="P56">
        <v>2</v>
      </c>
      <c r="Q56">
        <v>0.5</v>
      </c>
      <c r="R56">
        <v>100</v>
      </c>
      <c r="S56">
        <v>50</v>
      </c>
      <c r="T56">
        <v>0</v>
      </c>
      <c r="U56">
        <v>1</v>
      </c>
      <c r="V56" s="1" t="s">
        <v>119</v>
      </c>
      <c r="W56">
        <v>0</v>
      </c>
      <c r="X56">
        <v>6000</v>
      </c>
      <c r="Y56">
        <v>33150</v>
      </c>
      <c r="Z56">
        <v>17740</v>
      </c>
      <c r="AA56">
        <v>25859</v>
      </c>
      <c r="AB56">
        <v>0</v>
      </c>
      <c r="AC56">
        <v>0</v>
      </c>
      <c r="AD56">
        <v>0</v>
      </c>
      <c r="AE56">
        <v>1316</v>
      </c>
      <c r="AF56">
        <v>0</v>
      </c>
      <c r="AG56">
        <v>130</v>
      </c>
      <c r="AH56">
        <v>0</v>
      </c>
    </row>
    <row r="57" spans="1:34" x14ac:dyDescent="0.25">
      <c r="A57" t="s">
        <v>78</v>
      </c>
      <c r="B57" t="str" cm="1">
        <f t="array" ref="B57:F57">_xlfn.TEXTSPLIT(A57,"_")</f>
        <v>MVPRP</v>
      </c>
      <c r="C57" t="str">
        <v>C10</v>
      </c>
      <c r="D57" t="str">
        <v>P6</v>
      </c>
      <c r="E57" t="str">
        <v>V3</v>
      </c>
      <c r="F57" t="str">
        <v>I3</v>
      </c>
      <c r="G57" t="s">
        <v>117</v>
      </c>
      <c r="H57" t="s">
        <v>26</v>
      </c>
      <c r="I57">
        <v>42067.999985979397</v>
      </c>
      <c r="J57">
        <v>42067.999985979397</v>
      </c>
      <c r="K57">
        <v>0</v>
      </c>
      <c r="L57">
        <v>11.096104145050001</v>
      </c>
      <c r="M57" t="s">
        <v>118</v>
      </c>
      <c r="N57">
        <v>132</v>
      </c>
      <c r="P57">
        <v>2</v>
      </c>
      <c r="Q57">
        <v>0.5</v>
      </c>
      <c r="R57">
        <v>100</v>
      </c>
      <c r="S57">
        <v>50</v>
      </c>
      <c r="T57">
        <v>0</v>
      </c>
      <c r="U57">
        <v>1</v>
      </c>
      <c r="V57" s="1" t="s">
        <v>119</v>
      </c>
      <c r="W57">
        <v>0</v>
      </c>
      <c r="X57">
        <v>6000</v>
      </c>
      <c r="Y57">
        <v>12690</v>
      </c>
      <c r="Z57">
        <v>8493</v>
      </c>
      <c r="AA57">
        <v>14884.999985979401</v>
      </c>
      <c r="AB57">
        <v>0</v>
      </c>
      <c r="AC57">
        <v>0</v>
      </c>
      <c r="AD57">
        <v>0</v>
      </c>
      <c r="AE57">
        <v>96</v>
      </c>
      <c r="AF57">
        <v>0</v>
      </c>
      <c r="AG57">
        <v>12</v>
      </c>
      <c r="AH57">
        <v>0</v>
      </c>
    </row>
    <row r="58" spans="1:34" x14ac:dyDescent="0.25">
      <c r="A58" t="s">
        <v>86</v>
      </c>
      <c r="B58" t="str" cm="1">
        <f t="array" ref="B58:F58">_xlfn.TEXTSPLIT(A58,"_")</f>
        <v>MVPRP</v>
      </c>
      <c r="C58" t="str">
        <v>C25</v>
      </c>
      <c r="D58" t="str">
        <v>P3</v>
      </c>
      <c r="E58" t="str">
        <v>V3</v>
      </c>
      <c r="F58" t="str">
        <v>I3</v>
      </c>
      <c r="G58" t="s">
        <v>117</v>
      </c>
      <c r="H58" t="s">
        <v>26</v>
      </c>
      <c r="I58">
        <v>38054</v>
      </c>
      <c r="J58">
        <v>38054</v>
      </c>
      <c r="K58">
        <v>0</v>
      </c>
      <c r="L58">
        <v>28.681736707687399</v>
      </c>
      <c r="M58" t="s">
        <v>118</v>
      </c>
      <c r="N58">
        <v>189</v>
      </c>
      <c r="P58">
        <v>2</v>
      </c>
      <c r="Q58">
        <v>0.5</v>
      </c>
      <c r="R58">
        <v>100</v>
      </c>
      <c r="S58">
        <v>50</v>
      </c>
      <c r="T58">
        <v>0</v>
      </c>
      <c r="U58">
        <v>1</v>
      </c>
      <c r="V58" s="1" t="s">
        <v>119</v>
      </c>
      <c r="W58">
        <v>0</v>
      </c>
      <c r="X58">
        <v>3000</v>
      </c>
      <c r="Y58">
        <v>14340</v>
      </c>
      <c r="Z58">
        <v>7653</v>
      </c>
      <c r="AA58">
        <v>13061</v>
      </c>
      <c r="AB58">
        <v>0</v>
      </c>
      <c r="AC58">
        <v>0</v>
      </c>
      <c r="AD58">
        <v>0</v>
      </c>
      <c r="AE58">
        <v>183</v>
      </c>
      <c r="AF58">
        <v>0</v>
      </c>
      <c r="AG58">
        <v>39</v>
      </c>
      <c r="AH58">
        <v>0</v>
      </c>
    </row>
    <row r="59" spans="1:34" x14ac:dyDescent="0.25">
      <c r="A59" t="s">
        <v>92</v>
      </c>
      <c r="B59" t="str" cm="1">
        <f t="array" ref="B59:F59">_xlfn.TEXTSPLIT(A59,"_")</f>
        <v>MVPRP</v>
      </c>
      <c r="C59" t="str">
        <v>C20</v>
      </c>
      <c r="D59" t="str">
        <v>P6</v>
      </c>
      <c r="E59" t="str">
        <v>V3</v>
      </c>
      <c r="F59" t="str">
        <v>I3</v>
      </c>
      <c r="G59" t="s">
        <v>117</v>
      </c>
      <c r="H59" t="s">
        <v>26</v>
      </c>
      <c r="I59">
        <v>66288.999920291695</v>
      </c>
      <c r="J59">
        <v>66288.999920291695</v>
      </c>
      <c r="K59">
        <v>0</v>
      </c>
      <c r="L59">
        <v>2472.0361132621802</v>
      </c>
      <c r="M59" t="s">
        <v>118</v>
      </c>
      <c r="N59">
        <v>189</v>
      </c>
      <c r="P59">
        <v>2</v>
      </c>
      <c r="Q59">
        <v>0.5</v>
      </c>
      <c r="R59">
        <v>100</v>
      </c>
      <c r="S59">
        <v>50</v>
      </c>
      <c r="T59">
        <v>0</v>
      </c>
      <c r="U59">
        <v>1</v>
      </c>
      <c r="V59" s="1" t="s">
        <v>119</v>
      </c>
      <c r="W59">
        <v>0</v>
      </c>
      <c r="X59">
        <v>6000</v>
      </c>
      <c r="Y59">
        <v>23819.999967546901</v>
      </c>
      <c r="Z59">
        <v>15462.9999525648</v>
      </c>
      <c r="AA59">
        <v>21006</v>
      </c>
      <c r="AB59">
        <v>0</v>
      </c>
      <c r="AC59">
        <v>0</v>
      </c>
      <c r="AD59">
        <v>0</v>
      </c>
      <c r="AE59">
        <v>901</v>
      </c>
      <c r="AF59">
        <v>0</v>
      </c>
      <c r="AG59">
        <v>56</v>
      </c>
      <c r="AH59">
        <v>0</v>
      </c>
    </row>
    <row r="60" spans="1:34" x14ac:dyDescent="0.25">
      <c r="A60" t="s">
        <v>94</v>
      </c>
      <c r="B60" t="str" cm="1">
        <f t="array" ref="B60:F60">_xlfn.TEXTSPLIT(A60,"_")</f>
        <v>MVPRP</v>
      </c>
      <c r="C60" t="str">
        <v>C20</v>
      </c>
      <c r="D60" t="str">
        <v>P9</v>
      </c>
      <c r="E60" t="str">
        <v>V3</v>
      </c>
      <c r="F60" t="str">
        <v>I3</v>
      </c>
      <c r="G60" t="s">
        <v>117</v>
      </c>
      <c r="H60" t="s">
        <v>30</v>
      </c>
      <c r="I60">
        <v>116181.999595663</v>
      </c>
      <c r="J60">
        <v>115809.362405917</v>
      </c>
      <c r="K60">
        <v>3.2073573448852099E-3</v>
      </c>
      <c r="L60">
        <v>3600.1263711452498</v>
      </c>
      <c r="M60" t="s">
        <v>118</v>
      </c>
      <c r="N60">
        <v>189</v>
      </c>
      <c r="P60">
        <v>2</v>
      </c>
      <c r="Q60">
        <v>0.5</v>
      </c>
      <c r="R60">
        <v>100</v>
      </c>
      <c r="S60">
        <v>50</v>
      </c>
      <c r="T60">
        <v>0</v>
      </c>
      <c r="U60">
        <v>1</v>
      </c>
      <c r="V60" s="1" t="s">
        <v>119</v>
      </c>
      <c r="W60">
        <v>0</v>
      </c>
      <c r="X60">
        <v>9000</v>
      </c>
      <c r="Y60">
        <v>48119.9997550021</v>
      </c>
      <c r="Z60">
        <v>21360.9998407245</v>
      </c>
      <c r="AA60">
        <v>37701</v>
      </c>
      <c r="AB60">
        <v>0</v>
      </c>
      <c r="AC60">
        <v>0</v>
      </c>
      <c r="AD60">
        <v>0</v>
      </c>
      <c r="AE60">
        <v>1115</v>
      </c>
      <c r="AF60">
        <v>0</v>
      </c>
      <c r="AG60">
        <v>77</v>
      </c>
      <c r="AH60">
        <v>0</v>
      </c>
    </row>
    <row r="61" spans="1:34" x14ac:dyDescent="0.25">
      <c r="A61" t="s">
        <v>96</v>
      </c>
      <c r="B61" t="str" cm="1">
        <f t="array" ref="B61:F61">_xlfn.TEXTSPLIT(A61,"_")</f>
        <v>MVPRP</v>
      </c>
      <c r="C61" t="str">
        <v>C40</v>
      </c>
      <c r="D61" t="str">
        <v>P6</v>
      </c>
      <c r="E61" t="str">
        <v>V3</v>
      </c>
      <c r="F61" t="str">
        <v>I3</v>
      </c>
      <c r="G61" t="s">
        <v>117</v>
      </c>
      <c r="H61" t="s">
        <v>30</v>
      </c>
      <c r="I61">
        <v>126608</v>
      </c>
      <c r="J61">
        <v>121582.536354082</v>
      </c>
      <c r="K61">
        <v>3.9693097165408898E-2</v>
      </c>
      <c r="L61">
        <v>3605.21713376045</v>
      </c>
      <c r="M61" t="s">
        <v>118</v>
      </c>
      <c r="N61">
        <v>360</v>
      </c>
      <c r="P61">
        <v>2</v>
      </c>
      <c r="Q61">
        <v>0.5</v>
      </c>
      <c r="R61">
        <v>100</v>
      </c>
      <c r="S61">
        <v>50</v>
      </c>
      <c r="T61">
        <v>0</v>
      </c>
      <c r="U61">
        <v>1</v>
      </c>
      <c r="V61" s="1" t="s">
        <v>119</v>
      </c>
      <c r="W61">
        <v>0</v>
      </c>
      <c r="X61">
        <v>6000</v>
      </c>
      <c r="Y61">
        <v>55170</v>
      </c>
      <c r="Z61">
        <v>30041</v>
      </c>
      <c r="AA61">
        <v>35397</v>
      </c>
      <c r="AB61">
        <v>0</v>
      </c>
      <c r="AC61">
        <v>0</v>
      </c>
      <c r="AD61">
        <v>0</v>
      </c>
      <c r="AE61">
        <v>2057</v>
      </c>
      <c r="AF61">
        <v>0</v>
      </c>
      <c r="AG61">
        <v>789</v>
      </c>
      <c r="AH61">
        <v>0</v>
      </c>
    </row>
    <row r="62" spans="1:34" x14ac:dyDescent="0.25">
      <c r="A62" t="s">
        <v>100</v>
      </c>
      <c r="B62" t="str" cm="1">
        <f t="array" ref="B62:F62">_xlfn.TEXTSPLIT(A62,"_")</f>
        <v>MVPRP</v>
      </c>
      <c r="C62" t="str">
        <v>C15</v>
      </c>
      <c r="D62" t="str">
        <v>P9</v>
      </c>
      <c r="E62" t="str">
        <v>V3</v>
      </c>
      <c r="F62" t="str">
        <v>I3</v>
      </c>
      <c r="G62" t="s">
        <v>117</v>
      </c>
      <c r="H62" t="s">
        <v>30</v>
      </c>
      <c r="I62">
        <v>109246</v>
      </c>
      <c r="J62">
        <v>108534.871643727</v>
      </c>
      <c r="K62">
        <v>6.5094223703681797E-3</v>
      </c>
      <c r="L62">
        <v>3600.0643427372001</v>
      </c>
      <c r="M62" t="s">
        <v>118</v>
      </c>
      <c r="N62">
        <v>132</v>
      </c>
      <c r="P62">
        <v>2</v>
      </c>
      <c r="Q62">
        <v>0.5</v>
      </c>
      <c r="R62">
        <v>100</v>
      </c>
      <c r="S62">
        <v>50</v>
      </c>
      <c r="T62">
        <v>0</v>
      </c>
      <c r="U62">
        <v>1</v>
      </c>
      <c r="V62" s="1" t="s">
        <v>119</v>
      </c>
      <c r="W62">
        <v>0</v>
      </c>
      <c r="X62">
        <v>9000</v>
      </c>
      <c r="Y62">
        <v>40950</v>
      </c>
      <c r="Z62">
        <v>22165</v>
      </c>
      <c r="AA62">
        <v>37131</v>
      </c>
      <c r="AB62">
        <v>0</v>
      </c>
      <c r="AC62">
        <v>0</v>
      </c>
      <c r="AD62">
        <v>0</v>
      </c>
      <c r="AE62">
        <v>1045</v>
      </c>
      <c r="AF62">
        <v>0</v>
      </c>
      <c r="AG62">
        <v>30</v>
      </c>
      <c r="AH62">
        <v>0</v>
      </c>
    </row>
    <row r="63" spans="1:34" x14ac:dyDescent="0.25">
      <c r="A63" t="s">
        <v>108</v>
      </c>
      <c r="B63" t="str" cm="1">
        <f t="array" ref="B63:F63">_xlfn.TEXTSPLIT(A63,"_")</f>
        <v>MVPRP</v>
      </c>
      <c r="C63" t="str">
        <v>C10</v>
      </c>
      <c r="D63" t="str">
        <v>P9</v>
      </c>
      <c r="E63" t="str">
        <v>V3</v>
      </c>
      <c r="F63" t="str">
        <v>I3</v>
      </c>
      <c r="G63" t="s">
        <v>117</v>
      </c>
      <c r="H63" t="s">
        <v>26</v>
      </c>
      <c r="I63">
        <v>72847.999958617205</v>
      </c>
      <c r="J63">
        <v>72847.999958617205</v>
      </c>
      <c r="K63">
        <v>0</v>
      </c>
      <c r="L63">
        <v>22.308111429214499</v>
      </c>
      <c r="M63" t="s">
        <v>118</v>
      </c>
      <c r="N63">
        <v>132</v>
      </c>
      <c r="P63">
        <v>2</v>
      </c>
      <c r="Q63">
        <v>0.5</v>
      </c>
      <c r="R63">
        <v>100</v>
      </c>
      <c r="S63">
        <v>50</v>
      </c>
      <c r="T63">
        <v>0</v>
      </c>
      <c r="U63">
        <v>1</v>
      </c>
      <c r="V63" s="1" t="s">
        <v>119</v>
      </c>
      <c r="W63">
        <v>0</v>
      </c>
      <c r="X63">
        <v>9000</v>
      </c>
      <c r="Y63">
        <v>26370</v>
      </c>
      <c r="Z63">
        <v>14132.9999374242</v>
      </c>
      <c r="AA63">
        <v>23345.000021192998</v>
      </c>
      <c r="AB63">
        <v>0</v>
      </c>
      <c r="AC63">
        <v>0</v>
      </c>
      <c r="AD63">
        <v>0</v>
      </c>
      <c r="AE63">
        <v>128</v>
      </c>
      <c r="AF63">
        <v>0</v>
      </c>
      <c r="AG63">
        <v>10</v>
      </c>
      <c r="AH63">
        <v>0</v>
      </c>
    </row>
    <row r="64" spans="1:34" x14ac:dyDescent="0.25">
      <c r="A64" t="s">
        <v>110</v>
      </c>
      <c r="B64" t="str" cm="1">
        <f t="array" ref="B64:F64">_xlfn.TEXTSPLIT(A64,"_")</f>
        <v>MVPRP</v>
      </c>
      <c r="C64" t="str">
        <v>C25</v>
      </c>
      <c r="D64" t="str">
        <v>P9</v>
      </c>
      <c r="E64" t="str">
        <v>V3</v>
      </c>
      <c r="F64" t="str">
        <v>I3</v>
      </c>
      <c r="G64" t="s">
        <v>117</v>
      </c>
      <c r="H64" t="s">
        <v>30</v>
      </c>
      <c r="I64">
        <v>140566</v>
      </c>
      <c r="J64">
        <v>137113.438898578</v>
      </c>
      <c r="K64">
        <v>2.4561850671019299E-2</v>
      </c>
      <c r="L64">
        <v>3600.6079318523398</v>
      </c>
      <c r="M64" t="s">
        <v>118</v>
      </c>
      <c r="N64">
        <v>189</v>
      </c>
      <c r="P64">
        <v>2</v>
      </c>
      <c r="Q64">
        <v>0.5</v>
      </c>
      <c r="R64">
        <v>100</v>
      </c>
      <c r="S64">
        <v>50</v>
      </c>
      <c r="T64">
        <v>0</v>
      </c>
      <c r="U64">
        <v>1</v>
      </c>
      <c r="V64" s="1" t="s">
        <v>119</v>
      </c>
      <c r="W64">
        <v>0</v>
      </c>
      <c r="X64">
        <v>12000</v>
      </c>
      <c r="Y64">
        <v>59880</v>
      </c>
      <c r="Z64">
        <v>25707</v>
      </c>
      <c r="AA64">
        <v>42979</v>
      </c>
      <c r="AB64">
        <v>0</v>
      </c>
      <c r="AC64">
        <v>0</v>
      </c>
      <c r="AD64">
        <v>0</v>
      </c>
      <c r="AE64">
        <v>2812</v>
      </c>
      <c r="AF64">
        <v>0</v>
      </c>
      <c r="AG64">
        <v>96</v>
      </c>
      <c r="AH64">
        <v>0</v>
      </c>
    </row>
    <row r="65" spans="1:34" x14ac:dyDescent="0.25">
      <c r="A65" t="s">
        <v>32</v>
      </c>
      <c r="B65" t="str" cm="1">
        <f t="array" ref="B65:F65">_xlfn.TEXTSPLIT(A65,"_")</f>
        <v>MVPRP</v>
      </c>
      <c r="C65" t="str">
        <v>C15</v>
      </c>
      <c r="D65" t="str">
        <v>P9</v>
      </c>
      <c r="E65" t="str">
        <v>V3</v>
      </c>
      <c r="F65" t="str">
        <v>I1</v>
      </c>
      <c r="G65" t="s">
        <v>117</v>
      </c>
      <c r="H65" t="s">
        <v>30</v>
      </c>
      <c r="I65">
        <v>75988</v>
      </c>
      <c r="J65">
        <v>75255.136008802001</v>
      </c>
      <c r="K65">
        <v>9.64447006366774E-3</v>
      </c>
      <c r="L65">
        <v>3601.1645689010602</v>
      </c>
      <c r="M65" t="s">
        <v>118</v>
      </c>
      <c r="N65">
        <v>132</v>
      </c>
      <c r="P65">
        <v>2</v>
      </c>
      <c r="Q65">
        <v>0.5</v>
      </c>
      <c r="R65">
        <v>100</v>
      </c>
      <c r="S65">
        <v>50</v>
      </c>
      <c r="T65">
        <v>0</v>
      </c>
      <c r="U65">
        <v>1</v>
      </c>
      <c r="V65" s="1" t="s">
        <v>119</v>
      </c>
      <c r="W65">
        <v>0</v>
      </c>
      <c r="X65">
        <v>9000</v>
      </c>
      <c r="Y65">
        <v>40950</v>
      </c>
      <c r="Z65">
        <v>14725</v>
      </c>
      <c r="AA65">
        <v>11313</v>
      </c>
      <c r="AB65">
        <v>0</v>
      </c>
      <c r="AC65">
        <v>0</v>
      </c>
      <c r="AD65">
        <v>0</v>
      </c>
      <c r="AE65">
        <v>1613</v>
      </c>
      <c r="AF65">
        <v>0</v>
      </c>
      <c r="AG65">
        <v>49</v>
      </c>
      <c r="AH65">
        <v>0</v>
      </c>
    </row>
    <row r="66" spans="1:34" x14ac:dyDescent="0.25">
      <c r="A66" t="s">
        <v>36</v>
      </c>
      <c r="B66" t="str" cm="1">
        <f t="array" ref="B66:F66">_xlfn.TEXTSPLIT(A66,"_")</f>
        <v>MVPRP</v>
      </c>
      <c r="C66" t="str">
        <v>C40</v>
      </c>
      <c r="D66" t="str">
        <v>P3</v>
      </c>
      <c r="E66" t="str">
        <v>V3</v>
      </c>
      <c r="F66" t="str">
        <v>I1</v>
      </c>
      <c r="G66" t="s">
        <v>117</v>
      </c>
      <c r="H66" t="s">
        <v>26</v>
      </c>
      <c r="I66">
        <v>44822</v>
      </c>
      <c r="J66">
        <v>44822</v>
      </c>
      <c r="K66">
        <v>0</v>
      </c>
      <c r="L66">
        <v>107.950572729111</v>
      </c>
      <c r="M66" t="s">
        <v>118</v>
      </c>
      <c r="N66">
        <v>360</v>
      </c>
      <c r="P66">
        <v>2</v>
      </c>
      <c r="Q66">
        <v>0.5</v>
      </c>
      <c r="R66">
        <v>100</v>
      </c>
      <c r="S66">
        <v>50</v>
      </c>
      <c r="T66">
        <v>0</v>
      </c>
      <c r="U66">
        <v>1</v>
      </c>
      <c r="V66" s="1" t="s">
        <v>119</v>
      </c>
      <c r="W66">
        <v>0</v>
      </c>
      <c r="X66">
        <v>6000</v>
      </c>
      <c r="Y66">
        <v>27660</v>
      </c>
      <c r="Z66">
        <v>5480</v>
      </c>
      <c r="AA66">
        <v>5682</v>
      </c>
      <c r="AB66">
        <v>0</v>
      </c>
      <c r="AC66">
        <v>0</v>
      </c>
      <c r="AD66">
        <v>0</v>
      </c>
      <c r="AE66">
        <v>324</v>
      </c>
      <c r="AF66">
        <v>0</v>
      </c>
      <c r="AG66">
        <v>82</v>
      </c>
      <c r="AH66">
        <v>0</v>
      </c>
    </row>
    <row r="67" spans="1:34" x14ac:dyDescent="0.25">
      <c r="A67" t="s">
        <v>38</v>
      </c>
      <c r="B67" t="str" cm="1">
        <f t="array" ref="B67:F67">_xlfn.TEXTSPLIT(A67,"_")</f>
        <v>MVPRP</v>
      </c>
      <c r="C67" t="str">
        <v>C20</v>
      </c>
      <c r="D67" t="str">
        <v>P6</v>
      </c>
      <c r="E67" t="str">
        <v>V3</v>
      </c>
      <c r="F67" t="str">
        <v>I1</v>
      </c>
      <c r="G67" t="s">
        <v>117</v>
      </c>
      <c r="H67" t="s">
        <v>26</v>
      </c>
      <c r="I67">
        <v>48181</v>
      </c>
      <c r="J67">
        <v>48181</v>
      </c>
      <c r="K67">
        <v>0</v>
      </c>
      <c r="L67">
        <v>27.982041597366301</v>
      </c>
      <c r="M67" t="s">
        <v>118</v>
      </c>
      <c r="N67">
        <v>189</v>
      </c>
      <c r="P67">
        <v>2</v>
      </c>
      <c r="Q67">
        <v>0.5</v>
      </c>
      <c r="R67">
        <v>100</v>
      </c>
      <c r="S67">
        <v>50</v>
      </c>
      <c r="T67">
        <v>0</v>
      </c>
      <c r="U67">
        <v>1</v>
      </c>
      <c r="V67" s="1" t="s">
        <v>119</v>
      </c>
      <c r="W67">
        <v>0</v>
      </c>
      <c r="X67">
        <v>6000</v>
      </c>
      <c r="Y67">
        <v>23820</v>
      </c>
      <c r="Z67">
        <v>12552</v>
      </c>
      <c r="AA67">
        <v>5809</v>
      </c>
      <c r="AB67">
        <v>0</v>
      </c>
      <c r="AC67">
        <v>0</v>
      </c>
      <c r="AD67">
        <v>0</v>
      </c>
      <c r="AE67">
        <v>201</v>
      </c>
      <c r="AF67">
        <v>0</v>
      </c>
      <c r="AG67">
        <v>52</v>
      </c>
      <c r="AH67">
        <v>0</v>
      </c>
    </row>
    <row r="68" spans="1:34" x14ac:dyDescent="0.25">
      <c r="A68" t="s">
        <v>40</v>
      </c>
      <c r="B68" t="str" cm="1">
        <f t="array" ref="B68:F68">_xlfn.TEXTSPLIT(A68,"_")</f>
        <v>MVPRP</v>
      </c>
      <c r="C68" t="str">
        <v>C10</v>
      </c>
      <c r="D68" t="str">
        <v>P3</v>
      </c>
      <c r="E68" t="str">
        <v>V3</v>
      </c>
      <c r="F68" t="str">
        <v>I1</v>
      </c>
      <c r="G68" t="s">
        <v>117</v>
      </c>
      <c r="H68" t="s">
        <v>26</v>
      </c>
      <c r="I68">
        <v>14236</v>
      </c>
      <c r="J68">
        <v>14236</v>
      </c>
      <c r="K68">
        <v>0</v>
      </c>
      <c r="L68">
        <v>2.5246286392211901</v>
      </c>
      <c r="M68" t="s">
        <v>118</v>
      </c>
      <c r="N68">
        <v>132</v>
      </c>
      <c r="P68">
        <v>2</v>
      </c>
      <c r="Q68">
        <v>0.5</v>
      </c>
      <c r="R68">
        <v>100</v>
      </c>
      <c r="S68">
        <v>50</v>
      </c>
      <c r="T68">
        <v>0</v>
      </c>
      <c r="U68">
        <v>1</v>
      </c>
      <c r="V68" s="1" t="s">
        <v>119</v>
      </c>
      <c r="W68">
        <v>0</v>
      </c>
      <c r="X68">
        <v>3000</v>
      </c>
      <c r="Y68">
        <v>6390</v>
      </c>
      <c r="Z68">
        <v>2845</v>
      </c>
      <c r="AA68">
        <v>2001</v>
      </c>
      <c r="AB68">
        <v>0</v>
      </c>
      <c r="AC68">
        <v>0</v>
      </c>
      <c r="AD68">
        <v>0</v>
      </c>
      <c r="AE68">
        <v>39</v>
      </c>
      <c r="AF68">
        <v>0</v>
      </c>
      <c r="AG68">
        <v>9</v>
      </c>
      <c r="AH68">
        <v>0</v>
      </c>
    </row>
    <row r="69" spans="1:34" x14ac:dyDescent="0.25">
      <c r="A69" t="s">
        <v>44</v>
      </c>
      <c r="B69" t="str" cm="1">
        <f t="array" ref="B69:F69">_xlfn.TEXTSPLIT(A69,"_")</f>
        <v>MVPRP</v>
      </c>
      <c r="C69" t="str">
        <v>C20</v>
      </c>
      <c r="D69" t="str">
        <v>P3</v>
      </c>
      <c r="E69" t="str">
        <v>V3</v>
      </c>
      <c r="F69" t="str">
        <v>I1</v>
      </c>
      <c r="G69" t="s">
        <v>117</v>
      </c>
      <c r="H69" t="s">
        <v>26</v>
      </c>
      <c r="I69">
        <v>22675</v>
      </c>
      <c r="J69">
        <v>22675</v>
      </c>
      <c r="K69">
        <v>0</v>
      </c>
      <c r="L69">
        <v>7.94667267799377</v>
      </c>
      <c r="M69" t="s">
        <v>118</v>
      </c>
      <c r="N69">
        <v>189</v>
      </c>
      <c r="P69">
        <v>2</v>
      </c>
      <c r="Q69">
        <v>0.5</v>
      </c>
      <c r="R69">
        <v>100</v>
      </c>
      <c r="S69">
        <v>50</v>
      </c>
      <c r="T69">
        <v>0</v>
      </c>
      <c r="U69">
        <v>1</v>
      </c>
      <c r="V69" s="1" t="s">
        <v>119</v>
      </c>
      <c r="W69">
        <v>0</v>
      </c>
      <c r="X69">
        <v>3000</v>
      </c>
      <c r="Y69">
        <v>12030</v>
      </c>
      <c r="Z69">
        <v>4455</v>
      </c>
      <c r="AA69">
        <v>3190</v>
      </c>
      <c r="AB69">
        <v>0</v>
      </c>
      <c r="AC69">
        <v>0</v>
      </c>
      <c r="AD69">
        <v>0</v>
      </c>
      <c r="AE69">
        <v>154</v>
      </c>
      <c r="AF69">
        <v>0</v>
      </c>
      <c r="AG69">
        <v>33</v>
      </c>
      <c r="AH69">
        <v>0</v>
      </c>
    </row>
    <row r="70" spans="1:34" x14ac:dyDescent="0.25">
      <c r="A70" t="s">
        <v>48</v>
      </c>
      <c r="B70" t="str" cm="1">
        <f t="array" ref="B70:F70">_xlfn.TEXTSPLIT(A70,"_")</f>
        <v>MVPRP</v>
      </c>
      <c r="C70" t="str">
        <v>C40</v>
      </c>
      <c r="D70" t="str">
        <v>P6</v>
      </c>
      <c r="E70" t="str">
        <v>V3</v>
      </c>
      <c r="F70" t="str">
        <v>I1</v>
      </c>
      <c r="G70" t="s">
        <v>117</v>
      </c>
      <c r="H70" t="s">
        <v>30</v>
      </c>
      <c r="I70">
        <v>96993</v>
      </c>
      <c r="J70">
        <v>96752.303220362606</v>
      </c>
      <c r="K70">
        <v>2.4815891831102099E-3</v>
      </c>
      <c r="L70">
        <v>3601.67462682724</v>
      </c>
      <c r="M70" t="s">
        <v>118</v>
      </c>
      <c r="N70">
        <v>360</v>
      </c>
      <c r="P70">
        <v>2</v>
      </c>
      <c r="Q70">
        <v>0.5</v>
      </c>
      <c r="R70">
        <v>100</v>
      </c>
      <c r="S70">
        <v>50</v>
      </c>
      <c r="T70">
        <v>0</v>
      </c>
      <c r="U70">
        <v>1</v>
      </c>
      <c r="V70" s="1" t="s">
        <v>119</v>
      </c>
      <c r="W70">
        <v>0</v>
      </c>
      <c r="X70">
        <v>6000</v>
      </c>
      <c r="Y70">
        <v>55170</v>
      </c>
      <c r="Z70">
        <v>26811</v>
      </c>
      <c r="AA70">
        <v>9012</v>
      </c>
      <c r="AB70">
        <v>0</v>
      </c>
      <c r="AC70">
        <v>0</v>
      </c>
      <c r="AD70">
        <v>0</v>
      </c>
      <c r="AE70">
        <v>843</v>
      </c>
      <c r="AF70">
        <v>0</v>
      </c>
      <c r="AG70">
        <v>2681</v>
      </c>
      <c r="AH70">
        <v>0</v>
      </c>
    </row>
    <row r="71" spans="1:34" x14ac:dyDescent="0.25">
      <c r="A71" t="s">
        <v>66</v>
      </c>
      <c r="B71" t="str" cm="1">
        <f t="array" ref="B71:F71">_xlfn.TEXTSPLIT(A71,"_")</f>
        <v>MVPRP</v>
      </c>
      <c r="C71" t="str">
        <v>C45</v>
      </c>
      <c r="D71" t="str">
        <v>P3</v>
      </c>
      <c r="E71" t="str">
        <v>V3</v>
      </c>
      <c r="F71" t="str">
        <v>I1</v>
      </c>
      <c r="G71" t="s">
        <v>117</v>
      </c>
      <c r="H71" t="s">
        <v>26</v>
      </c>
      <c r="I71">
        <v>50846</v>
      </c>
      <c r="J71">
        <v>50846</v>
      </c>
      <c r="K71">
        <v>0</v>
      </c>
      <c r="L71">
        <v>68.337500810623197</v>
      </c>
      <c r="M71" t="s">
        <v>118</v>
      </c>
      <c r="N71">
        <v>360</v>
      </c>
      <c r="P71">
        <v>2</v>
      </c>
      <c r="Q71">
        <v>0.5</v>
      </c>
      <c r="R71">
        <v>100</v>
      </c>
      <c r="S71">
        <v>50</v>
      </c>
      <c r="T71">
        <v>0</v>
      </c>
      <c r="U71">
        <v>1</v>
      </c>
      <c r="V71" s="1" t="s">
        <v>119</v>
      </c>
      <c r="W71">
        <v>0</v>
      </c>
      <c r="X71">
        <v>6000</v>
      </c>
      <c r="Y71">
        <v>33060</v>
      </c>
      <c r="Z71">
        <v>5021</v>
      </c>
      <c r="AA71">
        <v>6765</v>
      </c>
      <c r="AB71">
        <v>0</v>
      </c>
      <c r="AC71">
        <v>0</v>
      </c>
      <c r="AD71">
        <v>0</v>
      </c>
      <c r="AE71">
        <v>296</v>
      </c>
      <c r="AF71">
        <v>0</v>
      </c>
      <c r="AG71">
        <v>181</v>
      </c>
      <c r="AH71">
        <v>0</v>
      </c>
    </row>
    <row r="72" spans="1:34" x14ac:dyDescent="0.25">
      <c r="A72" t="s">
        <v>68</v>
      </c>
      <c r="B72" t="str" cm="1">
        <f t="array" ref="B72:F72">_xlfn.TEXTSPLIT(A72,"_")</f>
        <v>MVPRP</v>
      </c>
      <c r="C72" t="str">
        <v>C25</v>
      </c>
      <c r="D72" t="str">
        <v>P6</v>
      </c>
      <c r="E72" t="str">
        <v>V3</v>
      </c>
      <c r="F72" t="str">
        <v>I1</v>
      </c>
      <c r="G72" t="s">
        <v>117</v>
      </c>
      <c r="H72" t="s">
        <v>26</v>
      </c>
      <c r="I72">
        <v>57677</v>
      </c>
      <c r="J72">
        <v>57671.304179105799</v>
      </c>
      <c r="K72">
        <v>9.8753764832643705E-5</v>
      </c>
      <c r="L72">
        <v>189.830693244934</v>
      </c>
      <c r="M72" t="s">
        <v>118</v>
      </c>
      <c r="N72">
        <v>189</v>
      </c>
      <c r="P72">
        <v>2</v>
      </c>
      <c r="Q72">
        <v>0.5</v>
      </c>
      <c r="R72">
        <v>100</v>
      </c>
      <c r="S72">
        <v>50</v>
      </c>
      <c r="T72">
        <v>0</v>
      </c>
      <c r="U72">
        <v>1</v>
      </c>
      <c r="V72" s="1" t="s">
        <v>119</v>
      </c>
      <c r="W72">
        <v>0</v>
      </c>
      <c r="X72">
        <v>6000</v>
      </c>
      <c r="Y72">
        <v>28380</v>
      </c>
      <c r="Z72">
        <v>17248</v>
      </c>
      <c r="AA72">
        <v>6049</v>
      </c>
      <c r="AB72">
        <v>0</v>
      </c>
      <c r="AC72">
        <v>0</v>
      </c>
      <c r="AD72">
        <v>0</v>
      </c>
      <c r="AE72">
        <v>465</v>
      </c>
      <c r="AF72">
        <v>0</v>
      </c>
      <c r="AG72">
        <v>96</v>
      </c>
      <c r="AH72">
        <v>0</v>
      </c>
    </row>
    <row r="73" spans="1:34" x14ac:dyDescent="0.25">
      <c r="A73" t="s">
        <v>70</v>
      </c>
      <c r="B73" t="str" cm="1">
        <f t="array" ref="B73:F73">_xlfn.TEXTSPLIT(A73,"_")</f>
        <v>MVPRP</v>
      </c>
      <c r="C73" t="str">
        <v>C35</v>
      </c>
      <c r="D73" t="str">
        <v>P6</v>
      </c>
      <c r="E73" t="str">
        <v>V3</v>
      </c>
      <c r="F73" t="str">
        <v>I1</v>
      </c>
      <c r="G73" t="s">
        <v>117</v>
      </c>
      <c r="H73" t="s">
        <v>30</v>
      </c>
      <c r="I73">
        <v>75538.9998224054</v>
      </c>
      <c r="J73">
        <v>75433.2378964089</v>
      </c>
      <c r="K73">
        <v>1.40009698625977E-3</v>
      </c>
      <c r="L73">
        <v>3601.5368080139201</v>
      </c>
      <c r="M73" t="s">
        <v>118</v>
      </c>
      <c r="N73">
        <v>276</v>
      </c>
      <c r="P73">
        <v>2</v>
      </c>
      <c r="Q73">
        <v>0.5</v>
      </c>
      <c r="R73">
        <v>100</v>
      </c>
      <c r="S73">
        <v>50</v>
      </c>
      <c r="T73">
        <v>0</v>
      </c>
      <c r="U73">
        <v>1</v>
      </c>
      <c r="V73" s="1" t="s">
        <v>119</v>
      </c>
      <c r="W73">
        <v>0</v>
      </c>
      <c r="X73">
        <v>6000</v>
      </c>
      <c r="Y73">
        <v>42900</v>
      </c>
      <c r="Z73">
        <v>18867.999802736598</v>
      </c>
      <c r="AA73">
        <v>7771.0000196688097</v>
      </c>
      <c r="AB73">
        <v>0</v>
      </c>
      <c r="AC73">
        <v>0</v>
      </c>
      <c r="AD73">
        <v>0</v>
      </c>
      <c r="AE73">
        <v>1284</v>
      </c>
      <c r="AF73">
        <v>0</v>
      </c>
      <c r="AG73">
        <v>160</v>
      </c>
      <c r="AH73">
        <v>0</v>
      </c>
    </row>
    <row r="74" spans="1:34" x14ac:dyDescent="0.25">
      <c r="A74" t="s">
        <v>72</v>
      </c>
      <c r="B74" t="str" cm="1">
        <f t="array" ref="B74:F74">_xlfn.TEXTSPLIT(A74,"_")</f>
        <v>MVPRP</v>
      </c>
      <c r="C74" t="str">
        <v>C25</v>
      </c>
      <c r="D74" t="str">
        <v>P3</v>
      </c>
      <c r="E74" t="str">
        <v>V3</v>
      </c>
      <c r="F74" t="str">
        <v>I1</v>
      </c>
      <c r="G74" t="s">
        <v>117</v>
      </c>
      <c r="H74" t="s">
        <v>26</v>
      </c>
      <c r="I74">
        <v>26569</v>
      </c>
      <c r="J74">
        <v>26569</v>
      </c>
      <c r="K74">
        <v>0</v>
      </c>
      <c r="L74">
        <v>15.451955080032301</v>
      </c>
      <c r="M74" t="s">
        <v>118</v>
      </c>
      <c r="N74">
        <v>189</v>
      </c>
      <c r="P74">
        <v>2</v>
      </c>
      <c r="Q74">
        <v>0.5</v>
      </c>
      <c r="R74">
        <v>100</v>
      </c>
      <c r="S74">
        <v>50</v>
      </c>
      <c r="T74">
        <v>0</v>
      </c>
      <c r="U74">
        <v>1</v>
      </c>
      <c r="V74" s="1" t="s">
        <v>119</v>
      </c>
      <c r="W74">
        <v>0</v>
      </c>
      <c r="X74">
        <v>3000</v>
      </c>
      <c r="Y74">
        <v>14340</v>
      </c>
      <c r="Z74">
        <v>5405</v>
      </c>
      <c r="AA74">
        <v>3824</v>
      </c>
      <c r="AB74">
        <v>0</v>
      </c>
      <c r="AC74">
        <v>0</v>
      </c>
      <c r="AD74">
        <v>0</v>
      </c>
      <c r="AE74">
        <v>307</v>
      </c>
      <c r="AF74">
        <v>0</v>
      </c>
      <c r="AG74">
        <v>48</v>
      </c>
      <c r="AH74">
        <v>0</v>
      </c>
    </row>
    <row r="75" spans="1:34" x14ac:dyDescent="0.25">
      <c r="A75" t="s">
        <v>74</v>
      </c>
      <c r="B75" t="str" cm="1">
        <f t="array" ref="B75:F75">_xlfn.TEXTSPLIT(A75,"_")</f>
        <v>MVPRP</v>
      </c>
      <c r="C75" t="str">
        <v>C10</v>
      </c>
      <c r="D75" t="str">
        <v>P6</v>
      </c>
      <c r="E75" t="str">
        <v>V3</v>
      </c>
      <c r="F75" t="str">
        <v>I1</v>
      </c>
      <c r="G75" t="s">
        <v>117</v>
      </c>
      <c r="H75" t="s">
        <v>26</v>
      </c>
      <c r="I75">
        <v>30297</v>
      </c>
      <c r="J75">
        <v>30297</v>
      </c>
      <c r="K75">
        <v>0</v>
      </c>
      <c r="L75">
        <v>6.7486011981964102</v>
      </c>
      <c r="M75" t="s">
        <v>118</v>
      </c>
      <c r="N75">
        <v>132</v>
      </c>
      <c r="P75">
        <v>2</v>
      </c>
      <c r="Q75">
        <v>0.5</v>
      </c>
      <c r="R75">
        <v>100</v>
      </c>
      <c r="S75">
        <v>50</v>
      </c>
      <c r="T75">
        <v>0</v>
      </c>
      <c r="U75">
        <v>1</v>
      </c>
      <c r="V75" s="1" t="s">
        <v>119</v>
      </c>
      <c r="W75">
        <v>0</v>
      </c>
      <c r="X75">
        <v>6000</v>
      </c>
      <c r="Y75">
        <v>12690</v>
      </c>
      <c r="Z75">
        <v>8103</v>
      </c>
      <c r="AA75">
        <v>3504</v>
      </c>
      <c r="AB75">
        <v>0</v>
      </c>
      <c r="AC75">
        <v>0</v>
      </c>
      <c r="AD75">
        <v>0</v>
      </c>
      <c r="AE75">
        <v>81</v>
      </c>
      <c r="AF75">
        <v>0</v>
      </c>
      <c r="AG75">
        <v>11</v>
      </c>
      <c r="AH75">
        <v>0</v>
      </c>
    </row>
    <row r="76" spans="1:34" x14ac:dyDescent="0.25">
      <c r="A76" t="s">
        <v>76</v>
      </c>
      <c r="B76" t="str" cm="1">
        <f t="array" ref="B76:F76">_xlfn.TEXTSPLIT(A76,"_")</f>
        <v>MVPRP</v>
      </c>
      <c r="C76" t="str">
        <v>C35</v>
      </c>
      <c r="D76" t="str">
        <v>P3</v>
      </c>
      <c r="E76" t="str">
        <v>V3</v>
      </c>
      <c r="F76" t="str">
        <v>I1</v>
      </c>
      <c r="G76" t="s">
        <v>117</v>
      </c>
      <c r="H76" t="s">
        <v>26</v>
      </c>
      <c r="I76">
        <v>35803</v>
      </c>
      <c r="J76">
        <v>35803</v>
      </c>
      <c r="K76">
        <v>0</v>
      </c>
      <c r="L76">
        <v>26.064972877502399</v>
      </c>
      <c r="M76" t="s">
        <v>118</v>
      </c>
      <c r="N76">
        <v>276</v>
      </c>
      <c r="P76">
        <v>2</v>
      </c>
      <c r="Q76">
        <v>0.5</v>
      </c>
      <c r="R76">
        <v>100</v>
      </c>
      <c r="S76">
        <v>50</v>
      </c>
      <c r="T76">
        <v>0</v>
      </c>
      <c r="U76">
        <v>1</v>
      </c>
      <c r="V76" s="1" t="s">
        <v>119</v>
      </c>
      <c r="W76">
        <v>0</v>
      </c>
      <c r="X76">
        <v>3000</v>
      </c>
      <c r="Y76">
        <v>21600</v>
      </c>
      <c r="Z76">
        <v>6964</v>
      </c>
      <c r="AA76">
        <v>4239</v>
      </c>
      <c r="AB76">
        <v>0</v>
      </c>
      <c r="AC76">
        <v>0</v>
      </c>
      <c r="AD76">
        <v>0</v>
      </c>
      <c r="AE76">
        <v>271</v>
      </c>
      <c r="AF76">
        <v>0</v>
      </c>
      <c r="AG76">
        <v>61</v>
      </c>
      <c r="AH76">
        <v>0</v>
      </c>
    </row>
    <row r="77" spans="1:34" x14ac:dyDescent="0.25">
      <c r="A77" t="s">
        <v>80</v>
      </c>
      <c r="B77" t="str" cm="1">
        <f t="array" ref="B77:F77">_xlfn.TEXTSPLIT(A77,"_")</f>
        <v>MVPRP</v>
      </c>
      <c r="C77" t="str">
        <v>C50</v>
      </c>
      <c r="D77" t="str">
        <v>P3</v>
      </c>
      <c r="E77" t="str">
        <v>V3</v>
      </c>
      <c r="F77" t="str">
        <v>I1</v>
      </c>
      <c r="G77" t="s">
        <v>117</v>
      </c>
      <c r="H77" t="s">
        <v>26</v>
      </c>
      <c r="I77">
        <v>47126</v>
      </c>
      <c r="J77">
        <v>47126</v>
      </c>
      <c r="K77">
        <v>0</v>
      </c>
      <c r="L77">
        <v>169.300560951233</v>
      </c>
      <c r="M77" t="s">
        <v>118</v>
      </c>
      <c r="N77">
        <v>360</v>
      </c>
      <c r="P77">
        <v>2</v>
      </c>
      <c r="Q77">
        <v>0.5</v>
      </c>
      <c r="R77">
        <v>100</v>
      </c>
      <c r="S77">
        <v>50</v>
      </c>
      <c r="T77">
        <v>0</v>
      </c>
      <c r="U77">
        <v>1</v>
      </c>
      <c r="V77" s="1" t="s">
        <v>119</v>
      </c>
      <c r="W77">
        <v>0</v>
      </c>
      <c r="X77">
        <v>6000</v>
      </c>
      <c r="Y77">
        <v>29580</v>
      </c>
      <c r="Z77">
        <v>4839</v>
      </c>
      <c r="AA77">
        <v>6707</v>
      </c>
      <c r="AB77">
        <v>0</v>
      </c>
      <c r="AC77">
        <v>0</v>
      </c>
      <c r="AD77">
        <v>0</v>
      </c>
      <c r="AE77">
        <v>374</v>
      </c>
      <c r="AF77">
        <v>0</v>
      </c>
      <c r="AG77">
        <v>192</v>
      </c>
      <c r="AH77">
        <v>0</v>
      </c>
    </row>
    <row r="78" spans="1:34" x14ac:dyDescent="0.25">
      <c r="A78" t="s">
        <v>82</v>
      </c>
      <c r="B78" t="str" cm="1">
        <f t="array" ref="B78:F78">_xlfn.TEXTSPLIT(A78,"_")</f>
        <v>MVPRP</v>
      </c>
      <c r="C78" t="str">
        <v>C30</v>
      </c>
      <c r="D78" t="str">
        <v>P6</v>
      </c>
      <c r="E78" t="str">
        <v>V3</v>
      </c>
      <c r="F78" t="str">
        <v>I1</v>
      </c>
      <c r="G78" t="s">
        <v>117</v>
      </c>
      <c r="H78" t="s">
        <v>26</v>
      </c>
      <c r="I78">
        <v>61786.999969999997</v>
      </c>
      <c r="J78">
        <v>61782.695040581501</v>
      </c>
      <c r="K78">
        <v>6.96737083947566E-5</v>
      </c>
      <c r="L78">
        <v>1727.2135601043699</v>
      </c>
      <c r="M78" t="s">
        <v>118</v>
      </c>
      <c r="N78">
        <v>228</v>
      </c>
      <c r="P78">
        <v>2</v>
      </c>
      <c r="Q78">
        <v>0.5</v>
      </c>
      <c r="R78">
        <v>100</v>
      </c>
      <c r="S78">
        <v>50</v>
      </c>
      <c r="T78">
        <v>0</v>
      </c>
      <c r="U78">
        <v>1</v>
      </c>
      <c r="V78" s="1" t="s">
        <v>119</v>
      </c>
      <c r="W78">
        <v>0</v>
      </c>
      <c r="X78">
        <v>6000</v>
      </c>
      <c r="Y78">
        <v>33150</v>
      </c>
      <c r="Z78">
        <v>16439.999970000001</v>
      </c>
      <c r="AA78">
        <v>6197</v>
      </c>
      <c r="AB78">
        <v>0</v>
      </c>
      <c r="AC78">
        <v>0</v>
      </c>
      <c r="AD78">
        <v>0</v>
      </c>
      <c r="AE78">
        <v>748</v>
      </c>
      <c r="AF78">
        <v>0</v>
      </c>
      <c r="AG78">
        <v>129</v>
      </c>
      <c r="AH78">
        <v>0</v>
      </c>
    </row>
    <row r="79" spans="1:34" x14ac:dyDescent="0.25">
      <c r="A79" t="s">
        <v>84</v>
      </c>
      <c r="B79" t="str" cm="1">
        <f t="array" ref="B79:F79">_xlfn.TEXTSPLIT(A79,"_")</f>
        <v>MVPRP</v>
      </c>
      <c r="C79" t="str">
        <v>C25</v>
      </c>
      <c r="D79" t="str">
        <v>P9</v>
      </c>
      <c r="E79" t="str">
        <v>V3</v>
      </c>
      <c r="F79" t="str">
        <v>I1</v>
      </c>
      <c r="G79" t="s">
        <v>117</v>
      </c>
      <c r="H79" t="s">
        <v>30</v>
      </c>
      <c r="I79">
        <v>101897.9996581</v>
      </c>
      <c r="J79">
        <v>101701.50339873599</v>
      </c>
      <c r="K79">
        <v>1.9283622840831501E-3</v>
      </c>
      <c r="L79">
        <v>3603.4120757579799</v>
      </c>
      <c r="M79" t="s">
        <v>118</v>
      </c>
      <c r="N79">
        <v>189</v>
      </c>
      <c r="P79">
        <v>2</v>
      </c>
      <c r="Q79">
        <v>0.5</v>
      </c>
      <c r="R79">
        <v>100</v>
      </c>
      <c r="S79">
        <v>50</v>
      </c>
      <c r="T79">
        <v>0</v>
      </c>
      <c r="U79">
        <v>1</v>
      </c>
      <c r="V79" s="1" t="s">
        <v>119</v>
      </c>
      <c r="W79">
        <v>0</v>
      </c>
      <c r="X79">
        <v>9000</v>
      </c>
      <c r="Y79">
        <v>59879.999969712801</v>
      </c>
      <c r="Z79">
        <v>20857.000013471701</v>
      </c>
      <c r="AA79">
        <v>12160.9996749288</v>
      </c>
      <c r="AB79">
        <v>0</v>
      </c>
      <c r="AC79">
        <v>0</v>
      </c>
      <c r="AD79">
        <v>0</v>
      </c>
      <c r="AE79">
        <v>1519</v>
      </c>
      <c r="AF79">
        <v>0</v>
      </c>
      <c r="AG79">
        <v>93</v>
      </c>
      <c r="AH79">
        <v>0</v>
      </c>
    </row>
    <row r="80" spans="1:34" x14ac:dyDescent="0.25">
      <c r="A80" t="s">
        <v>88</v>
      </c>
      <c r="B80" t="str" cm="1">
        <f t="array" ref="B80:F80">_xlfn.TEXTSPLIT(A80,"_")</f>
        <v>MVPRP</v>
      </c>
      <c r="C80" t="str">
        <v>C15</v>
      </c>
      <c r="D80" t="str">
        <v>P6</v>
      </c>
      <c r="E80" t="str">
        <v>V3</v>
      </c>
      <c r="F80" t="str">
        <v>I1</v>
      </c>
      <c r="G80" t="s">
        <v>117</v>
      </c>
      <c r="H80" t="s">
        <v>26</v>
      </c>
      <c r="I80">
        <v>42791</v>
      </c>
      <c r="J80">
        <v>42786.818181818198</v>
      </c>
      <c r="K80">
        <v>9.7726582268017797E-5</v>
      </c>
      <c r="L80">
        <v>581.02645182609604</v>
      </c>
      <c r="M80" t="s">
        <v>118</v>
      </c>
      <c r="N80">
        <v>132</v>
      </c>
      <c r="P80">
        <v>2</v>
      </c>
      <c r="Q80">
        <v>0.5</v>
      </c>
      <c r="R80">
        <v>100</v>
      </c>
      <c r="S80">
        <v>50</v>
      </c>
      <c r="T80">
        <v>0</v>
      </c>
      <c r="U80">
        <v>1</v>
      </c>
      <c r="V80" s="1" t="s">
        <v>119</v>
      </c>
      <c r="W80">
        <v>0</v>
      </c>
      <c r="X80">
        <v>6000</v>
      </c>
      <c r="Y80">
        <v>19800</v>
      </c>
      <c r="Z80">
        <v>11100</v>
      </c>
      <c r="AA80">
        <v>5891</v>
      </c>
      <c r="AB80">
        <v>0</v>
      </c>
      <c r="AC80">
        <v>0</v>
      </c>
      <c r="AD80">
        <v>0</v>
      </c>
      <c r="AE80">
        <v>525</v>
      </c>
      <c r="AF80">
        <v>0</v>
      </c>
      <c r="AG80">
        <v>38</v>
      </c>
      <c r="AH80">
        <v>0</v>
      </c>
    </row>
    <row r="81" spans="1:34" x14ac:dyDescent="0.25">
      <c r="A81" t="s">
        <v>90</v>
      </c>
      <c r="B81" t="str" cm="1">
        <f t="array" ref="B81:F81">_xlfn.TEXTSPLIT(A81,"_")</f>
        <v>MVPRP</v>
      </c>
      <c r="C81" t="str">
        <v>C15</v>
      </c>
      <c r="D81" t="str">
        <v>P3</v>
      </c>
      <c r="E81" t="str">
        <v>V3</v>
      </c>
      <c r="F81" t="str">
        <v>I1</v>
      </c>
      <c r="G81" t="s">
        <v>117</v>
      </c>
      <c r="H81" t="s">
        <v>26</v>
      </c>
      <c r="I81">
        <v>19989</v>
      </c>
      <c r="J81">
        <v>19989</v>
      </c>
      <c r="K81">
        <v>0</v>
      </c>
      <c r="L81">
        <v>7.2398519515991202</v>
      </c>
      <c r="M81" t="s">
        <v>118</v>
      </c>
      <c r="N81">
        <v>132</v>
      </c>
      <c r="P81">
        <v>2</v>
      </c>
      <c r="Q81">
        <v>0.5</v>
      </c>
      <c r="R81">
        <v>100</v>
      </c>
      <c r="S81">
        <v>50</v>
      </c>
      <c r="T81">
        <v>0</v>
      </c>
      <c r="U81">
        <v>1</v>
      </c>
      <c r="V81" s="1" t="s">
        <v>119</v>
      </c>
      <c r="W81">
        <v>0</v>
      </c>
      <c r="X81">
        <v>3000</v>
      </c>
      <c r="Y81">
        <v>9960</v>
      </c>
      <c r="Z81">
        <v>3694</v>
      </c>
      <c r="AA81">
        <v>3335</v>
      </c>
      <c r="AB81">
        <v>0</v>
      </c>
      <c r="AC81">
        <v>0</v>
      </c>
      <c r="AD81">
        <v>0</v>
      </c>
      <c r="AE81">
        <v>199</v>
      </c>
      <c r="AF81">
        <v>0</v>
      </c>
      <c r="AG81">
        <v>25</v>
      </c>
      <c r="AH81">
        <v>0</v>
      </c>
    </row>
    <row r="82" spans="1:34" x14ac:dyDescent="0.25">
      <c r="A82" t="s">
        <v>98</v>
      </c>
      <c r="B82" t="str" cm="1">
        <f t="array" ref="B82:F82">_xlfn.TEXTSPLIT(A82,"_")</f>
        <v>MVPRP</v>
      </c>
      <c r="C82" t="str">
        <v>C20</v>
      </c>
      <c r="D82" t="str">
        <v>P9</v>
      </c>
      <c r="E82" t="str">
        <v>V3</v>
      </c>
      <c r="F82" t="str">
        <v>I1</v>
      </c>
      <c r="G82" t="s">
        <v>117</v>
      </c>
      <c r="H82" t="s">
        <v>26</v>
      </c>
      <c r="I82">
        <v>83684.999949504898</v>
      </c>
      <c r="J82">
        <v>83678.781075164996</v>
      </c>
      <c r="K82">
        <v>7.4312891721312597E-5</v>
      </c>
      <c r="L82">
        <v>1338.0379493236501</v>
      </c>
      <c r="M82" t="s">
        <v>118</v>
      </c>
      <c r="N82">
        <v>189</v>
      </c>
      <c r="P82">
        <v>2</v>
      </c>
      <c r="Q82">
        <v>0.5</v>
      </c>
      <c r="R82">
        <v>100</v>
      </c>
      <c r="S82">
        <v>50</v>
      </c>
      <c r="T82">
        <v>0</v>
      </c>
      <c r="U82">
        <v>1</v>
      </c>
      <c r="V82" s="1" t="s">
        <v>119</v>
      </c>
      <c r="W82">
        <v>0</v>
      </c>
      <c r="X82">
        <v>9000</v>
      </c>
      <c r="Y82">
        <v>48119.999970629702</v>
      </c>
      <c r="Z82">
        <v>15204.9999789342</v>
      </c>
      <c r="AA82">
        <v>11360</v>
      </c>
      <c r="AB82">
        <v>0</v>
      </c>
      <c r="AC82">
        <v>0</v>
      </c>
      <c r="AD82">
        <v>0</v>
      </c>
      <c r="AE82">
        <v>780</v>
      </c>
      <c r="AF82">
        <v>0</v>
      </c>
      <c r="AG82">
        <v>72</v>
      </c>
      <c r="AH82">
        <v>0</v>
      </c>
    </row>
    <row r="83" spans="1:34" x14ac:dyDescent="0.25">
      <c r="A83" t="s">
        <v>102</v>
      </c>
      <c r="B83" t="str" cm="1">
        <f t="array" ref="B83:F83">_xlfn.TEXTSPLIT(A83,"_")</f>
        <v>MVPRP</v>
      </c>
      <c r="C83" t="str">
        <v>C30</v>
      </c>
      <c r="D83" t="str">
        <v>P9</v>
      </c>
      <c r="E83" t="str">
        <v>V3</v>
      </c>
      <c r="F83" t="str">
        <v>I1</v>
      </c>
      <c r="G83" t="s">
        <v>117</v>
      </c>
      <c r="H83" t="s">
        <v>30</v>
      </c>
      <c r="I83">
        <v>111231</v>
      </c>
      <c r="J83">
        <v>110668.141916063</v>
      </c>
      <c r="K83">
        <v>5.06026273194677E-3</v>
      </c>
      <c r="L83">
        <v>3601.7885897159599</v>
      </c>
      <c r="M83" t="s">
        <v>118</v>
      </c>
      <c r="N83">
        <v>228</v>
      </c>
      <c r="P83">
        <v>2</v>
      </c>
      <c r="Q83">
        <v>0.5</v>
      </c>
      <c r="R83">
        <v>100</v>
      </c>
      <c r="S83">
        <v>50</v>
      </c>
      <c r="T83">
        <v>0</v>
      </c>
      <c r="U83">
        <v>1</v>
      </c>
      <c r="V83" s="1" t="s">
        <v>119</v>
      </c>
      <c r="W83">
        <v>0</v>
      </c>
      <c r="X83">
        <v>12000</v>
      </c>
      <c r="Y83">
        <v>67710</v>
      </c>
      <c r="Z83">
        <v>19116</v>
      </c>
      <c r="AA83">
        <v>12405</v>
      </c>
      <c r="AB83">
        <v>0</v>
      </c>
      <c r="AC83">
        <v>0</v>
      </c>
      <c r="AD83">
        <v>0</v>
      </c>
      <c r="AE83">
        <v>2662</v>
      </c>
      <c r="AF83">
        <v>0</v>
      </c>
      <c r="AG83">
        <v>323</v>
      </c>
      <c r="AH83">
        <v>0</v>
      </c>
    </row>
    <row r="84" spans="1:34" x14ac:dyDescent="0.25">
      <c r="A84" t="s">
        <v>104</v>
      </c>
      <c r="B84" t="str" cm="1">
        <f t="array" ref="B84:F84">_xlfn.TEXTSPLIT(A84,"_")</f>
        <v>MVPRP</v>
      </c>
      <c r="C84" t="str">
        <v>C10</v>
      </c>
      <c r="D84" t="str">
        <v>P9</v>
      </c>
      <c r="E84" t="str">
        <v>V3</v>
      </c>
      <c r="F84" t="str">
        <v>I1</v>
      </c>
      <c r="G84" t="s">
        <v>117</v>
      </c>
      <c r="H84" t="s">
        <v>26</v>
      </c>
      <c r="I84">
        <v>52638.999136016602</v>
      </c>
      <c r="J84">
        <v>52635.5040288241</v>
      </c>
      <c r="K84">
        <v>6.6397675675101896E-5</v>
      </c>
      <c r="L84">
        <v>249.137942075729</v>
      </c>
      <c r="M84" t="s">
        <v>118</v>
      </c>
      <c r="N84">
        <v>132</v>
      </c>
      <c r="P84">
        <v>2</v>
      </c>
      <c r="Q84">
        <v>0.5</v>
      </c>
      <c r="R84">
        <v>100</v>
      </c>
      <c r="S84">
        <v>50</v>
      </c>
      <c r="T84">
        <v>0</v>
      </c>
      <c r="U84">
        <v>1</v>
      </c>
      <c r="V84" s="1" t="s">
        <v>119</v>
      </c>
      <c r="W84">
        <v>0</v>
      </c>
      <c r="X84">
        <v>9000</v>
      </c>
      <c r="Y84">
        <v>26370</v>
      </c>
      <c r="Z84">
        <v>9789.99983192531</v>
      </c>
      <c r="AA84">
        <v>7478.9993066233401</v>
      </c>
      <c r="AB84">
        <v>0</v>
      </c>
      <c r="AC84">
        <v>0</v>
      </c>
      <c r="AD84">
        <v>0</v>
      </c>
      <c r="AE84">
        <v>191</v>
      </c>
      <c r="AF84">
        <v>0</v>
      </c>
      <c r="AG84">
        <v>12</v>
      </c>
      <c r="AH84">
        <v>0</v>
      </c>
    </row>
    <row r="85" spans="1:34" x14ac:dyDescent="0.25">
      <c r="A85" t="s">
        <v>106</v>
      </c>
      <c r="B85" t="str" cm="1">
        <f t="array" ref="B85:F85">_xlfn.TEXTSPLIT(A85,"_")</f>
        <v>MVPRP</v>
      </c>
      <c r="C85" t="str">
        <v>C30</v>
      </c>
      <c r="D85" t="str">
        <v>P3</v>
      </c>
      <c r="E85" t="str">
        <v>V3</v>
      </c>
      <c r="F85" t="str">
        <v>I1</v>
      </c>
      <c r="G85" t="s">
        <v>117</v>
      </c>
      <c r="H85" t="s">
        <v>26</v>
      </c>
      <c r="I85">
        <v>29172</v>
      </c>
      <c r="J85">
        <v>29172</v>
      </c>
      <c r="K85">
        <v>0</v>
      </c>
      <c r="L85">
        <v>15.691298961639401</v>
      </c>
      <c r="M85" t="s">
        <v>118</v>
      </c>
      <c r="N85">
        <v>228</v>
      </c>
      <c r="P85">
        <v>2</v>
      </c>
      <c r="Q85">
        <v>0.5</v>
      </c>
      <c r="R85">
        <v>100</v>
      </c>
      <c r="S85">
        <v>50</v>
      </c>
      <c r="T85">
        <v>0</v>
      </c>
      <c r="U85">
        <v>1</v>
      </c>
      <c r="V85" s="1" t="s">
        <v>119</v>
      </c>
      <c r="W85">
        <v>0</v>
      </c>
      <c r="X85">
        <v>3000</v>
      </c>
      <c r="Y85">
        <v>16680</v>
      </c>
      <c r="Z85">
        <v>5721</v>
      </c>
      <c r="AA85">
        <v>3771</v>
      </c>
      <c r="AB85">
        <v>0</v>
      </c>
      <c r="AC85">
        <v>0</v>
      </c>
      <c r="AD85">
        <v>0</v>
      </c>
      <c r="AE85">
        <v>288</v>
      </c>
      <c r="AF85">
        <v>0</v>
      </c>
      <c r="AG85">
        <v>64</v>
      </c>
      <c r="AH85">
        <v>0</v>
      </c>
    </row>
    <row r="86" spans="1:34" x14ac:dyDescent="0.25">
      <c r="A86" t="s">
        <v>24</v>
      </c>
      <c r="B86" t="str" cm="1">
        <f t="array" ref="B86:F86">_xlfn.TEXTSPLIT(A86,"_")</f>
        <v>MVPRP</v>
      </c>
      <c r="C86" t="str">
        <v>C15</v>
      </c>
      <c r="D86" t="str">
        <v>P3</v>
      </c>
      <c r="E86" t="str">
        <v>V3</v>
      </c>
      <c r="F86" t="str">
        <v>I3</v>
      </c>
      <c r="G86" t="s">
        <v>136</v>
      </c>
      <c r="H86" t="s">
        <v>26</v>
      </c>
      <c r="I86">
        <v>24162.859640039998</v>
      </c>
      <c r="J86">
        <v>24162.859640039998</v>
      </c>
      <c r="K86">
        <v>0</v>
      </c>
      <c r="L86">
        <v>6.2053918838500997E-2</v>
      </c>
      <c r="M86" t="s">
        <v>118</v>
      </c>
      <c r="N86">
        <v>132</v>
      </c>
      <c r="P86">
        <v>2</v>
      </c>
      <c r="Q86">
        <v>0.5</v>
      </c>
      <c r="R86">
        <v>100</v>
      </c>
      <c r="S86">
        <v>50</v>
      </c>
      <c r="T86">
        <v>0</v>
      </c>
      <c r="U86">
        <v>2</v>
      </c>
      <c r="V86" s="1" t="s">
        <v>28</v>
      </c>
      <c r="W86">
        <v>0.05</v>
      </c>
      <c r="X86">
        <v>3000</v>
      </c>
      <c r="Y86">
        <v>9960</v>
      </c>
      <c r="Z86">
        <v>4200</v>
      </c>
      <c r="AA86">
        <v>6844</v>
      </c>
      <c r="AB86">
        <v>105.90642669333501</v>
      </c>
      <c r="AC86">
        <v>52.953213346667297</v>
      </c>
      <c r="AD86">
        <v>158.85964004000201</v>
      </c>
      <c r="AE86">
        <v>0</v>
      </c>
      <c r="AF86">
        <v>0</v>
      </c>
      <c r="AG86">
        <v>0</v>
      </c>
      <c r="AH86">
        <v>0</v>
      </c>
    </row>
    <row r="87" spans="1:34" x14ac:dyDescent="0.25">
      <c r="A87" t="s">
        <v>29</v>
      </c>
      <c r="B87" t="str" cm="1">
        <f t="array" ref="B87:F87">_xlfn.TEXTSPLIT(A87,"_")</f>
        <v>MVPRP</v>
      </c>
      <c r="C87" t="str">
        <v>C30</v>
      </c>
      <c r="D87" t="str">
        <v>P9</v>
      </c>
      <c r="E87" t="str">
        <v>V3</v>
      </c>
      <c r="F87" t="str">
        <v>I3</v>
      </c>
      <c r="G87" t="s">
        <v>136</v>
      </c>
      <c r="H87" t="s">
        <v>26</v>
      </c>
      <c r="I87">
        <v>128936.478350978</v>
      </c>
      <c r="J87">
        <v>128936.478350978</v>
      </c>
      <c r="K87">
        <v>0</v>
      </c>
      <c r="L87">
        <v>1.9319880008697501</v>
      </c>
      <c r="M87" t="s">
        <v>118</v>
      </c>
      <c r="N87">
        <v>228</v>
      </c>
      <c r="P87">
        <v>2</v>
      </c>
      <c r="Q87">
        <v>0.5</v>
      </c>
      <c r="R87">
        <v>100</v>
      </c>
      <c r="S87">
        <v>50</v>
      </c>
      <c r="T87">
        <v>0</v>
      </c>
      <c r="U87">
        <v>2</v>
      </c>
      <c r="V87" s="1" t="s">
        <v>28</v>
      </c>
      <c r="W87">
        <v>0.05</v>
      </c>
      <c r="X87">
        <v>12000</v>
      </c>
      <c r="Y87">
        <v>67710</v>
      </c>
      <c r="Z87">
        <v>22438</v>
      </c>
      <c r="AA87">
        <v>23995.5</v>
      </c>
      <c r="AB87">
        <v>1861.98556731843</v>
      </c>
      <c r="AC87">
        <v>930.99278365921498</v>
      </c>
      <c r="AD87">
        <v>2792.9783509776498</v>
      </c>
      <c r="AE87">
        <v>0</v>
      </c>
      <c r="AF87">
        <v>0</v>
      </c>
      <c r="AG87">
        <v>0</v>
      </c>
      <c r="AH87">
        <v>0</v>
      </c>
    </row>
    <row r="88" spans="1:34" x14ac:dyDescent="0.25">
      <c r="A88" t="s">
        <v>32</v>
      </c>
      <c r="B88" t="str" cm="1">
        <f t="array" ref="B88:F88">_xlfn.TEXTSPLIT(A88,"_")</f>
        <v>MVPRP</v>
      </c>
      <c r="C88" t="str">
        <v>C15</v>
      </c>
      <c r="D88" t="str">
        <v>P9</v>
      </c>
      <c r="E88" t="str">
        <v>V3</v>
      </c>
      <c r="F88" t="str">
        <v>I1</v>
      </c>
      <c r="G88" t="s">
        <v>136</v>
      </c>
      <c r="H88" t="s">
        <v>26</v>
      </c>
      <c r="I88">
        <v>69995.222006055599</v>
      </c>
      <c r="J88">
        <v>69995.222006055599</v>
      </c>
      <c r="K88">
        <v>0</v>
      </c>
      <c r="L88">
        <v>0.48168206214904802</v>
      </c>
      <c r="M88" t="s">
        <v>118</v>
      </c>
      <c r="N88">
        <v>132</v>
      </c>
      <c r="P88">
        <v>2</v>
      </c>
      <c r="Q88">
        <v>0.5</v>
      </c>
      <c r="R88">
        <v>100</v>
      </c>
      <c r="S88">
        <v>50</v>
      </c>
      <c r="T88">
        <v>0</v>
      </c>
      <c r="U88">
        <v>2</v>
      </c>
      <c r="V88" s="1" t="s">
        <v>28</v>
      </c>
      <c r="W88">
        <v>0.05</v>
      </c>
      <c r="X88">
        <v>9000</v>
      </c>
      <c r="Y88">
        <v>40950</v>
      </c>
      <c r="Z88">
        <v>13146</v>
      </c>
      <c r="AA88">
        <v>6623.5</v>
      </c>
      <c r="AB88">
        <v>183.81467070370999</v>
      </c>
      <c r="AC88">
        <v>91.907335351854996</v>
      </c>
      <c r="AD88">
        <v>275.72200605556498</v>
      </c>
      <c r="AE88">
        <v>0</v>
      </c>
      <c r="AF88">
        <v>0</v>
      </c>
      <c r="AG88">
        <v>0</v>
      </c>
      <c r="AH88">
        <v>0</v>
      </c>
    </row>
    <row r="89" spans="1:34" x14ac:dyDescent="0.25">
      <c r="A89" t="s">
        <v>34</v>
      </c>
      <c r="B89" t="str" cm="1">
        <f t="array" ref="B89:F89">_xlfn.TEXTSPLIT(A89,"_")</f>
        <v>MVPRP</v>
      </c>
      <c r="C89" t="str">
        <v>C40</v>
      </c>
      <c r="D89" t="str">
        <v>P3</v>
      </c>
      <c r="E89" t="str">
        <v>V3</v>
      </c>
      <c r="F89" t="str">
        <v>I3</v>
      </c>
      <c r="G89" t="s">
        <v>136</v>
      </c>
      <c r="H89" t="s">
        <v>26</v>
      </c>
      <c r="I89">
        <v>51505.656298582602</v>
      </c>
      <c r="J89">
        <v>51505.656298582602</v>
      </c>
      <c r="K89">
        <v>0</v>
      </c>
      <c r="L89">
        <v>0.463942050933838</v>
      </c>
      <c r="M89" t="s">
        <v>118</v>
      </c>
      <c r="N89">
        <v>360</v>
      </c>
      <c r="P89">
        <v>2</v>
      </c>
      <c r="Q89">
        <v>0.5</v>
      </c>
      <c r="R89">
        <v>100</v>
      </c>
      <c r="S89">
        <v>50</v>
      </c>
      <c r="T89">
        <v>0</v>
      </c>
      <c r="U89">
        <v>2</v>
      </c>
      <c r="V89" s="1" t="s">
        <v>28</v>
      </c>
      <c r="W89">
        <v>0.05</v>
      </c>
      <c r="X89">
        <v>3000</v>
      </c>
      <c r="Y89">
        <v>27660</v>
      </c>
      <c r="Z89">
        <v>9577</v>
      </c>
      <c r="AA89">
        <v>11072</v>
      </c>
      <c r="AB89">
        <v>131.10419905507601</v>
      </c>
      <c r="AC89">
        <v>65.552099527538104</v>
      </c>
      <c r="AD89">
        <v>196.656298582614</v>
      </c>
      <c r="AE89">
        <v>0</v>
      </c>
      <c r="AF89">
        <v>0</v>
      </c>
      <c r="AG89">
        <v>0</v>
      </c>
      <c r="AH89">
        <v>0</v>
      </c>
    </row>
    <row r="90" spans="1:34" x14ac:dyDescent="0.25">
      <c r="A90" t="s">
        <v>36</v>
      </c>
      <c r="B90" t="str" cm="1">
        <f t="array" ref="B90:F90">_xlfn.TEXTSPLIT(A90,"_")</f>
        <v>MVPRP</v>
      </c>
      <c r="C90" t="str">
        <v>C40</v>
      </c>
      <c r="D90" t="str">
        <v>P3</v>
      </c>
      <c r="E90" t="str">
        <v>V3</v>
      </c>
      <c r="F90" t="str">
        <v>I1</v>
      </c>
      <c r="G90" t="s">
        <v>136</v>
      </c>
      <c r="H90" t="s">
        <v>26</v>
      </c>
      <c r="I90">
        <v>41714.6655546361</v>
      </c>
      <c r="J90">
        <v>41714.665554229701</v>
      </c>
      <c r="K90">
        <v>9.7426926250467206E-12</v>
      </c>
      <c r="L90">
        <v>0.58624386787414595</v>
      </c>
      <c r="M90" t="s">
        <v>118</v>
      </c>
      <c r="N90">
        <v>360</v>
      </c>
      <c r="P90">
        <v>2</v>
      </c>
      <c r="Q90">
        <v>0.5</v>
      </c>
      <c r="R90">
        <v>100</v>
      </c>
      <c r="S90">
        <v>50</v>
      </c>
      <c r="T90">
        <v>0</v>
      </c>
      <c r="U90">
        <v>2</v>
      </c>
      <c r="V90" s="1" t="s">
        <v>28</v>
      </c>
      <c r="W90">
        <v>0.05</v>
      </c>
      <c r="X90">
        <v>6000</v>
      </c>
      <c r="Y90">
        <v>27660</v>
      </c>
      <c r="Z90">
        <v>4692</v>
      </c>
      <c r="AA90">
        <v>3257</v>
      </c>
      <c r="AB90">
        <v>70.443703090738197</v>
      </c>
      <c r="AC90">
        <v>35.221851545369098</v>
      </c>
      <c r="AD90">
        <v>105.665554636107</v>
      </c>
      <c r="AE90">
        <v>0</v>
      </c>
      <c r="AF90">
        <v>0</v>
      </c>
      <c r="AG90">
        <v>0</v>
      </c>
      <c r="AH90">
        <v>0</v>
      </c>
    </row>
    <row r="91" spans="1:34" x14ac:dyDescent="0.25">
      <c r="A91" t="s">
        <v>38</v>
      </c>
      <c r="B91" t="str" cm="1">
        <f t="array" ref="B91:F91">_xlfn.TEXTSPLIT(A91,"_")</f>
        <v>MVPRP</v>
      </c>
      <c r="C91" t="str">
        <v>C20</v>
      </c>
      <c r="D91" t="str">
        <v>P6</v>
      </c>
      <c r="E91" t="str">
        <v>V3</v>
      </c>
      <c r="F91" t="str">
        <v>I1</v>
      </c>
      <c r="G91" t="s">
        <v>136</v>
      </c>
      <c r="H91" t="s">
        <v>26</v>
      </c>
      <c r="I91">
        <v>45340.890509310397</v>
      </c>
      <c r="J91">
        <v>45340.890509310397</v>
      </c>
      <c r="K91">
        <v>0</v>
      </c>
      <c r="L91">
        <v>0.403185844421387</v>
      </c>
      <c r="M91" t="s">
        <v>118</v>
      </c>
      <c r="N91">
        <v>189</v>
      </c>
      <c r="P91">
        <v>2</v>
      </c>
      <c r="Q91">
        <v>0.5</v>
      </c>
      <c r="R91">
        <v>100</v>
      </c>
      <c r="S91">
        <v>50</v>
      </c>
      <c r="T91">
        <v>0</v>
      </c>
      <c r="U91">
        <v>2</v>
      </c>
      <c r="V91" s="1" t="s">
        <v>28</v>
      </c>
      <c r="W91">
        <v>0.05</v>
      </c>
      <c r="X91">
        <v>6000</v>
      </c>
      <c r="Y91">
        <v>23820</v>
      </c>
      <c r="Z91">
        <v>12510</v>
      </c>
      <c r="AA91">
        <v>2933.5</v>
      </c>
      <c r="AB91">
        <v>51.593672873598003</v>
      </c>
      <c r="AC91">
        <v>25.796836436799001</v>
      </c>
      <c r="AD91">
        <v>77.390509310397107</v>
      </c>
      <c r="AE91">
        <v>0</v>
      </c>
      <c r="AF91">
        <v>0</v>
      </c>
      <c r="AG91">
        <v>0</v>
      </c>
      <c r="AH91">
        <v>0</v>
      </c>
    </row>
    <row r="92" spans="1:34" x14ac:dyDescent="0.25">
      <c r="A92" t="s">
        <v>40</v>
      </c>
      <c r="B92" t="str" cm="1">
        <f t="array" ref="B92:F92">_xlfn.TEXTSPLIT(A92,"_")</f>
        <v>MVPRP</v>
      </c>
      <c r="C92" t="str">
        <v>C10</v>
      </c>
      <c r="D92" t="str">
        <v>P3</v>
      </c>
      <c r="E92" t="str">
        <v>V3</v>
      </c>
      <c r="F92" t="str">
        <v>I1</v>
      </c>
      <c r="G92" t="s">
        <v>136</v>
      </c>
      <c r="H92" t="s">
        <v>26</v>
      </c>
      <c r="I92">
        <v>13025.581183165499</v>
      </c>
      <c r="J92">
        <v>13025.581183165499</v>
      </c>
      <c r="K92">
        <v>0</v>
      </c>
      <c r="L92">
        <v>3.8723945617675802E-2</v>
      </c>
      <c r="M92" t="s">
        <v>118</v>
      </c>
      <c r="N92">
        <v>132</v>
      </c>
      <c r="P92">
        <v>2</v>
      </c>
      <c r="Q92">
        <v>0.5</v>
      </c>
      <c r="R92">
        <v>100</v>
      </c>
      <c r="S92">
        <v>50</v>
      </c>
      <c r="T92">
        <v>0</v>
      </c>
      <c r="U92">
        <v>2</v>
      </c>
      <c r="V92" s="1" t="s">
        <v>28</v>
      </c>
      <c r="W92">
        <v>0.05</v>
      </c>
      <c r="X92">
        <v>3000</v>
      </c>
      <c r="Y92">
        <v>6390</v>
      </c>
      <c r="Z92">
        <v>2313</v>
      </c>
      <c r="AA92">
        <v>1299.5</v>
      </c>
      <c r="AB92">
        <v>15.387455443648101</v>
      </c>
      <c r="AC92">
        <v>7.6937277218240299</v>
      </c>
      <c r="AD92">
        <v>23.081183165472101</v>
      </c>
      <c r="AE92">
        <v>0</v>
      </c>
      <c r="AF92">
        <v>0</v>
      </c>
      <c r="AG92">
        <v>0</v>
      </c>
      <c r="AH92">
        <v>0</v>
      </c>
    </row>
    <row r="93" spans="1:34" x14ac:dyDescent="0.25">
      <c r="A93" t="s">
        <v>42</v>
      </c>
      <c r="B93" t="str" cm="1">
        <f t="array" ref="B93:F93">_xlfn.TEXTSPLIT(A93,"_")</f>
        <v>MVPRP</v>
      </c>
      <c r="C93" t="str">
        <v>C45</v>
      </c>
      <c r="D93" t="str">
        <v>P3</v>
      </c>
      <c r="E93" t="str">
        <v>V3</v>
      </c>
      <c r="F93" t="str">
        <v>I3</v>
      </c>
      <c r="G93" t="s">
        <v>136</v>
      </c>
      <c r="H93" t="s">
        <v>26</v>
      </c>
      <c r="I93">
        <v>59127.871321666098</v>
      </c>
      <c r="J93">
        <v>59127.871321666003</v>
      </c>
      <c r="K93">
        <v>0</v>
      </c>
      <c r="L93">
        <v>1.0181260108947801</v>
      </c>
      <c r="M93" t="s">
        <v>118</v>
      </c>
      <c r="N93">
        <v>360</v>
      </c>
      <c r="P93">
        <v>2</v>
      </c>
      <c r="Q93">
        <v>0.5</v>
      </c>
      <c r="R93">
        <v>100</v>
      </c>
      <c r="S93">
        <v>50</v>
      </c>
      <c r="T93">
        <v>0</v>
      </c>
      <c r="U93">
        <v>2</v>
      </c>
      <c r="V93" s="1" t="s">
        <v>28</v>
      </c>
      <c r="W93">
        <v>0.05</v>
      </c>
      <c r="X93">
        <v>3000</v>
      </c>
      <c r="Y93">
        <v>33060</v>
      </c>
      <c r="Z93">
        <v>11010</v>
      </c>
      <c r="AA93">
        <v>11826.5</v>
      </c>
      <c r="AB93">
        <v>154.247547777362</v>
      </c>
      <c r="AC93">
        <v>77.123773888680802</v>
      </c>
      <c r="AD93">
        <v>231.37132166604201</v>
      </c>
      <c r="AE93">
        <v>0</v>
      </c>
      <c r="AF93">
        <v>0</v>
      </c>
      <c r="AG93">
        <v>0</v>
      </c>
      <c r="AH93">
        <v>0</v>
      </c>
    </row>
    <row r="94" spans="1:34" x14ac:dyDescent="0.25">
      <c r="A94" t="s">
        <v>44</v>
      </c>
      <c r="B94" t="str" cm="1">
        <f t="array" ref="B94:F94">_xlfn.TEXTSPLIT(A94,"_")</f>
        <v>MVPRP</v>
      </c>
      <c r="C94" t="str">
        <v>C20</v>
      </c>
      <c r="D94" t="str">
        <v>P3</v>
      </c>
      <c r="E94" t="str">
        <v>V3</v>
      </c>
      <c r="F94" t="str">
        <v>I1</v>
      </c>
      <c r="G94" t="s">
        <v>136</v>
      </c>
      <c r="H94" t="s">
        <v>26</v>
      </c>
      <c r="I94">
        <v>20945.2212283318</v>
      </c>
      <c r="J94">
        <v>20945.2212283318</v>
      </c>
      <c r="K94">
        <v>0</v>
      </c>
      <c r="L94">
        <v>8.70928764343262E-2</v>
      </c>
      <c r="M94" t="s">
        <v>118</v>
      </c>
      <c r="N94">
        <v>189</v>
      </c>
      <c r="P94">
        <v>2</v>
      </c>
      <c r="Q94">
        <v>0.5</v>
      </c>
      <c r="R94">
        <v>100</v>
      </c>
      <c r="S94">
        <v>50</v>
      </c>
      <c r="T94">
        <v>0</v>
      </c>
      <c r="U94">
        <v>2</v>
      </c>
      <c r="V94" s="1" t="s">
        <v>28</v>
      </c>
      <c r="W94">
        <v>0.05</v>
      </c>
      <c r="X94">
        <v>3000</v>
      </c>
      <c r="Y94">
        <v>12030</v>
      </c>
      <c r="Z94">
        <v>3897</v>
      </c>
      <c r="AA94">
        <v>1983</v>
      </c>
      <c r="AB94">
        <v>23.480818887844599</v>
      </c>
      <c r="AC94">
        <v>11.740409443922299</v>
      </c>
      <c r="AD94">
        <v>35.221228331766902</v>
      </c>
      <c r="AE94">
        <v>0</v>
      </c>
      <c r="AF94">
        <v>0</v>
      </c>
      <c r="AG94">
        <v>0</v>
      </c>
      <c r="AH94">
        <v>0</v>
      </c>
    </row>
    <row r="95" spans="1:34" x14ac:dyDescent="0.25">
      <c r="A95" t="s">
        <v>46</v>
      </c>
      <c r="B95" t="str" cm="1">
        <f t="array" ref="B95:F95">_xlfn.TEXTSPLIT(A95,"_")</f>
        <v>MVPRP</v>
      </c>
      <c r="C95" t="str">
        <v>C35</v>
      </c>
      <c r="D95" t="str">
        <v>P3</v>
      </c>
      <c r="E95" t="str">
        <v>V3</v>
      </c>
      <c r="F95" t="str">
        <v>I3</v>
      </c>
      <c r="G95" t="s">
        <v>136</v>
      </c>
      <c r="H95" t="s">
        <v>26</v>
      </c>
      <c r="I95">
        <v>41528.485566394898</v>
      </c>
      <c r="J95">
        <v>41528.485566394898</v>
      </c>
      <c r="K95">
        <v>0</v>
      </c>
      <c r="L95">
        <v>0.251204013824463</v>
      </c>
      <c r="M95" t="s">
        <v>118</v>
      </c>
      <c r="N95">
        <v>276</v>
      </c>
      <c r="P95">
        <v>2</v>
      </c>
      <c r="Q95">
        <v>0.5</v>
      </c>
      <c r="R95">
        <v>100</v>
      </c>
      <c r="S95">
        <v>50</v>
      </c>
      <c r="T95">
        <v>0</v>
      </c>
      <c r="U95">
        <v>2</v>
      </c>
      <c r="V95" s="1" t="s">
        <v>28</v>
      </c>
      <c r="W95">
        <v>0.05</v>
      </c>
      <c r="X95">
        <v>3000</v>
      </c>
      <c r="Y95">
        <v>21600</v>
      </c>
      <c r="Z95">
        <v>7360</v>
      </c>
      <c r="AA95">
        <v>9401.5</v>
      </c>
      <c r="AB95">
        <v>111.32371092994001</v>
      </c>
      <c r="AC95">
        <v>55.661855464970103</v>
      </c>
      <c r="AD95">
        <v>166.98556639490999</v>
      </c>
      <c r="AE95">
        <v>0</v>
      </c>
      <c r="AF95">
        <v>0</v>
      </c>
      <c r="AG95">
        <v>0</v>
      </c>
      <c r="AH95">
        <v>0</v>
      </c>
    </row>
    <row r="96" spans="1:34" x14ac:dyDescent="0.25">
      <c r="A96" t="s">
        <v>48</v>
      </c>
      <c r="B96" t="str" cm="1">
        <f t="array" ref="B96:F96">_xlfn.TEXTSPLIT(A96,"_")</f>
        <v>MVPRP</v>
      </c>
      <c r="C96" t="str">
        <v>C40</v>
      </c>
      <c r="D96" t="str">
        <v>P6</v>
      </c>
      <c r="E96" t="str">
        <v>V3</v>
      </c>
      <c r="F96" t="str">
        <v>I1</v>
      </c>
      <c r="G96" t="s">
        <v>136</v>
      </c>
      <c r="H96" t="s">
        <v>26</v>
      </c>
      <c r="I96">
        <v>92143.426089322704</v>
      </c>
      <c r="J96">
        <v>92143.426089322704</v>
      </c>
      <c r="K96">
        <v>0</v>
      </c>
      <c r="L96">
        <v>2.09613013267517</v>
      </c>
      <c r="M96" t="s">
        <v>118</v>
      </c>
      <c r="N96">
        <v>360</v>
      </c>
      <c r="P96">
        <v>2</v>
      </c>
      <c r="Q96">
        <v>0.5</v>
      </c>
      <c r="R96">
        <v>100</v>
      </c>
      <c r="S96">
        <v>50</v>
      </c>
      <c r="T96">
        <v>0</v>
      </c>
      <c r="U96">
        <v>2</v>
      </c>
      <c r="V96" s="1" t="s">
        <v>28</v>
      </c>
      <c r="W96">
        <v>0.05</v>
      </c>
      <c r="X96">
        <v>6000</v>
      </c>
      <c r="Y96">
        <v>55170</v>
      </c>
      <c r="Z96">
        <v>25151</v>
      </c>
      <c r="AA96">
        <v>5592.5</v>
      </c>
      <c r="AB96">
        <v>153.284059548453</v>
      </c>
      <c r="AC96">
        <v>76.642029774226401</v>
      </c>
      <c r="AD96">
        <v>229.92608932267899</v>
      </c>
      <c r="AE96">
        <v>0</v>
      </c>
      <c r="AF96">
        <v>0</v>
      </c>
      <c r="AG96">
        <v>0</v>
      </c>
      <c r="AH96">
        <v>0</v>
      </c>
    </row>
    <row r="97" spans="1:34" x14ac:dyDescent="0.25">
      <c r="A97" t="s">
        <v>50</v>
      </c>
      <c r="B97" t="str" cm="1">
        <f t="array" ref="B97:F97">_xlfn.TEXTSPLIT(A97,"_")</f>
        <v>MVPRP</v>
      </c>
      <c r="C97" t="str">
        <v>C10</v>
      </c>
      <c r="D97" t="str">
        <v>P3</v>
      </c>
      <c r="E97" t="str">
        <v>V3</v>
      </c>
      <c r="F97" t="str">
        <v>I3</v>
      </c>
      <c r="G97" t="s">
        <v>136</v>
      </c>
      <c r="H97" t="s">
        <v>26</v>
      </c>
      <c r="I97">
        <v>16684.5152113289</v>
      </c>
      <c r="J97">
        <v>16684.5152113289</v>
      </c>
      <c r="K97">
        <v>0</v>
      </c>
      <c r="L97">
        <v>3.6213874816894497E-2</v>
      </c>
      <c r="M97" t="s">
        <v>118</v>
      </c>
      <c r="N97">
        <v>132</v>
      </c>
      <c r="P97">
        <v>2</v>
      </c>
      <c r="Q97">
        <v>0.5</v>
      </c>
      <c r="R97">
        <v>100</v>
      </c>
      <c r="S97">
        <v>50</v>
      </c>
      <c r="T97">
        <v>0</v>
      </c>
      <c r="U97">
        <v>2</v>
      </c>
      <c r="V97" s="1" t="s">
        <v>28</v>
      </c>
      <c r="W97">
        <v>0.05</v>
      </c>
      <c r="X97">
        <v>3000</v>
      </c>
      <c r="Y97">
        <v>6390</v>
      </c>
      <c r="Z97">
        <v>3082</v>
      </c>
      <c r="AA97">
        <v>4139</v>
      </c>
      <c r="AB97">
        <v>49.010140885924798</v>
      </c>
      <c r="AC97">
        <v>24.505070442962399</v>
      </c>
      <c r="AD97">
        <v>73.515211328887204</v>
      </c>
      <c r="AE97">
        <v>0</v>
      </c>
      <c r="AF97">
        <v>0</v>
      </c>
      <c r="AG97">
        <v>0</v>
      </c>
      <c r="AH97">
        <v>0</v>
      </c>
    </row>
    <row r="98" spans="1:34" x14ac:dyDescent="0.25">
      <c r="A98" t="s">
        <v>52</v>
      </c>
      <c r="B98" t="str" cm="1">
        <f t="array" ref="B98:F98">_xlfn.TEXTSPLIT(A98,"_")</f>
        <v>MVPRP</v>
      </c>
      <c r="C98" t="str">
        <v>C30</v>
      </c>
      <c r="D98" t="str">
        <v>P3</v>
      </c>
      <c r="E98" t="str">
        <v>V3</v>
      </c>
      <c r="F98" t="str">
        <v>I3</v>
      </c>
      <c r="G98" t="s">
        <v>136</v>
      </c>
      <c r="H98" t="s">
        <v>26</v>
      </c>
      <c r="I98">
        <v>34147.722698161</v>
      </c>
      <c r="J98">
        <v>34147.722698161</v>
      </c>
      <c r="K98">
        <v>0</v>
      </c>
      <c r="L98">
        <v>0.184254169464111</v>
      </c>
      <c r="M98" t="s">
        <v>118</v>
      </c>
      <c r="N98">
        <v>228</v>
      </c>
      <c r="P98">
        <v>2</v>
      </c>
      <c r="Q98">
        <v>0.5</v>
      </c>
      <c r="R98">
        <v>100</v>
      </c>
      <c r="S98">
        <v>50</v>
      </c>
      <c r="T98">
        <v>0</v>
      </c>
      <c r="U98">
        <v>2</v>
      </c>
      <c r="V98" s="1" t="s">
        <v>28</v>
      </c>
      <c r="W98">
        <v>0.05</v>
      </c>
      <c r="X98">
        <v>3000</v>
      </c>
      <c r="Y98">
        <v>16680</v>
      </c>
      <c r="Z98">
        <v>6535</v>
      </c>
      <c r="AA98">
        <v>7638</v>
      </c>
      <c r="AB98">
        <v>196.481798774015</v>
      </c>
      <c r="AC98">
        <v>98.240899387007403</v>
      </c>
      <c r="AD98">
        <v>294.722698161023</v>
      </c>
      <c r="AE98">
        <v>0</v>
      </c>
      <c r="AF98">
        <v>0</v>
      </c>
      <c r="AG98">
        <v>0</v>
      </c>
      <c r="AH98">
        <v>0</v>
      </c>
    </row>
    <row r="99" spans="1:34" x14ac:dyDescent="0.25">
      <c r="A99" t="s">
        <v>54</v>
      </c>
      <c r="B99" t="str" cm="1">
        <f t="array" ref="B99:F99">_xlfn.TEXTSPLIT(A99,"_")</f>
        <v>MVPRP</v>
      </c>
      <c r="C99" t="str">
        <v>C20</v>
      </c>
      <c r="D99" t="str">
        <v>P3</v>
      </c>
      <c r="E99" t="str">
        <v>V3</v>
      </c>
      <c r="F99" t="str">
        <v>I3</v>
      </c>
      <c r="G99" t="s">
        <v>136</v>
      </c>
      <c r="H99" t="s">
        <v>26</v>
      </c>
      <c r="I99">
        <v>27023.1053811036</v>
      </c>
      <c r="J99">
        <v>27023.1053811036</v>
      </c>
      <c r="K99">
        <v>0</v>
      </c>
      <c r="L99">
        <v>8.9956998825073201E-2</v>
      </c>
      <c r="M99" t="s">
        <v>118</v>
      </c>
      <c r="N99">
        <v>189</v>
      </c>
      <c r="P99">
        <v>2</v>
      </c>
      <c r="Q99">
        <v>0.5</v>
      </c>
      <c r="R99">
        <v>100</v>
      </c>
      <c r="S99">
        <v>50</v>
      </c>
      <c r="T99">
        <v>0</v>
      </c>
      <c r="U99">
        <v>2</v>
      </c>
      <c r="V99" s="1" t="s">
        <v>28</v>
      </c>
      <c r="W99">
        <v>0.05</v>
      </c>
      <c r="X99">
        <v>3000</v>
      </c>
      <c r="Y99">
        <v>12030</v>
      </c>
      <c r="Z99">
        <v>4509</v>
      </c>
      <c r="AA99">
        <v>7247.5</v>
      </c>
      <c r="AB99">
        <v>157.736920735746</v>
      </c>
      <c r="AC99">
        <v>78.868460367872899</v>
      </c>
      <c r="AD99">
        <v>236.60538110361901</v>
      </c>
      <c r="AE99">
        <v>0</v>
      </c>
      <c r="AF99">
        <v>0</v>
      </c>
      <c r="AG99">
        <v>0</v>
      </c>
      <c r="AH99">
        <v>0</v>
      </c>
    </row>
    <row r="100" spans="1:34" x14ac:dyDescent="0.25">
      <c r="A100" t="s">
        <v>56</v>
      </c>
      <c r="B100" t="str" cm="1">
        <f t="array" ref="B100:F100">_xlfn.TEXTSPLIT(A100,"_")</f>
        <v>MVPRP</v>
      </c>
      <c r="C100" t="str">
        <v>C35</v>
      </c>
      <c r="D100" t="str">
        <v>P6</v>
      </c>
      <c r="E100" t="str">
        <v>V3</v>
      </c>
      <c r="F100" t="str">
        <v>I3</v>
      </c>
      <c r="G100" t="s">
        <v>136</v>
      </c>
      <c r="H100" t="s">
        <v>26</v>
      </c>
      <c r="I100">
        <v>86286.751912180698</v>
      </c>
      <c r="J100">
        <v>86286.751912180698</v>
      </c>
      <c r="K100">
        <v>0</v>
      </c>
      <c r="L100">
        <v>1.0528998374939</v>
      </c>
      <c r="M100" t="s">
        <v>118</v>
      </c>
      <c r="N100">
        <v>276</v>
      </c>
      <c r="P100">
        <v>2</v>
      </c>
      <c r="Q100">
        <v>0.5</v>
      </c>
      <c r="R100">
        <v>100</v>
      </c>
      <c r="S100">
        <v>50</v>
      </c>
      <c r="T100">
        <v>0</v>
      </c>
      <c r="U100">
        <v>2</v>
      </c>
      <c r="V100" s="1" t="s">
        <v>28</v>
      </c>
      <c r="W100">
        <v>0.05</v>
      </c>
      <c r="X100">
        <v>6000</v>
      </c>
      <c r="Y100">
        <v>42900</v>
      </c>
      <c r="Z100">
        <v>21082</v>
      </c>
      <c r="AA100">
        <v>15104</v>
      </c>
      <c r="AB100">
        <v>800.50127478712398</v>
      </c>
      <c r="AC100">
        <v>400.25063739356199</v>
      </c>
      <c r="AD100">
        <v>1200.7519121806899</v>
      </c>
      <c r="AE100">
        <v>0</v>
      </c>
      <c r="AF100">
        <v>0</v>
      </c>
      <c r="AG100">
        <v>0</v>
      </c>
      <c r="AH100">
        <v>0</v>
      </c>
    </row>
    <row r="101" spans="1:34" x14ac:dyDescent="0.25">
      <c r="A101" t="s">
        <v>58</v>
      </c>
      <c r="B101" t="str" cm="1">
        <f t="array" ref="B101:F101">_xlfn.TEXTSPLIT(A101,"_")</f>
        <v>MVPRP</v>
      </c>
      <c r="C101" t="str">
        <v>C25</v>
      </c>
      <c r="D101" t="str">
        <v>P6</v>
      </c>
      <c r="E101" t="str">
        <v>V3</v>
      </c>
      <c r="F101" t="str">
        <v>I3</v>
      </c>
      <c r="G101" t="s">
        <v>136</v>
      </c>
      <c r="H101" t="s">
        <v>26</v>
      </c>
      <c r="I101">
        <v>66330.031882249197</v>
      </c>
      <c r="J101">
        <v>66330.031882249095</v>
      </c>
      <c r="K101">
        <v>0</v>
      </c>
      <c r="L101">
        <v>0.448040962219238</v>
      </c>
      <c r="M101" t="s">
        <v>118</v>
      </c>
      <c r="N101">
        <v>189</v>
      </c>
      <c r="P101">
        <v>2</v>
      </c>
      <c r="Q101">
        <v>0.5</v>
      </c>
      <c r="R101">
        <v>100</v>
      </c>
      <c r="S101">
        <v>50</v>
      </c>
      <c r="T101">
        <v>0</v>
      </c>
      <c r="U101">
        <v>2</v>
      </c>
      <c r="V101" s="1" t="s">
        <v>28</v>
      </c>
      <c r="W101">
        <v>0.05</v>
      </c>
      <c r="X101">
        <v>6000</v>
      </c>
      <c r="Y101">
        <v>28380</v>
      </c>
      <c r="Z101">
        <v>18457</v>
      </c>
      <c r="AA101">
        <v>12390.5</v>
      </c>
      <c r="AB101">
        <v>735.02125483278098</v>
      </c>
      <c r="AC101">
        <v>367.510627416391</v>
      </c>
      <c r="AD101">
        <v>1102.5318822491699</v>
      </c>
      <c r="AE101">
        <v>0</v>
      </c>
      <c r="AF101">
        <v>0</v>
      </c>
      <c r="AG101">
        <v>0</v>
      </c>
      <c r="AH101">
        <v>0</v>
      </c>
    </row>
    <row r="102" spans="1:34" x14ac:dyDescent="0.25">
      <c r="A102" t="s">
        <v>60</v>
      </c>
      <c r="B102" t="str" cm="1">
        <f t="array" ref="B102:F102">_xlfn.TEXTSPLIT(A102,"_")</f>
        <v>MVPRP</v>
      </c>
      <c r="C102" t="str">
        <v>C15</v>
      </c>
      <c r="D102" t="str">
        <v>P6</v>
      </c>
      <c r="E102" t="str">
        <v>V3</v>
      </c>
      <c r="F102" t="str">
        <v>I3</v>
      </c>
      <c r="G102" t="s">
        <v>136</v>
      </c>
      <c r="H102" t="s">
        <v>26</v>
      </c>
      <c r="I102">
        <v>50192.775307358599</v>
      </c>
      <c r="J102">
        <v>50192.775307358497</v>
      </c>
      <c r="K102">
        <v>0</v>
      </c>
      <c r="L102">
        <v>0.19164109230041501</v>
      </c>
      <c r="M102" t="s">
        <v>118</v>
      </c>
      <c r="N102">
        <v>132</v>
      </c>
      <c r="P102">
        <v>2</v>
      </c>
      <c r="Q102">
        <v>0.5</v>
      </c>
      <c r="R102">
        <v>100</v>
      </c>
      <c r="S102">
        <v>50</v>
      </c>
      <c r="T102">
        <v>0</v>
      </c>
      <c r="U102">
        <v>2</v>
      </c>
      <c r="V102" s="1" t="s">
        <v>28</v>
      </c>
      <c r="W102">
        <v>0.05</v>
      </c>
      <c r="X102">
        <v>6000</v>
      </c>
      <c r="Y102">
        <v>19800</v>
      </c>
      <c r="Z102">
        <v>12042</v>
      </c>
      <c r="AA102">
        <v>11422.5</v>
      </c>
      <c r="AB102">
        <v>618.85020490575096</v>
      </c>
      <c r="AC102">
        <v>309.42510245287502</v>
      </c>
      <c r="AD102">
        <v>928.27530735862604</v>
      </c>
      <c r="AE102">
        <v>0</v>
      </c>
      <c r="AF102">
        <v>0</v>
      </c>
      <c r="AG102">
        <v>0</v>
      </c>
      <c r="AH102">
        <v>0</v>
      </c>
    </row>
    <row r="103" spans="1:34" x14ac:dyDescent="0.25">
      <c r="A103" t="s">
        <v>62</v>
      </c>
      <c r="B103" t="str" cm="1">
        <f t="array" ref="B103:F103">_xlfn.TEXTSPLIT(A103,"_")</f>
        <v>MVPRP</v>
      </c>
      <c r="C103" t="str">
        <v>C50</v>
      </c>
      <c r="D103" t="str">
        <v>P3</v>
      </c>
      <c r="E103" t="str">
        <v>V3</v>
      </c>
      <c r="F103" t="str">
        <v>I3</v>
      </c>
      <c r="G103" t="s">
        <v>136</v>
      </c>
      <c r="H103" t="s">
        <v>26</v>
      </c>
      <c r="I103">
        <v>54811.140986393599</v>
      </c>
      <c r="J103">
        <v>54811.1409863874</v>
      </c>
      <c r="K103">
        <v>1.12170337514252E-13</v>
      </c>
      <c r="L103">
        <v>0.75376915931701705</v>
      </c>
      <c r="M103" t="s">
        <v>118</v>
      </c>
      <c r="N103">
        <v>360</v>
      </c>
      <c r="P103">
        <v>2</v>
      </c>
      <c r="Q103">
        <v>0.5</v>
      </c>
      <c r="R103">
        <v>100</v>
      </c>
      <c r="S103">
        <v>50</v>
      </c>
      <c r="T103">
        <v>0</v>
      </c>
      <c r="U103">
        <v>2</v>
      </c>
      <c r="V103" s="1" t="s">
        <v>28</v>
      </c>
      <c r="W103">
        <v>0.05</v>
      </c>
      <c r="X103">
        <v>3000</v>
      </c>
      <c r="Y103">
        <v>29580</v>
      </c>
      <c r="Z103">
        <v>10419</v>
      </c>
      <c r="AA103">
        <v>11606</v>
      </c>
      <c r="AB103">
        <v>137.427324262393</v>
      </c>
      <c r="AC103">
        <v>68.713662131196401</v>
      </c>
      <c r="AD103">
        <v>206.140986393589</v>
      </c>
      <c r="AE103">
        <v>0</v>
      </c>
      <c r="AF103">
        <v>0</v>
      </c>
      <c r="AG103">
        <v>0</v>
      </c>
      <c r="AH103">
        <v>0</v>
      </c>
    </row>
    <row r="104" spans="1:34" x14ac:dyDescent="0.25">
      <c r="A104" t="s">
        <v>64</v>
      </c>
      <c r="B104" t="str" cm="1">
        <f t="array" ref="B104:F104">_xlfn.TEXTSPLIT(A104,"_")</f>
        <v>MVPRP</v>
      </c>
      <c r="C104" t="str">
        <v>C30</v>
      </c>
      <c r="D104" t="str">
        <v>P6</v>
      </c>
      <c r="E104" t="str">
        <v>V3</v>
      </c>
      <c r="F104" t="str">
        <v>I3</v>
      </c>
      <c r="G104" t="s">
        <v>136</v>
      </c>
      <c r="H104" t="s">
        <v>26</v>
      </c>
      <c r="I104">
        <v>70818.445352732306</v>
      </c>
      <c r="J104">
        <v>70818.445352732306</v>
      </c>
      <c r="K104">
        <v>0</v>
      </c>
      <c r="L104">
        <v>1.34233498573303</v>
      </c>
      <c r="M104" t="s">
        <v>118</v>
      </c>
      <c r="N104">
        <v>228</v>
      </c>
      <c r="P104">
        <v>2</v>
      </c>
      <c r="Q104">
        <v>0.5</v>
      </c>
      <c r="R104">
        <v>100</v>
      </c>
      <c r="S104">
        <v>50</v>
      </c>
      <c r="T104">
        <v>0</v>
      </c>
      <c r="U104">
        <v>2</v>
      </c>
      <c r="V104" s="1" t="s">
        <v>28</v>
      </c>
      <c r="W104">
        <v>0.05</v>
      </c>
      <c r="X104">
        <v>6000</v>
      </c>
      <c r="Y104">
        <v>33149.999999999898</v>
      </c>
      <c r="Z104">
        <v>17739.999984542501</v>
      </c>
      <c r="AA104">
        <v>12929.5</v>
      </c>
      <c r="AB104">
        <v>665.96357879320306</v>
      </c>
      <c r="AC104">
        <v>332.98178939660102</v>
      </c>
      <c r="AD104">
        <v>998.94536818980396</v>
      </c>
      <c r="AE104">
        <v>0</v>
      </c>
      <c r="AF104">
        <v>0</v>
      </c>
      <c r="AG104">
        <v>0</v>
      </c>
      <c r="AH104">
        <v>0</v>
      </c>
    </row>
    <row r="105" spans="1:34" x14ac:dyDescent="0.25">
      <c r="A105" t="s">
        <v>66</v>
      </c>
      <c r="B105" t="str" cm="1">
        <f t="array" ref="B105:F105">_xlfn.TEXTSPLIT(A105,"_")</f>
        <v>MVPRP</v>
      </c>
      <c r="C105" t="str">
        <v>C45</v>
      </c>
      <c r="D105" t="str">
        <v>P3</v>
      </c>
      <c r="E105" t="str">
        <v>V3</v>
      </c>
      <c r="F105" t="str">
        <v>I1</v>
      </c>
      <c r="G105" t="s">
        <v>136</v>
      </c>
      <c r="H105" t="s">
        <v>26</v>
      </c>
      <c r="I105">
        <v>47594.573005964601</v>
      </c>
      <c r="J105">
        <v>47594.573005258302</v>
      </c>
      <c r="K105">
        <v>1.48394483026515E-11</v>
      </c>
      <c r="L105">
        <v>0.88113212585449197</v>
      </c>
      <c r="M105" t="s">
        <v>118</v>
      </c>
      <c r="N105">
        <v>360</v>
      </c>
      <c r="P105">
        <v>2</v>
      </c>
      <c r="Q105">
        <v>0.5</v>
      </c>
      <c r="R105">
        <v>100</v>
      </c>
      <c r="S105">
        <v>50</v>
      </c>
      <c r="T105">
        <v>0</v>
      </c>
      <c r="U105">
        <v>2</v>
      </c>
      <c r="V105" s="1" t="s">
        <v>28</v>
      </c>
      <c r="W105">
        <v>0.05</v>
      </c>
      <c r="X105">
        <v>6000</v>
      </c>
      <c r="Y105">
        <v>33060</v>
      </c>
      <c r="Z105">
        <v>4926</v>
      </c>
      <c r="AA105">
        <v>3474</v>
      </c>
      <c r="AB105">
        <v>89.715337309726394</v>
      </c>
      <c r="AC105">
        <v>44.857668654863197</v>
      </c>
      <c r="AD105">
        <v>134.57300596459001</v>
      </c>
      <c r="AE105">
        <v>0</v>
      </c>
      <c r="AF105">
        <v>0</v>
      </c>
      <c r="AG105">
        <v>0</v>
      </c>
      <c r="AH105">
        <v>0</v>
      </c>
    </row>
    <row r="106" spans="1:34" x14ac:dyDescent="0.25">
      <c r="A106" t="s">
        <v>68</v>
      </c>
      <c r="B106" t="str" cm="1">
        <f t="array" ref="B106:F106">_xlfn.TEXTSPLIT(A106,"_")</f>
        <v>MVPRP</v>
      </c>
      <c r="C106" t="str">
        <v>C25</v>
      </c>
      <c r="D106" t="str">
        <v>P6</v>
      </c>
      <c r="E106" t="str">
        <v>V3</v>
      </c>
      <c r="F106" t="str">
        <v>I1</v>
      </c>
      <c r="G106" t="s">
        <v>136</v>
      </c>
      <c r="H106" t="s">
        <v>26</v>
      </c>
      <c r="I106">
        <v>54514.809709988898</v>
      </c>
      <c r="J106">
        <v>54511.181844027698</v>
      </c>
      <c r="K106">
        <v>6.6548264233276603E-5</v>
      </c>
      <c r="L106">
        <v>0.48333787918090798</v>
      </c>
      <c r="M106" t="s">
        <v>118</v>
      </c>
      <c r="N106">
        <v>189</v>
      </c>
      <c r="P106">
        <v>2</v>
      </c>
      <c r="Q106">
        <v>0.5</v>
      </c>
      <c r="R106">
        <v>100</v>
      </c>
      <c r="S106">
        <v>50</v>
      </c>
      <c r="T106">
        <v>0</v>
      </c>
      <c r="U106">
        <v>2</v>
      </c>
      <c r="V106" s="1" t="s">
        <v>28</v>
      </c>
      <c r="W106">
        <v>0.05</v>
      </c>
      <c r="X106">
        <v>6000</v>
      </c>
      <c r="Y106">
        <v>28380</v>
      </c>
      <c r="Z106">
        <v>16316</v>
      </c>
      <c r="AA106">
        <v>3705</v>
      </c>
      <c r="AB106">
        <v>75.873139992585493</v>
      </c>
      <c r="AC106">
        <v>37.936569996292803</v>
      </c>
      <c r="AD106">
        <v>113.809709988878</v>
      </c>
      <c r="AE106">
        <v>0</v>
      </c>
      <c r="AF106">
        <v>0</v>
      </c>
      <c r="AG106">
        <v>0</v>
      </c>
      <c r="AH106">
        <v>0</v>
      </c>
    </row>
    <row r="107" spans="1:34" x14ac:dyDescent="0.25">
      <c r="A107" t="s">
        <v>70</v>
      </c>
      <c r="B107" t="str" cm="1">
        <f t="array" ref="B107:F107">_xlfn.TEXTSPLIT(A107,"_")</f>
        <v>MVPRP</v>
      </c>
      <c r="C107" t="str">
        <v>C35</v>
      </c>
      <c r="D107" t="str">
        <v>P6</v>
      </c>
      <c r="E107" t="str">
        <v>V3</v>
      </c>
      <c r="F107" t="str">
        <v>I1</v>
      </c>
      <c r="G107" t="s">
        <v>136</v>
      </c>
      <c r="H107" t="s">
        <v>26</v>
      </c>
      <c r="I107">
        <v>71408.633299448004</v>
      </c>
      <c r="J107">
        <v>71408.633299448004</v>
      </c>
      <c r="K107">
        <v>0</v>
      </c>
      <c r="L107">
        <v>1.1596198081970199</v>
      </c>
      <c r="M107" t="s">
        <v>118</v>
      </c>
      <c r="N107">
        <v>276</v>
      </c>
      <c r="P107">
        <v>2</v>
      </c>
      <c r="Q107">
        <v>0.5</v>
      </c>
      <c r="R107">
        <v>100</v>
      </c>
      <c r="S107">
        <v>50</v>
      </c>
      <c r="T107">
        <v>0</v>
      </c>
      <c r="U107">
        <v>2</v>
      </c>
      <c r="V107" s="1" t="s">
        <v>28</v>
      </c>
      <c r="W107">
        <v>0.05</v>
      </c>
      <c r="X107">
        <v>6000.0012675673597</v>
      </c>
      <c r="Y107">
        <v>42900</v>
      </c>
      <c r="Z107">
        <v>17310.997469738599</v>
      </c>
      <c r="AA107">
        <v>5021.0011817757504</v>
      </c>
      <c r="AB107">
        <v>117.75558691083</v>
      </c>
      <c r="AC107">
        <v>58.877793455415201</v>
      </c>
      <c r="AD107">
        <v>176.633380366246</v>
      </c>
      <c r="AE107">
        <v>0</v>
      </c>
      <c r="AF107">
        <v>0</v>
      </c>
      <c r="AG107">
        <v>0</v>
      </c>
      <c r="AH107">
        <v>0</v>
      </c>
    </row>
    <row r="108" spans="1:34" x14ac:dyDescent="0.25">
      <c r="A108" t="s">
        <v>72</v>
      </c>
      <c r="B108" t="str" cm="1">
        <f t="array" ref="B108:F108">_xlfn.TEXTSPLIT(A108,"_")</f>
        <v>MVPRP</v>
      </c>
      <c r="C108" t="str">
        <v>C25</v>
      </c>
      <c r="D108" t="str">
        <v>P3</v>
      </c>
      <c r="E108" t="str">
        <v>V3</v>
      </c>
      <c r="F108" t="str">
        <v>I1</v>
      </c>
      <c r="G108" t="s">
        <v>136</v>
      </c>
      <c r="H108" t="s">
        <v>26</v>
      </c>
      <c r="I108">
        <v>24674.5535864923</v>
      </c>
      <c r="J108">
        <v>24674.5535864923</v>
      </c>
      <c r="K108">
        <v>0</v>
      </c>
      <c r="L108">
        <v>0.151582956314087</v>
      </c>
      <c r="M108" t="s">
        <v>118</v>
      </c>
      <c r="N108">
        <v>189</v>
      </c>
      <c r="P108">
        <v>2</v>
      </c>
      <c r="Q108">
        <v>0.5</v>
      </c>
      <c r="R108">
        <v>100</v>
      </c>
      <c r="S108">
        <v>50</v>
      </c>
      <c r="T108">
        <v>0</v>
      </c>
      <c r="U108">
        <v>2</v>
      </c>
      <c r="V108" s="1" t="s">
        <v>28</v>
      </c>
      <c r="W108">
        <v>0.05</v>
      </c>
      <c r="X108">
        <v>3000</v>
      </c>
      <c r="Y108">
        <v>14340</v>
      </c>
      <c r="Z108">
        <v>4877</v>
      </c>
      <c r="AA108">
        <v>2367.5</v>
      </c>
      <c r="AB108">
        <v>60.035724328192103</v>
      </c>
      <c r="AC108">
        <v>30.017862164096101</v>
      </c>
      <c r="AD108">
        <v>90.053586492288304</v>
      </c>
      <c r="AE108">
        <v>0</v>
      </c>
      <c r="AF108">
        <v>0</v>
      </c>
      <c r="AG108">
        <v>0</v>
      </c>
      <c r="AH108">
        <v>0</v>
      </c>
    </row>
    <row r="109" spans="1:34" x14ac:dyDescent="0.25">
      <c r="A109" t="s">
        <v>74</v>
      </c>
      <c r="B109" t="str" cm="1">
        <f t="array" ref="B109:F109">_xlfn.TEXTSPLIT(A109,"_")</f>
        <v>MVPRP</v>
      </c>
      <c r="C109" t="str">
        <v>C10</v>
      </c>
      <c r="D109" t="str">
        <v>P6</v>
      </c>
      <c r="E109" t="str">
        <v>V3</v>
      </c>
      <c r="F109" t="str">
        <v>I1</v>
      </c>
      <c r="G109" t="s">
        <v>136</v>
      </c>
      <c r="H109" t="s">
        <v>26</v>
      </c>
      <c r="I109">
        <v>28310.613691574999</v>
      </c>
      <c r="J109">
        <v>28310.613691574999</v>
      </c>
      <c r="K109">
        <v>0</v>
      </c>
      <c r="L109">
        <v>0.11749911308288601</v>
      </c>
      <c r="M109" t="s">
        <v>118</v>
      </c>
      <c r="N109">
        <v>132</v>
      </c>
      <c r="P109">
        <v>2</v>
      </c>
      <c r="Q109">
        <v>0.5</v>
      </c>
      <c r="R109">
        <v>100</v>
      </c>
      <c r="S109">
        <v>50</v>
      </c>
      <c r="T109">
        <v>0</v>
      </c>
      <c r="U109">
        <v>2</v>
      </c>
      <c r="V109" s="1" t="s">
        <v>28</v>
      </c>
      <c r="W109">
        <v>0.05</v>
      </c>
      <c r="X109">
        <v>6000</v>
      </c>
      <c r="Y109">
        <v>12690</v>
      </c>
      <c r="Z109">
        <v>7408</v>
      </c>
      <c r="AA109">
        <v>2174</v>
      </c>
      <c r="AB109">
        <v>25.742461050012199</v>
      </c>
      <c r="AC109">
        <v>12.8712305250061</v>
      </c>
      <c r="AD109">
        <v>38.613691575018301</v>
      </c>
      <c r="AE109">
        <v>0</v>
      </c>
      <c r="AF109">
        <v>0</v>
      </c>
      <c r="AG109">
        <v>0</v>
      </c>
      <c r="AH109">
        <v>0</v>
      </c>
    </row>
    <row r="110" spans="1:34" x14ac:dyDescent="0.25">
      <c r="A110" t="s">
        <v>76</v>
      </c>
      <c r="B110" t="str" cm="1">
        <f t="array" ref="B110:F110">_xlfn.TEXTSPLIT(A110,"_")</f>
        <v>MVPRP</v>
      </c>
      <c r="C110" t="str">
        <v>C35</v>
      </c>
      <c r="D110" t="str">
        <v>P3</v>
      </c>
      <c r="E110" t="str">
        <v>V3</v>
      </c>
      <c r="F110" t="str">
        <v>I1</v>
      </c>
      <c r="G110" t="s">
        <v>136</v>
      </c>
      <c r="H110" t="s">
        <v>26</v>
      </c>
      <c r="I110">
        <v>33620.613962345502</v>
      </c>
      <c r="J110">
        <v>33618.431182678403</v>
      </c>
      <c r="K110">
        <v>6.4923849087718404E-5</v>
      </c>
      <c r="L110">
        <v>0.50154209136962902</v>
      </c>
      <c r="M110" t="s">
        <v>118</v>
      </c>
      <c r="N110">
        <v>276</v>
      </c>
      <c r="P110">
        <v>2</v>
      </c>
      <c r="Q110">
        <v>0.5</v>
      </c>
      <c r="R110">
        <v>100</v>
      </c>
      <c r="S110">
        <v>50</v>
      </c>
      <c r="T110">
        <v>0</v>
      </c>
      <c r="U110">
        <v>2</v>
      </c>
      <c r="V110" s="1" t="s">
        <v>28</v>
      </c>
      <c r="W110">
        <v>0.05</v>
      </c>
      <c r="X110">
        <v>3000</v>
      </c>
      <c r="Y110">
        <v>21600</v>
      </c>
      <c r="Z110">
        <v>6341</v>
      </c>
      <c r="AA110">
        <v>2576.5</v>
      </c>
      <c r="AB110">
        <v>68.742641563695898</v>
      </c>
      <c r="AC110">
        <v>34.371320781847999</v>
      </c>
      <c r="AD110">
        <v>103.113962345544</v>
      </c>
      <c r="AE110">
        <v>0</v>
      </c>
      <c r="AF110">
        <v>0</v>
      </c>
      <c r="AG110">
        <v>0</v>
      </c>
      <c r="AH110">
        <v>0</v>
      </c>
    </row>
    <row r="111" spans="1:34" x14ac:dyDescent="0.25">
      <c r="A111" t="s">
        <v>78</v>
      </c>
      <c r="B111" t="str" cm="1">
        <f t="array" ref="B111:F111">_xlfn.TEXTSPLIT(A111,"_")</f>
        <v>MVPRP</v>
      </c>
      <c r="C111" t="str">
        <v>C10</v>
      </c>
      <c r="D111" t="str">
        <v>P6</v>
      </c>
      <c r="E111" t="str">
        <v>V3</v>
      </c>
      <c r="F111" t="str">
        <v>I3</v>
      </c>
      <c r="G111" t="s">
        <v>136</v>
      </c>
      <c r="H111" t="s">
        <v>26</v>
      </c>
      <c r="I111">
        <v>34839.347178387499</v>
      </c>
      <c r="J111">
        <v>34839.347178387397</v>
      </c>
      <c r="K111">
        <v>0</v>
      </c>
      <c r="L111">
        <v>8.5337162017822293E-2</v>
      </c>
      <c r="M111" t="s">
        <v>118</v>
      </c>
      <c r="N111">
        <v>132</v>
      </c>
      <c r="P111">
        <v>2</v>
      </c>
      <c r="Q111">
        <v>0.5</v>
      </c>
      <c r="R111">
        <v>100</v>
      </c>
      <c r="S111">
        <v>50</v>
      </c>
      <c r="T111">
        <v>0</v>
      </c>
      <c r="U111">
        <v>2</v>
      </c>
      <c r="V111" s="1" t="s">
        <v>28</v>
      </c>
      <c r="W111">
        <v>0.05</v>
      </c>
      <c r="X111">
        <v>6000</v>
      </c>
      <c r="Y111">
        <v>12690</v>
      </c>
      <c r="Z111">
        <v>8493</v>
      </c>
      <c r="AA111">
        <v>7442.5</v>
      </c>
      <c r="AB111">
        <v>142.56478559163699</v>
      </c>
      <c r="AC111">
        <v>71.282392795818595</v>
      </c>
      <c r="AD111">
        <v>213.84717838745601</v>
      </c>
      <c r="AE111">
        <v>0</v>
      </c>
      <c r="AF111">
        <v>0</v>
      </c>
      <c r="AG111">
        <v>0</v>
      </c>
      <c r="AH111">
        <v>0</v>
      </c>
    </row>
    <row r="112" spans="1:34" x14ac:dyDescent="0.25">
      <c r="A112" t="s">
        <v>80</v>
      </c>
      <c r="B112" t="str" cm="1">
        <f t="array" ref="B112:F112">_xlfn.TEXTSPLIT(A112,"_")</f>
        <v>MVPRP</v>
      </c>
      <c r="C112" t="str">
        <v>C50</v>
      </c>
      <c r="D112" t="str">
        <v>P3</v>
      </c>
      <c r="E112" t="str">
        <v>V3</v>
      </c>
      <c r="F112" t="str">
        <v>I1</v>
      </c>
      <c r="G112" t="s">
        <v>136</v>
      </c>
      <c r="H112" t="s">
        <v>26</v>
      </c>
      <c r="I112">
        <v>43835.830935732803</v>
      </c>
      <c r="J112">
        <v>43835.830934717596</v>
      </c>
      <c r="K112">
        <v>2.31592984158959E-11</v>
      </c>
      <c r="L112">
        <v>0.926927089691162</v>
      </c>
      <c r="M112" t="s">
        <v>118</v>
      </c>
      <c r="N112">
        <v>360</v>
      </c>
      <c r="P112">
        <v>2</v>
      </c>
      <c r="Q112">
        <v>0.5</v>
      </c>
      <c r="R112">
        <v>100</v>
      </c>
      <c r="S112">
        <v>50</v>
      </c>
      <c r="T112">
        <v>0</v>
      </c>
      <c r="U112">
        <v>2</v>
      </c>
      <c r="V112" s="1" t="s">
        <v>28</v>
      </c>
      <c r="W112">
        <v>0.05</v>
      </c>
      <c r="X112">
        <v>6000</v>
      </c>
      <c r="Y112">
        <v>29580</v>
      </c>
      <c r="Z112">
        <v>4586</v>
      </c>
      <c r="AA112">
        <v>3533.5</v>
      </c>
      <c r="AB112">
        <v>90.8872904885514</v>
      </c>
      <c r="AC112">
        <v>45.4436452442757</v>
      </c>
      <c r="AD112">
        <v>136.33093573282699</v>
      </c>
      <c r="AE112">
        <v>0</v>
      </c>
      <c r="AF112">
        <v>0</v>
      </c>
      <c r="AG112">
        <v>0</v>
      </c>
      <c r="AH112">
        <v>0</v>
      </c>
    </row>
    <row r="113" spans="1:34" x14ac:dyDescent="0.25">
      <c r="A113" t="s">
        <v>82</v>
      </c>
      <c r="B113" t="str" cm="1">
        <f t="array" ref="B113:F113">_xlfn.TEXTSPLIT(A113,"_")</f>
        <v>MVPRP</v>
      </c>
      <c r="C113" t="str">
        <v>C30</v>
      </c>
      <c r="D113" t="str">
        <v>P6</v>
      </c>
      <c r="E113" t="str">
        <v>V3</v>
      </c>
      <c r="F113" t="str">
        <v>I1</v>
      </c>
      <c r="G113" t="s">
        <v>136</v>
      </c>
      <c r="H113" t="s">
        <v>26</v>
      </c>
      <c r="I113">
        <v>58486.329727964498</v>
      </c>
      <c r="J113">
        <v>58480.620915703999</v>
      </c>
      <c r="K113">
        <v>9.7609343706385706E-5</v>
      </c>
      <c r="L113">
        <v>0.91987586021423295</v>
      </c>
      <c r="M113" t="s">
        <v>118</v>
      </c>
      <c r="N113">
        <v>228</v>
      </c>
      <c r="P113">
        <v>2</v>
      </c>
      <c r="Q113">
        <v>0.5</v>
      </c>
      <c r="R113">
        <v>100</v>
      </c>
      <c r="S113">
        <v>50</v>
      </c>
      <c r="T113">
        <v>0</v>
      </c>
      <c r="U113">
        <v>2</v>
      </c>
      <c r="V113" s="1" t="s">
        <v>28</v>
      </c>
      <c r="W113">
        <v>0.05</v>
      </c>
      <c r="X113">
        <v>6000</v>
      </c>
      <c r="Y113">
        <v>33150</v>
      </c>
      <c r="Z113">
        <v>15612</v>
      </c>
      <c r="AA113">
        <v>3609</v>
      </c>
      <c r="AB113">
        <v>76.8864853096659</v>
      </c>
      <c r="AC113">
        <v>38.4432426548329</v>
      </c>
      <c r="AD113">
        <v>115.329727964499</v>
      </c>
      <c r="AE113">
        <v>0</v>
      </c>
      <c r="AF113">
        <v>0</v>
      </c>
      <c r="AG113">
        <v>0</v>
      </c>
      <c r="AH113">
        <v>0</v>
      </c>
    </row>
    <row r="114" spans="1:34" x14ac:dyDescent="0.25">
      <c r="A114" t="s">
        <v>84</v>
      </c>
      <c r="B114" t="str" cm="1">
        <f t="array" ref="B114:F114">_xlfn.TEXTSPLIT(A114,"_")</f>
        <v>MVPRP</v>
      </c>
      <c r="C114" t="str">
        <v>C25</v>
      </c>
      <c r="D114" t="str">
        <v>P9</v>
      </c>
      <c r="E114" t="str">
        <v>V3</v>
      </c>
      <c r="F114" t="str">
        <v>I1</v>
      </c>
      <c r="G114" t="s">
        <v>136</v>
      </c>
      <c r="H114" t="s">
        <v>26</v>
      </c>
      <c r="I114">
        <v>95664.295208659896</v>
      </c>
      <c r="J114">
        <v>95661.420657705006</v>
      </c>
      <c r="K114">
        <v>3.00483158173635E-5</v>
      </c>
      <c r="L114">
        <v>0.86931490898132302</v>
      </c>
      <c r="M114" t="s">
        <v>118</v>
      </c>
      <c r="N114">
        <v>189</v>
      </c>
      <c r="P114">
        <v>2</v>
      </c>
      <c r="Q114">
        <v>0.5</v>
      </c>
      <c r="R114">
        <v>100</v>
      </c>
      <c r="S114">
        <v>50</v>
      </c>
      <c r="T114">
        <v>0</v>
      </c>
      <c r="U114">
        <v>2</v>
      </c>
      <c r="V114" s="1" t="s">
        <v>28</v>
      </c>
      <c r="W114">
        <v>0.05</v>
      </c>
      <c r="X114">
        <v>9000</v>
      </c>
      <c r="Y114">
        <v>59880</v>
      </c>
      <c r="Z114">
        <v>19204</v>
      </c>
      <c r="AA114">
        <v>7234.5</v>
      </c>
      <c r="AB114">
        <v>230.53013910655301</v>
      </c>
      <c r="AC114">
        <v>115.265069553277</v>
      </c>
      <c r="AD114">
        <v>345.79520865982897</v>
      </c>
      <c r="AE114">
        <v>0</v>
      </c>
      <c r="AF114">
        <v>0</v>
      </c>
      <c r="AG114">
        <v>0</v>
      </c>
      <c r="AH114">
        <v>0</v>
      </c>
    </row>
    <row r="115" spans="1:34" x14ac:dyDescent="0.25">
      <c r="A115" t="s">
        <v>86</v>
      </c>
      <c r="B115" t="str" cm="1">
        <f t="array" ref="B115:F115">_xlfn.TEXTSPLIT(A115,"_")</f>
        <v>MVPRP</v>
      </c>
      <c r="C115" t="str">
        <v>C25</v>
      </c>
      <c r="D115" t="str">
        <v>P3</v>
      </c>
      <c r="E115" t="str">
        <v>V3</v>
      </c>
      <c r="F115" t="str">
        <v>I3</v>
      </c>
      <c r="G115" t="s">
        <v>136</v>
      </c>
      <c r="H115" t="s">
        <v>26</v>
      </c>
      <c r="I115">
        <v>31340.399264692202</v>
      </c>
      <c r="J115">
        <v>31340.399264692202</v>
      </c>
      <c r="K115">
        <v>0</v>
      </c>
      <c r="L115">
        <v>0.13144707679748499</v>
      </c>
      <c r="M115" t="s">
        <v>118</v>
      </c>
      <c r="N115">
        <v>189</v>
      </c>
      <c r="P115">
        <v>2</v>
      </c>
      <c r="Q115">
        <v>0.5</v>
      </c>
      <c r="R115">
        <v>100</v>
      </c>
      <c r="S115">
        <v>50</v>
      </c>
      <c r="T115">
        <v>0</v>
      </c>
      <c r="U115">
        <v>2</v>
      </c>
      <c r="V115" s="1" t="s">
        <v>28</v>
      </c>
      <c r="W115">
        <v>0.05</v>
      </c>
      <c r="X115">
        <v>3000</v>
      </c>
      <c r="Y115">
        <v>14340</v>
      </c>
      <c r="Z115">
        <v>6083</v>
      </c>
      <c r="AA115">
        <v>7588.5</v>
      </c>
      <c r="AB115">
        <v>219.26617646146701</v>
      </c>
      <c r="AC115">
        <v>109.633088230734</v>
      </c>
      <c r="AD115">
        <v>328.89926469220097</v>
      </c>
      <c r="AE115">
        <v>0</v>
      </c>
      <c r="AF115">
        <v>0</v>
      </c>
      <c r="AG115">
        <v>0</v>
      </c>
      <c r="AH115">
        <v>0</v>
      </c>
    </row>
    <row r="116" spans="1:34" x14ac:dyDescent="0.25">
      <c r="A116" t="s">
        <v>88</v>
      </c>
      <c r="B116" t="str" cm="1">
        <f t="array" ref="B116:F116">_xlfn.TEXTSPLIT(A116,"_")</f>
        <v>MVPRP</v>
      </c>
      <c r="C116" t="str">
        <v>C15</v>
      </c>
      <c r="D116" t="str">
        <v>P6</v>
      </c>
      <c r="E116" t="str">
        <v>V3</v>
      </c>
      <c r="F116" t="str">
        <v>I1</v>
      </c>
      <c r="G116" t="s">
        <v>136</v>
      </c>
      <c r="H116" t="s">
        <v>26</v>
      </c>
      <c r="I116">
        <v>39887.0536174511</v>
      </c>
      <c r="J116">
        <v>39884.0536174511</v>
      </c>
      <c r="K116">
        <v>7.5212374139731902E-5</v>
      </c>
      <c r="L116">
        <v>0.15292310714721699</v>
      </c>
      <c r="M116" t="s">
        <v>118</v>
      </c>
      <c r="N116">
        <v>132</v>
      </c>
      <c r="P116">
        <v>2</v>
      </c>
      <c r="Q116">
        <v>0.5</v>
      </c>
      <c r="R116">
        <v>100</v>
      </c>
      <c r="S116">
        <v>50</v>
      </c>
      <c r="T116">
        <v>0</v>
      </c>
      <c r="U116">
        <v>2</v>
      </c>
      <c r="V116" s="1" t="s">
        <v>28</v>
      </c>
      <c r="W116">
        <v>0.05</v>
      </c>
      <c r="X116">
        <v>6000</v>
      </c>
      <c r="Y116">
        <v>19800</v>
      </c>
      <c r="Z116">
        <v>10042</v>
      </c>
      <c r="AA116">
        <v>3929.5</v>
      </c>
      <c r="AB116">
        <v>77.035744967378406</v>
      </c>
      <c r="AC116">
        <v>38.517872483689203</v>
      </c>
      <c r="AD116">
        <v>115.553617451067</v>
      </c>
      <c r="AE116">
        <v>0</v>
      </c>
      <c r="AF116">
        <v>0</v>
      </c>
      <c r="AG116">
        <v>0</v>
      </c>
      <c r="AH116">
        <v>0</v>
      </c>
    </row>
    <row r="117" spans="1:34" x14ac:dyDescent="0.25">
      <c r="A117" t="s">
        <v>90</v>
      </c>
      <c r="B117" t="str" cm="1">
        <f t="array" ref="B117:F117">_xlfn.TEXTSPLIT(A117,"_")</f>
        <v>MVPRP</v>
      </c>
      <c r="C117" t="str">
        <v>C15</v>
      </c>
      <c r="D117" t="str">
        <v>P3</v>
      </c>
      <c r="E117" t="str">
        <v>V3</v>
      </c>
      <c r="F117" t="str">
        <v>I1</v>
      </c>
      <c r="G117" t="s">
        <v>136</v>
      </c>
      <c r="H117" t="s">
        <v>26</v>
      </c>
      <c r="I117">
        <v>18327.171586345099</v>
      </c>
      <c r="J117">
        <v>18327.171586345099</v>
      </c>
      <c r="K117">
        <v>0</v>
      </c>
      <c r="L117">
        <v>5.6643009185791002E-2</v>
      </c>
      <c r="M117" t="s">
        <v>118</v>
      </c>
      <c r="N117">
        <v>132</v>
      </c>
      <c r="P117">
        <v>2</v>
      </c>
      <c r="Q117">
        <v>0.5</v>
      </c>
      <c r="R117">
        <v>100</v>
      </c>
      <c r="S117">
        <v>50</v>
      </c>
      <c r="T117">
        <v>0</v>
      </c>
      <c r="U117">
        <v>2</v>
      </c>
      <c r="V117" s="1" t="s">
        <v>28</v>
      </c>
      <c r="W117">
        <v>0.05</v>
      </c>
      <c r="X117">
        <v>3000</v>
      </c>
      <c r="Y117">
        <v>9960</v>
      </c>
      <c r="Z117">
        <v>3581</v>
      </c>
      <c r="AA117">
        <v>1755</v>
      </c>
      <c r="AB117">
        <v>20.7810575633723</v>
      </c>
      <c r="AC117">
        <v>10.3905287816862</v>
      </c>
      <c r="AD117">
        <v>31.171586345058401</v>
      </c>
      <c r="AE117">
        <v>0</v>
      </c>
      <c r="AF117">
        <v>0</v>
      </c>
      <c r="AG117">
        <v>0</v>
      </c>
      <c r="AH117">
        <v>0</v>
      </c>
    </row>
    <row r="118" spans="1:34" x14ac:dyDescent="0.25">
      <c r="A118" t="s">
        <v>92</v>
      </c>
      <c r="B118" t="str" cm="1">
        <f t="array" ref="B118:F118">_xlfn.TEXTSPLIT(A118,"_")</f>
        <v>MVPRP</v>
      </c>
      <c r="C118" t="str">
        <v>C20</v>
      </c>
      <c r="D118" t="str">
        <v>P6</v>
      </c>
      <c r="E118" t="str">
        <v>V3</v>
      </c>
      <c r="F118" t="str">
        <v>I3</v>
      </c>
      <c r="G118" t="s">
        <v>136</v>
      </c>
      <c r="H118" t="s">
        <v>26</v>
      </c>
      <c r="I118">
        <v>56413.241189307802</v>
      </c>
      <c r="J118">
        <v>56412.840231726303</v>
      </c>
      <c r="K118">
        <v>7.1075083270183598E-6</v>
      </c>
      <c r="L118">
        <v>0.22145891189575201</v>
      </c>
      <c r="M118" t="s">
        <v>118</v>
      </c>
      <c r="N118">
        <v>189</v>
      </c>
      <c r="P118">
        <v>2</v>
      </c>
      <c r="Q118">
        <v>0.5</v>
      </c>
      <c r="R118">
        <v>100</v>
      </c>
      <c r="S118">
        <v>50</v>
      </c>
      <c r="T118">
        <v>0</v>
      </c>
      <c r="U118">
        <v>2</v>
      </c>
      <c r="V118" s="1" t="s">
        <v>28</v>
      </c>
      <c r="W118">
        <v>0.05</v>
      </c>
      <c r="X118">
        <v>6000</v>
      </c>
      <c r="Y118">
        <v>23820</v>
      </c>
      <c r="Z118">
        <v>14425</v>
      </c>
      <c r="AA118">
        <v>11077.5</v>
      </c>
      <c r="AB118">
        <v>727.16079287184698</v>
      </c>
      <c r="AC118">
        <v>363.580396435924</v>
      </c>
      <c r="AD118">
        <v>1090.7411893077699</v>
      </c>
      <c r="AE118">
        <v>0</v>
      </c>
      <c r="AF118">
        <v>0</v>
      </c>
      <c r="AG118">
        <v>0</v>
      </c>
      <c r="AH118">
        <v>0</v>
      </c>
    </row>
    <row r="119" spans="1:34" x14ac:dyDescent="0.25">
      <c r="A119" t="s">
        <v>94</v>
      </c>
      <c r="B119" t="str" cm="1">
        <f t="array" ref="B119:F119">_xlfn.TEXTSPLIT(A119,"_")</f>
        <v>MVPRP</v>
      </c>
      <c r="C119" t="str">
        <v>C20</v>
      </c>
      <c r="D119" t="str">
        <v>P9</v>
      </c>
      <c r="E119" t="str">
        <v>V3</v>
      </c>
      <c r="F119" t="str">
        <v>I3</v>
      </c>
      <c r="G119" t="s">
        <v>136</v>
      </c>
      <c r="H119" t="s">
        <v>26</v>
      </c>
      <c r="I119">
        <v>98774.423249967105</v>
      </c>
      <c r="J119">
        <v>98766.892732051696</v>
      </c>
      <c r="K119">
        <v>7.6239553393944899E-5</v>
      </c>
      <c r="L119">
        <v>0.44352793693542503</v>
      </c>
      <c r="M119" t="s">
        <v>118</v>
      </c>
      <c r="N119">
        <v>189</v>
      </c>
      <c r="P119">
        <v>2</v>
      </c>
      <c r="Q119">
        <v>0.5</v>
      </c>
      <c r="R119">
        <v>100</v>
      </c>
      <c r="S119">
        <v>50</v>
      </c>
      <c r="T119">
        <v>0</v>
      </c>
      <c r="U119">
        <v>2</v>
      </c>
      <c r="V119" s="1" t="s">
        <v>28</v>
      </c>
      <c r="W119">
        <v>0.05</v>
      </c>
      <c r="X119">
        <v>9000</v>
      </c>
      <c r="Y119">
        <v>48120</v>
      </c>
      <c r="Z119">
        <v>17501</v>
      </c>
      <c r="AA119">
        <v>21904.5</v>
      </c>
      <c r="AB119">
        <v>1499.2821666447001</v>
      </c>
      <c r="AC119">
        <v>749.64108332235003</v>
      </c>
      <c r="AD119">
        <v>2248.9232499670502</v>
      </c>
      <c r="AE119">
        <v>0</v>
      </c>
      <c r="AF119">
        <v>0</v>
      </c>
      <c r="AG119">
        <v>0</v>
      </c>
      <c r="AH119">
        <v>0</v>
      </c>
    </row>
    <row r="120" spans="1:34" x14ac:dyDescent="0.25">
      <c r="A120" t="s">
        <v>96</v>
      </c>
      <c r="B120" t="str" cm="1">
        <f t="array" ref="B120:F120">_xlfn.TEXTSPLIT(A120,"_")</f>
        <v>MVPRP</v>
      </c>
      <c r="C120" t="str">
        <v>C40</v>
      </c>
      <c r="D120" t="str">
        <v>P6</v>
      </c>
      <c r="E120" t="str">
        <v>V3</v>
      </c>
      <c r="F120" t="str">
        <v>I3</v>
      </c>
      <c r="G120" t="s">
        <v>136</v>
      </c>
      <c r="H120" t="s">
        <v>26</v>
      </c>
      <c r="I120">
        <v>109727.49054847</v>
      </c>
      <c r="J120">
        <v>109719.49054847</v>
      </c>
      <c r="K120">
        <v>7.2907891723771997E-5</v>
      </c>
      <c r="L120">
        <v>1.4621059894561801</v>
      </c>
      <c r="M120" t="s">
        <v>118</v>
      </c>
      <c r="N120">
        <v>360</v>
      </c>
      <c r="P120">
        <v>2</v>
      </c>
      <c r="Q120">
        <v>0.5</v>
      </c>
      <c r="R120">
        <v>100</v>
      </c>
      <c r="S120">
        <v>50</v>
      </c>
      <c r="T120">
        <v>0</v>
      </c>
      <c r="U120">
        <v>2</v>
      </c>
      <c r="V120" s="1" t="s">
        <v>28</v>
      </c>
      <c r="W120">
        <v>0.05</v>
      </c>
      <c r="X120">
        <v>6000</v>
      </c>
      <c r="Y120">
        <v>55170</v>
      </c>
      <c r="Z120">
        <v>31048</v>
      </c>
      <c r="AA120">
        <v>15852</v>
      </c>
      <c r="AB120">
        <v>1104.99369898031</v>
      </c>
      <c r="AC120">
        <v>552.49684949015602</v>
      </c>
      <c r="AD120">
        <v>1657.49054847047</v>
      </c>
      <c r="AE120">
        <v>0</v>
      </c>
      <c r="AF120">
        <v>0</v>
      </c>
      <c r="AG120">
        <v>0</v>
      </c>
      <c r="AH120">
        <v>0</v>
      </c>
    </row>
    <row r="121" spans="1:34" x14ac:dyDescent="0.25">
      <c r="A121" t="s">
        <v>98</v>
      </c>
      <c r="B121" t="str" cm="1">
        <f t="array" ref="B121:F121">_xlfn.TEXTSPLIT(A121,"_")</f>
        <v>MVPRP</v>
      </c>
      <c r="C121" t="str">
        <v>C20</v>
      </c>
      <c r="D121" t="str">
        <v>P9</v>
      </c>
      <c r="E121" t="str">
        <v>V3</v>
      </c>
      <c r="F121" t="str">
        <v>I1</v>
      </c>
      <c r="G121" t="s">
        <v>136</v>
      </c>
      <c r="H121" t="s">
        <v>26</v>
      </c>
      <c r="I121">
        <v>78182.2733102817</v>
      </c>
      <c r="J121">
        <v>78174.802840074204</v>
      </c>
      <c r="K121">
        <v>9.5551969662771105E-5</v>
      </c>
      <c r="L121">
        <v>0.51927495002746604</v>
      </c>
      <c r="M121" t="s">
        <v>118</v>
      </c>
      <c r="N121">
        <v>189</v>
      </c>
      <c r="P121">
        <v>2</v>
      </c>
      <c r="Q121">
        <v>0.5</v>
      </c>
      <c r="R121">
        <v>100</v>
      </c>
      <c r="S121">
        <v>50</v>
      </c>
      <c r="T121">
        <v>0</v>
      </c>
      <c r="U121">
        <v>2</v>
      </c>
      <c r="V121" s="1" t="s">
        <v>28</v>
      </c>
      <c r="W121">
        <v>0.05</v>
      </c>
      <c r="X121">
        <v>9000</v>
      </c>
      <c r="Y121">
        <v>48120</v>
      </c>
      <c r="Z121">
        <v>15032</v>
      </c>
      <c r="AA121">
        <v>5793</v>
      </c>
      <c r="AB121">
        <v>158.182206854475</v>
      </c>
      <c r="AC121">
        <v>79.091103427237499</v>
      </c>
      <c r="AD121">
        <v>237.27331028171201</v>
      </c>
      <c r="AE121">
        <v>0</v>
      </c>
      <c r="AF121">
        <v>0</v>
      </c>
      <c r="AG121">
        <v>0</v>
      </c>
      <c r="AH121">
        <v>0</v>
      </c>
    </row>
    <row r="122" spans="1:34" x14ac:dyDescent="0.25">
      <c r="A122" t="s">
        <v>100</v>
      </c>
      <c r="B122" t="str" cm="1">
        <f t="array" ref="B122:F122">_xlfn.TEXTSPLIT(A122,"_")</f>
        <v>MVPRP</v>
      </c>
      <c r="C122" t="str">
        <v>C15</v>
      </c>
      <c r="D122" t="str">
        <v>P9</v>
      </c>
      <c r="E122" t="str">
        <v>V3</v>
      </c>
      <c r="F122" t="str">
        <v>I3</v>
      </c>
      <c r="G122" t="s">
        <v>136</v>
      </c>
      <c r="H122" t="s">
        <v>26</v>
      </c>
      <c r="I122">
        <v>92208.491951856602</v>
      </c>
      <c r="J122">
        <v>92208.491951856398</v>
      </c>
      <c r="K122">
        <v>2.0515995215228101E-15</v>
      </c>
      <c r="L122">
        <v>0.23122382164001501</v>
      </c>
      <c r="M122" t="s">
        <v>118</v>
      </c>
      <c r="N122">
        <v>132</v>
      </c>
      <c r="P122">
        <v>2</v>
      </c>
      <c r="Q122">
        <v>0.5</v>
      </c>
      <c r="R122">
        <v>100</v>
      </c>
      <c r="S122">
        <v>50</v>
      </c>
      <c r="T122">
        <v>0</v>
      </c>
      <c r="U122">
        <v>2</v>
      </c>
      <c r="V122" s="1" t="s">
        <v>28</v>
      </c>
      <c r="W122">
        <v>0.05</v>
      </c>
      <c r="X122">
        <v>9000</v>
      </c>
      <c r="Y122">
        <v>40950</v>
      </c>
      <c r="Z122">
        <v>16373</v>
      </c>
      <c r="AA122">
        <v>22741</v>
      </c>
      <c r="AB122">
        <v>2096.3279679043599</v>
      </c>
      <c r="AC122">
        <v>1048.1639839521799</v>
      </c>
      <c r="AD122">
        <v>3144.4919518565398</v>
      </c>
      <c r="AE122">
        <v>0</v>
      </c>
      <c r="AF122">
        <v>0</v>
      </c>
      <c r="AG122">
        <v>0</v>
      </c>
      <c r="AH122">
        <v>0</v>
      </c>
    </row>
    <row r="123" spans="1:34" x14ac:dyDescent="0.25">
      <c r="A123" t="s">
        <v>102</v>
      </c>
      <c r="B123" t="str" cm="1">
        <f t="array" ref="B123:F123">_xlfn.TEXTSPLIT(A123,"_")</f>
        <v>MVPRP</v>
      </c>
      <c r="C123" t="str">
        <v>C30</v>
      </c>
      <c r="D123" t="str">
        <v>P9</v>
      </c>
      <c r="E123" t="str">
        <v>V3</v>
      </c>
      <c r="F123" t="str">
        <v>I1</v>
      </c>
      <c r="G123" t="s">
        <v>136</v>
      </c>
      <c r="H123" t="s">
        <v>26</v>
      </c>
      <c r="I123">
        <v>104453.499983307</v>
      </c>
      <c r="J123">
        <v>104445.427468687</v>
      </c>
      <c r="K123">
        <v>7.7283332977704503E-5</v>
      </c>
      <c r="L123">
        <v>2.0960528850555402</v>
      </c>
      <c r="M123" t="s">
        <v>118</v>
      </c>
      <c r="N123">
        <v>228</v>
      </c>
      <c r="P123">
        <v>2</v>
      </c>
      <c r="Q123">
        <v>0.5</v>
      </c>
      <c r="R123">
        <v>100</v>
      </c>
      <c r="S123">
        <v>50</v>
      </c>
      <c r="T123">
        <v>0</v>
      </c>
      <c r="U123">
        <v>2</v>
      </c>
      <c r="V123" s="1" t="s">
        <v>28</v>
      </c>
      <c r="W123">
        <v>0.05</v>
      </c>
      <c r="X123">
        <v>12000</v>
      </c>
      <c r="Y123">
        <v>67710</v>
      </c>
      <c r="Z123">
        <v>16173</v>
      </c>
      <c r="AA123">
        <v>8237</v>
      </c>
      <c r="AB123">
        <v>222.33332220440201</v>
      </c>
      <c r="AC123">
        <v>111.166661102201</v>
      </c>
      <c r="AD123">
        <v>333.49998330660401</v>
      </c>
      <c r="AE123">
        <v>0</v>
      </c>
      <c r="AF123">
        <v>0</v>
      </c>
      <c r="AG123">
        <v>0</v>
      </c>
      <c r="AH123">
        <v>0</v>
      </c>
    </row>
    <row r="124" spans="1:34" x14ac:dyDescent="0.25">
      <c r="A124" t="s">
        <v>104</v>
      </c>
      <c r="B124" t="str" cm="1">
        <f t="array" ref="B124:F124">_xlfn.TEXTSPLIT(A124,"_")</f>
        <v>MVPRP</v>
      </c>
      <c r="C124" t="str">
        <v>C10</v>
      </c>
      <c r="D124" t="str">
        <v>P9</v>
      </c>
      <c r="E124" t="str">
        <v>V3</v>
      </c>
      <c r="F124" t="str">
        <v>I1</v>
      </c>
      <c r="G124" t="s">
        <v>136</v>
      </c>
      <c r="H124" t="s">
        <v>26</v>
      </c>
      <c r="I124">
        <v>48769.624534886003</v>
      </c>
      <c r="J124">
        <v>48769.624534886003</v>
      </c>
      <c r="K124">
        <v>0</v>
      </c>
      <c r="L124">
        <v>0.15393519401550301</v>
      </c>
      <c r="M124" t="s">
        <v>118</v>
      </c>
      <c r="N124">
        <v>132</v>
      </c>
      <c r="P124">
        <v>2</v>
      </c>
      <c r="Q124">
        <v>0.5</v>
      </c>
      <c r="R124">
        <v>100</v>
      </c>
      <c r="S124">
        <v>50</v>
      </c>
      <c r="T124">
        <v>0</v>
      </c>
      <c r="U124">
        <v>2</v>
      </c>
      <c r="V124" s="1" t="s">
        <v>28</v>
      </c>
      <c r="W124">
        <v>0.05</v>
      </c>
      <c r="X124">
        <v>9000</v>
      </c>
      <c r="Y124">
        <v>26370</v>
      </c>
      <c r="Z124">
        <v>9066</v>
      </c>
      <c r="AA124">
        <v>4218.5</v>
      </c>
      <c r="AB124">
        <v>76.749689923996002</v>
      </c>
      <c r="AC124">
        <v>38.374844961998001</v>
      </c>
      <c r="AD124">
        <v>115.124534885994</v>
      </c>
      <c r="AE124">
        <v>0</v>
      </c>
      <c r="AF124">
        <v>0</v>
      </c>
      <c r="AG124">
        <v>0</v>
      </c>
      <c r="AH124">
        <v>0</v>
      </c>
    </row>
    <row r="125" spans="1:34" x14ac:dyDescent="0.25">
      <c r="A125" t="s">
        <v>106</v>
      </c>
      <c r="B125" t="str" cm="1">
        <f t="array" ref="B125:F125">_xlfn.TEXTSPLIT(A125,"_")</f>
        <v>MVPRP</v>
      </c>
      <c r="C125" t="str">
        <v>C30</v>
      </c>
      <c r="D125" t="str">
        <v>P3</v>
      </c>
      <c r="E125" t="str">
        <v>V3</v>
      </c>
      <c r="F125" t="str">
        <v>I1</v>
      </c>
      <c r="G125" t="s">
        <v>136</v>
      </c>
      <c r="H125" t="s">
        <v>26</v>
      </c>
      <c r="I125">
        <v>27264.275367252099</v>
      </c>
      <c r="J125">
        <v>27262.610460611999</v>
      </c>
      <c r="K125">
        <v>6.1065501197963E-5</v>
      </c>
      <c r="L125">
        <v>0.28699588775634799</v>
      </c>
      <c r="M125" t="s">
        <v>118</v>
      </c>
      <c r="N125">
        <v>228</v>
      </c>
      <c r="P125">
        <v>2</v>
      </c>
      <c r="Q125">
        <v>0.5</v>
      </c>
      <c r="R125">
        <v>100</v>
      </c>
      <c r="S125">
        <v>50</v>
      </c>
      <c r="T125">
        <v>0</v>
      </c>
      <c r="U125">
        <v>2</v>
      </c>
      <c r="V125" s="1" t="s">
        <v>28</v>
      </c>
      <c r="W125">
        <v>0.05</v>
      </c>
      <c r="X125">
        <v>3000</v>
      </c>
      <c r="Y125">
        <v>16680</v>
      </c>
      <c r="Z125">
        <v>5477</v>
      </c>
      <c r="AA125">
        <v>2070.5</v>
      </c>
      <c r="AB125">
        <v>24.516911501403101</v>
      </c>
      <c r="AC125">
        <v>12.258455750701501</v>
      </c>
      <c r="AD125">
        <v>36.775367252104601</v>
      </c>
      <c r="AE125">
        <v>0</v>
      </c>
      <c r="AF125">
        <v>0</v>
      </c>
      <c r="AG125">
        <v>0</v>
      </c>
      <c r="AH125">
        <v>0</v>
      </c>
    </row>
    <row r="126" spans="1:34" x14ac:dyDescent="0.25">
      <c r="A126" t="s">
        <v>108</v>
      </c>
      <c r="B126" t="str" cm="1">
        <f t="array" ref="B126:F126">_xlfn.TEXTSPLIT(A126,"_")</f>
        <v>MVPRP</v>
      </c>
      <c r="C126" t="str">
        <v>C10</v>
      </c>
      <c r="D126" t="str">
        <v>P9</v>
      </c>
      <c r="E126" t="str">
        <v>V3</v>
      </c>
      <c r="F126" t="str">
        <v>I3</v>
      </c>
      <c r="G126" t="s">
        <v>136</v>
      </c>
      <c r="H126" t="s">
        <v>26</v>
      </c>
      <c r="I126">
        <v>61950.215442203596</v>
      </c>
      <c r="J126">
        <v>61950.215442203502</v>
      </c>
      <c r="K126">
        <v>0</v>
      </c>
      <c r="L126">
        <v>0.11837506294250499</v>
      </c>
      <c r="M126" t="s">
        <v>118</v>
      </c>
      <c r="N126">
        <v>132</v>
      </c>
      <c r="P126">
        <v>2</v>
      </c>
      <c r="Q126">
        <v>0.5</v>
      </c>
      <c r="R126">
        <v>100</v>
      </c>
      <c r="S126">
        <v>50</v>
      </c>
      <c r="T126">
        <v>0</v>
      </c>
      <c r="U126">
        <v>2</v>
      </c>
      <c r="V126" s="1" t="s">
        <v>28</v>
      </c>
      <c r="W126">
        <v>0.05</v>
      </c>
      <c r="X126">
        <v>9000</v>
      </c>
      <c r="Y126">
        <v>26370</v>
      </c>
      <c r="Z126">
        <v>12609</v>
      </c>
      <c r="AA126">
        <v>13056.5</v>
      </c>
      <c r="AB126">
        <v>609.81029480240898</v>
      </c>
      <c r="AC126">
        <v>304.90514740120398</v>
      </c>
      <c r="AD126">
        <v>914.71544220361204</v>
      </c>
      <c r="AE126">
        <v>0</v>
      </c>
      <c r="AF126">
        <v>0</v>
      </c>
      <c r="AG126">
        <v>0</v>
      </c>
      <c r="AH126">
        <v>0</v>
      </c>
    </row>
    <row r="127" spans="1:34" x14ac:dyDescent="0.25">
      <c r="A127" t="s">
        <v>110</v>
      </c>
      <c r="B127" t="str" cm="1">
        <f t="array" ref="B127:F127">_xlfn.TEXTSPLIT(A127,"_")</f>
        <v>MVPRP</v>
      </c>
      <c r="C127" t="str">
        <v>C25</v>
      </c>
      <c r="D127" t="str">
        <v>P9</v>
      </c>
      <c r="E127" t="str">
        <v>V3</v>
      </c>
      <c r="F127" t="str">
        <v>I3</v>
      </c>
      <c r="G127" t="s">
        <v>136</v>
      </c>
      <c r="H127" t="s">
        <v>26</v>
      </c>
      <c r="I127">
        <v>120867.237712195</v>
      </c>
      <c r="J127">
        <v>120867.23771219399</v>
      </c>
      <c r="K127">
        <v>9.6316689311738502E-16</v>
      </c>
      <c r="L127">
        <v>0.71753907203674305</v>
      </c>
      <c r="M127" t="s">
        <v>118</v>
      </c>
      <c r="N127">
        <v>189</v>
      </c>
      <c r="P127">
        <v>2</v>
      </c>
      <c r="Q127">
        <v>0.5</v>
      </c>
      <c r="R127">
        <v>100</v>
      </c>
      <c r="S127">
        <v>50</v>
      </c>
      <c r="T127">
        <v>0</v>
      </c>
      <c r="U127">
        <v>2</v>
      </c>
      <c r="V127" s="1" t="s">
        <v>28</v>
      </c>
      <c r="W127">
        <v>0.05</v>
      </c>
      <c r="X127">
        <v>9000</v>
      </c>
      <c r="Y127">
        <v>59880</v>
      </c>
      <c r="Z127">
        <v>23093</v>
      </c>
      <c r="AA127">
        <v>24278.5</v>
      </c>
      <c r="AB127">
        <v>3077.1584747963602</v>
      </c>
      <c r="AC127">
        <v>1538.5792373981801</v>
      </c>
      <c r="AD127">
        <v>4615.7377121945301</v>
      </c>
      <c r="AE127">
        <v>0</v>
      </c>
      <c r="AF127">
        <v>0</v>
      </c>
      <c r="AG127">
        <v>0</v>
      </c>
      <c r="AH127">
        <v>0</v>
      </c>
    </row>
    <row r="128" spans="1:34" x14ac:dyDescent="0.25">
      <c r="A128" t="s">
        <v>24</v>
      </c>
      <c r="B128" t="str" cm="1">
        <f t="array" ref="B128:F128">_xlfn.TEXTSPLIT(A128,"_")</f>
        <v>MVPRP</v>
      </c>
      <c r="C128" t="str">
        <v>C15</v>
      </c>
      <c r="D128" t="str">
        <v>P3</v>
      </c>
      <c r="E128" t="str">
        <v>V3</v>
      </c>
      <c r="F128" t="str">
        <v>I3</v>
      </c>
      <c r="G128" t="s">
        <v>137</v>
      </c>
      <c r="H128" t="s">
        <v>26</v>
      </c>
      <c r="I128">
        <v>24004</v>
      </c>
      <c r="J128">
        <v>24004</v>
      </c>
      <c r="K128">
        <v>0</v>
      </c>
      <c r="L128">
        <v>19.826627016067501</v>
      </c>
      <c r="M128" t="s">
        <v>118</v>
      </c>
      <c r="N128">
        <v>132</v>
      </c>
      <c r="P128">
        <v>2</v>
      </c>
      <c r="Q128">
        <v>0.5</v>
      </c>
      <c r="R128">
        <v>100</v>
      </c>
      <c r="S128">
        <v>50</v>
      </c>
      <c r="T128">
        <v>0</v>
      </c>
      <c r="U128">
        <v>2</v>
      </c>
      <c r="V128" s="1" t="s">
        <v>28</v>
      </c>
      <c r="W128">
        <v>0.05</v>
      </c>
      <c r="X128">
        <v>3000</v>
      </c>
      <c r="Y128">
        <v>9960</v>
      </c>
      <c r="Z128">
        <v>4200</v>
      </c>
      <c r="AA128">
        <v>6844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</row>
    <row r="129" spans="1:34" x14ac:dyDescent="0.25">
      <c r="A129" t="s">
        <v>29</v>
      </c>
      <c r="B129" t="str" cm="1">
        <f t="array" ref="B129:F129">_xlfn.TEXTSPLIT(A129,"_")</f>
        <v>MVPRP</v>
      </c>
      <c r="C129" t="str">
        <v>C30</v>
      </c>
      <c r="D129" t="str">
        <v>P9</v>
      </c>
      <c r="E129" t="str">
        <v>V3</v>
      </c>
      <c r="F129" t="str">
        <v>I3</v>
      </c>
      <c r="G129" t="s">
        <v>137</v>
      </c>
      <c r="H129" t="s">
        <v>30</v>
      </c>
      <c r="I129">
        <v>126143.50052799701</v>
      </c>
      <c r="J129">
        <v>124482.53603504501</v>
      </c>
      <c r="K129">
        <v>1.31672617772596E-2</v>
      </c>
      <c r="L129">
        <v>3600.10951900482</v>
      </c>
      <c r="M129" t="s">
        <v>118</v>
      </c>
      <c r="N129">
        <v>228</v>
      </c>
      <c r="P129">
        <v>2</v>
      </c>
      <c r="Q129">
        <v>0.5</v>
      </c>
      <c r="R129">
        <v>100</v>
      </c>
      <c r="S129">
        <v>50</v>
      </c>
      <c r="T129">
        <v>0</v>
      </c>
      <c r="U129">
        <v>2</v>
      </c>
      <c r="V129" s="1" t="s">
        <v>28</v>
      </c>
      <c r="W129">
        <v>0.05</v>
      </c>
      <c r="X129">
        <v>12000</v>
      </c>
      <c r="Y129">
        <v>67709.999999997803</v>
      </c>
      <c r="Z129">
        <v>22438.000527999498</v>
      </c>
      <c r="AA129">
        <v>23995.5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</row>
    <row r="130" spans="1:34" x14ac:dyDescent="0.25">
      <c r="A130" t="s">
        <v>32</v>
      </c>
      <c r="B130" t="str" cm="1">
        <f t="array" ref="B130:F130">_xlfn.TEXTSPLIT(A130,"_")</f>
        <v>MVPRP</v>
      </c>
      <c r="C130" t="str">
        <v>C15</v>
      </c>
      <c r="D130" t="str">
        <v>P9</v>
      </c>
      <c r="E130" t="str">
        <v>V3</v>
      </c>
      <c r="F130" t="str">
        <v>I1</v>
      </c>
      <c r="G130" t="s">
        <v>137</v>
      </c>
      <c r="H130" t="s">
        <v>30</v>
      </c>
      <c r="I130">
        <v>69719.499487781795</v>
      </c>
      <c r="J130">
        <v>69557.494086119696</v>
      </c>
      <c r="K130">
        <v>2.3236741923323202E-3</v>
      </c>
      <c r="L130">
        <v>3600.0968580245999</v>
      </c>
      <c r="M130" t="s">
        <v>118</v>
      </c>
      <c r="N130">
        <v>132</v>
      </c>
      <c r="P130">
        <v>2</v>
      </c>
      <c r="Q130">
        <v>0.5</v>
      </c>
      <c r="R130">
        <v>100</v>
      </c>
      <c r="S130">
        <v>50</v>
      </c>
      <c r="T130">
        <v>0</v>
      </c>
      <c r="U130">
        <v>2</v>
      </c>
      <c r="V130" s="1" t="s">
        <v>28</v>
      </c>
      <c r="W130">
        <v>0.05</v>
      </c>
      <c r="X130">
        <v>9000</v>
      </c>
      <c r="Y130">
        <v>40949.999999999898</v>
      </c>
      <c r="Z130">
        <v>13145.999513274801</v>
      </c>
      <c r="AA130">
        <v>6623.49997450709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</row>
    <row r="131" spans="1:34" x14ac:dyDescent="0.25">
      <c r="A131" t="s">
        <v>34</v>
      </c>
      <c r="B131" t="str" cm="1">
        <f t="array" ref="B131:F131">_xlfn.TEXTSPLIT(A131,"_")</f>
        <v>MVPRP</v>
      </c>
      <c r="C131" t="str">
        <v>C40</v>
      </c>
      <c r="D131" t="str">
        <v>P3</v>
      </c>
      <c r="E131" t="str">
        <v>V3</v>
      </c>
      <c r="F131" t="str">
        <v>I3</v>
      </c>
      <c r="G131" t="s">
        <v>137</v>
      </c>
      <c r="H131" t="s">
        <v>26</v>
      </c>
      <c r="I131">
        <v>51308.999965019801</v>
      </c>
      <c r="J131">
        <v>51308.999965019801</v>
      </c>
      <c r="K131">
        <v>0</v>
      </c>
      <c r="L131">
        <v>313.60271191597002</v>
      </c>
      <c r="M131" t="s">
        <v>118</v>
      </c>
      <c r="N131">
        <v>360</v>
      </c>
      <c r="P131">
        <v>2</v>
      </c>
      <c r="Q131">
        <v>0.5</v>
      </c>
      <c r="R131">
        <v>100</v>
      </c>
      <c r="S131">
        <v>50</v>
      </c>
      <c r="T131">
        <v>0</v>
      </c>
      <c r="U131">
        <v>2</v>
      </c>
      <c r="V131" s="1" t="s">
        <v>28</v>
      </c>
      <c r="W131">
        <v>0.05</v>
      </c>
      <c r="X131">
        <v>3000</v>
      </c>
      <c r="Y131">
        <v>27659.999999999902</v>
      </c>
      <c r="Z131">
        <v>9576.9999650199006</v>
      </c>
      <c r="AA131">
        <v>11072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</row>
    <row r="132" spans="1:34" x14ac:dyDescent="0.25">
      <c r="A132" t="s">
        <v>36</v>
      </c>
      <c r="B132" t="str" cm="1">
        <f t="array" ref="B132:F132">_xlfn.TEXTSPLIT(A132,"_")</f>
        <v>MVPRP</v>
      </c>
      <c r="C132" t="str">
        <v>C40</v>
      </c>
      <c r="D132" t="str">
        <v>P3</v>
      </c>
      <c r="E132" t="str">
        <v>V3</v>
      </c>
      <c r="F132" t="str">
        <v>I1</v>
      </c>
      <c r="G132" t="s">
        <v>137</v>
      </c>
      <c r="H132" t="s">
        <v>26</v>
      </c>
      <c r="I132">
        <v>41609</v>
      </c>
      <c r="J132">
        <v>41605.111582441001</v>
      </c>
      <c r="K132">
        <v>9.3451358095235603E-5</v>
      </c>
      <c r="L132">
        <v>387.69830894470198</v>
      </c>
      <c r="M132" t="s">
        <v>118</v>
      </c>
      <c r="N132">
        <v>360</v>
      </c>
      <c r="P132">
        <v>2</v>
      </c>
      <c r="Q132">
        <v>0.5</v>
      </c>
      <c r="R132">
        <v>100</v>
      </c>
      <c r="S132">
        <v>50</v>
      </c>
      <c r="T132">
        <v>0</v>
      </c>
      <c r="U132">
        <v>2</v>
      </c>
      <c r="V132" s="1" t="s">
        <v>28</v>
      </c>
      <c r="W132">
        <v>0.05</v>
      </c>
      <c r="X132">
        <v>6000</v>
      </c>
      <c r="Y132">
        <v>27660</v>
      </c>
      <c r="Z132">
        <v>4692</v>
      </c>
      <c r="AA132">
        <v>3257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</row>
    <row r="133" spans="1:34" x14ac:dyDescent="0.25">
      <c r="A133" t="s">
        <v>38</v>
      </c>
      <c r="B133" t="str" cm="1">
        <f t="array" ref="B133:F133">_xlfn.TEXTSPLIT(A133,"_")</f>
        <v>MVPRP</v>
      </c>
      <c r="C133" t="str">
        <v>C20</v>
      </c>
      <c r="D133" t="str">
        <v>P6</v>
      </c>
      <c r="E133" t="str">
        <v>V3</v>
      </c>
      <c r="F133" t="str">
        <v>I1</v>
      </c>
      <c r="G133" t="s">
        <v>137</v>
      </c>
      <c r="H133" t="s">
        <v>26</v>
      </c>
      <c r="I133">
        <v>45263.5</v>
      </c>
      <c r="J133">
        <v>45263.5</v>
      </c>
      <c r="K133">
        <v>0</v>
      </c>
      <c r="L133">
        <v>31.1466820240021</v>
      </c>
      <c r="M133" t="s">
        <v>118</v>
      </c>
      <c r="N133">
        <v>189</v>
      </c>
      <c r="P133">
        <v>2</v>
      </c>
      <c r="Q133">
        <v>0.5</v>
      </c>
      <c r="R133">
        <v>100</v>
      </c>
      <c r="S133">
        <v>50</v>
      </c>
      <c r="T133">
        <v>0</v>
      </c>
      <c r="U133">
        <v>2</v>
      </c>
      <c r="V133" s="1" t="s">
        <v>28</v>
      </c>
      <c r="W133">
        <v>0.05</v>
      </c>
      <c r="X133">
        <v>6000</v>
      </c>
      <c r="Y133">
        <v>23820</v>
      </c>
      <c r="Z133">
        <v>12510</v>
      </c>
      <c r="AA133">
        <v>2933.5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</row>
    <row r="134" spans="1:34" x14ac:dyDescent="0.25">
      <c r="A134" t="s">
        <v>40</v>
      </c>
      <c r="B134" t="str" cm="1">
        <f t="array" ref="B134:F134">_xlfn.TEXTSPLIT(A134,"_")</f>
        <v>MVPRP</v>
      </c>
      <c r="C134" t="str">
        <v>C10</v>
      </c>
      <c r="D134" t="str">
        <v>P3</v>
      </c>
      <c r="E134" t="str">
        <v>V3</v>
      </c>
      <c r="F134" t="str">
        <v>I1</v>
      </c>
      <c r="G134" t="s">
        <v>137</v>
      </c>
      <c r="H134" t="s">
        <v>26</v>
      </c>
      <c r="I134">
        <v>13002.5</v>
      </c>
      <c r="J134">
        <v>13002.5</v>
      </c>
      <c r="K134">
        <v>0</v>
      </c>
      <c r="L134">
        <v>0.41492295265197798</v>
      </c>
      <c r="M134" t="s">
        <v>118</v>
      </c>
      <c r="N134">
        <v>132</v>
      </c>
      <c r="P134">
        <v>2</v>
      </c>
      <c r="Q134">
        <v>0.5</v>
      </c>
      <c r="R134">
        <v>100</v>
      </c>
      <c r="S134">
        <v>50</v>
      </c>
      <c r="T134">
        <v>0</v>
      </c>
      <c r="U134">
        <v>2</v>
      </c>
      <c r="V134" s="1" t="s">
        <v>28</v>
      </c>
      <c r="W134">
        <v>0.05</v>
      </c>
      <c r="X134">
        <v>3000</v>
      </c>
      <c r="Y134">
        <v>6390</v>
      </c>
      <c r="Z134">
        <v>2313</v>
      </c>
      <c r="AA134">
        <v>1299.5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</row>
    <row r="135" spans="1:34" x14ac:dyDescent="0.25">
      <c r="A135" t="s">
        <v>42</v>
      </c>
      <c r="B135" t="str" cm="1">
        <f t="array" ref="B135:F135">_xlfn.TEXTSPLIT(A135,"_")</f>
        <v>MVPRP</v>
      </c>
      <c r="C135" t="str">
        <v>C45</v>
      </c>
      <c r="D135" t="str">
        <v>P3</v>
      </c>
      <c r="E135" t="str">
        <v>V3</v>
      </c>
      <c r="F135" t="str">
        <v>I3</v>
      </c>
      <c r="G135" t="s">
        <v>137</v>
      </c>
      <c r="H135" t="s">
        <v>30</v>
      </c>
      <c r="I135">
        <v>58896.5</v>
      </c>
      <c r="J135">
        <v>58643.676779328598</v>
      </c>
      <c r="K135">
        <v>4.2926696946576099E-3</v>
      </c>
      <c r="L135">
        <v>3600.0592207908599</v>
      </c>
      <c r="M135" t="s">
        <v>118</v>
      </c>
      <c r="N135">
        <v>360</v>
      </c>
      <c r="P135">
        <v>2</v>
      </c>
      <c r="Q135">
        <v>0.5</v>
      </c>
      <c r="R135">
        <v>100</v>
      </c>
      <c r="S135">
        <v>50</v>
      </c>
      <c r="T135">
        <v>0</v>
      </c>
      <c r="U135">
        <v>2</v>
      </c>
      <c r="V135" s="1" t="s">
        <v>28</v>
      </c>
      <c r="W135">
        <v>0.05</v>
      </c>
      <c r="X135">
        <v>3000</v>
      </c>
      <c r="Y135">
        <v>33060</v>
      </c>
      <c r="Z135">
        <v>11010</v>
      </c>
      <c r="AA135">
        <v>11826.5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</row>
    <row r="136" spans="1:34" x14ac:dyDescent="0.25">
      <c r="A136" t="s">
        <v>44</v>
      </c>
      <c r="B136" t="str" cm="1">
        <f t="array" ref="B136:F136">_xlfn.TEXTSPLIT(A136,"_")</f>
        <v>MVPRP</v>
      </c>
      <c r="C136" t="str">
        <v>C20</v>
      </c>
      <c r="D136" t="str">
        <v>P3</v>
      </c>
      <c r="E136" t="str">
        <v>V3</v>
      </c>
      <c r="F136" t="str">
        <v>I1</v>
      </c>
      <c r="G136" t="s">
        <v>137</v>
      </c>
      <c r="H136" t="s">
        <v>26</v>
      </c>
      <c r="I136">
        <v>20910</v>
      </c>
      <c r="J136">
        <v>20910</v>
      </c>
      <c r="K136">
        <v>0</v>
      </c>
      <c r="L136">
        <v>3.2538580894470202</v>
      </c>
      <c r="M136" t="s">
        <v>118</v>
      </c>
      <c r="N136">
        <v>189</v>
      </c>
      <c r="P136">
        <v>2</v>
      </c>
      <c r="Q136">
        <v>0.5</v>
      </c>
      <c r="R136">
        <v>100</v>
      </c>
      <c r="S136">
        <v>50</v>
      </c>
      <c r="T136">
        <v>0</v>
      </c>
      <c r="U136">
        <v>2</v>
      </c>
      <c r="V136" s="1" t="s">
        <v>28</v>
      </c>
      <c r="W136">
        <v>0.05</v>
      </c>
      <c r="X136">
        <v>3000</v>
      </c>
      <c r="Y136">
        <v>12030</v>
      </c>
      <c r="Z136">
        <v>3897</v>
      </c>
      <c r="AA136">
        <v>1983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</row>
    <row r="137" spans="1:34" x14ac:dyDescent="0.25">
      <c r="A137" t="s">
        <v>46</v>
      </c>
      <c r="B137" t="str" cm="1">
        <f t="array" ref="B137:F137">_xlfn.TEXTSPLIT(A137,"_")</f>
        <v>MVPRP</v>
      </c>
      <c r="C137" t="str">
        <v>C35</v>
      </c>
      <c r="D137" t="str">
        <v>P3</v>
      </c>
      <c r="E137" t="str">
        <v>V3</v>
      </c>
      <c r="F137" t="str">
        <v>I3</v>
      </c>
      <c r="G137" t="s">
        <v>137</v>
      </c>
      <c r="H137" t="s">
        <v>26</v>
      </c>
      <c r="I137">
        <v>41361.5</v>
      </c>
      <c r="J137">
        <v>41361.5</v>
      </c>
      <c r="K137">
        <v>0</v>
      </c>
      <c r="L137">
        <v>621.01512908935604</v>
      </c>
      <c r="M137" t="s">
        <v>118</v>
      </c>
      <c r="N137">
        <v>276</v>
      </c>
      <c r="P137">
        <v>2</v>
      </c>
      <c r="Q137">
        <v>0.5</v>
      </c>
      <c r="R137">
        <v>100</v>
      </c>
      <c r="S137">
        <v>50</v>
      </c>
      <c r="T137">
        <v>0</v>
      </c>
      <c r="U137">
        <v>2</v>
      </c>
      <c r="V137" s="1" t="s">
        <v>28</v>
      </c>
      <c r="W137">
        <v>0.05</v>
      </c>
      <c r="X137">
        <v>3000</v>
      </c>
      <c r="Y137">
        <v>21600</v>
      </c>
      <c r="Z137">
        <v>7360</v>
      </c>
      <c r="AA137">
        <v>9401.5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</row>
    <row r="138" spans="1:34" x14ac:dyDescent="0.25">
      <c r="A138" t="s">
        <v>48</v>
      </c>
      <c r="B138" t="str" cm="1">
        <f t="array" ref="B138:F138">_xlfn.TEXTSPLIT(A138,"_")</f>
        <v>MVPRP</v>
      </c>
      <c r="C138" t="str">
        <v>C40</v>
      </c>
      <c r="D138" t="str">
        <v>P6</v>
      </c>
      <c r="E138" t="str">
        <v>V3</v>
      </c>
      <c r="F138" t="str">
        <v>I1</v>
      </c>
      <c r="G138" t="s">
        <v>137</v>
      </c>
      <c r="H138" t="s">
        <v>30</v>
      </c>
      <c r="I138">
        <v>91913.499942254304</v>
      </c>
      <c r="J138">
        <v>91699.221977955298</v>
      </c>
      <c r="K138">
        <v>2.3313002380884401E-3</v>
      </c>
      <c r="L138">
        <v>3600.1507289409601</v>
      </c>
      <c r="M138" t="s">
        <v>118</v>
      </c>
      <c r="N138">
        <v>360</v>
      </c>
      <c r="P138">
        <v>2</v>
      </c>
      <c r="Q138">
        <v>0.5</v>
      </c>
      <c r="R138">
        <v>100</v>
      </c>
      <c r="S138">
        <v>50</v>
      </c>
      <c r="T138">
        <v>0</v>
      </c>
      <c r="U138">
        <v>2</v>
      </c>
      <c r="V138" s="1" t="s">
        <v>28</v>
      </c>
      <c r="W138">
        <v>0.05</v>
      </c>
      <c r="X138">
        <v>6000</v>
      </c>
      <c r="Y138">
        <v>55170</v>
      </c>
      <c r="Z138">
        <v>25151</v>
      </c>
      <c r="AA138">
        <v>5592.4999422542496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</row>
    <row r="139" spans="1:34" x14ac:dyDescent="0.25">
      <c r="A139" t="s">
        <v>50</v>
      </c>
      <c r="B139" t="str" cm="1">
        <f t="array" ref="B139:F139">_xlfn.TEXTSPLIT(A139,"_")</f>
        <v>MVPRP</v>
      </c>
      <c r="C139" t="str">
        <v>C10</v>
      </c>
      <c r="D139" t="str">
        <v>P3</v>
      </c>
      <c r="E139" t="str">
        <v>V3</v>
      </c>
      <c r="F139" t="str">
        <v>I3</v>
      </c>
      <c r="G139" t="s">
        <v>137</v>
      </c>
      <c r="H139" t="s">
        <v>26</v>
      </c>
      <c r="I139">
        <v>16611</v>
      </c>
      <c r="J139">
        <v>16611</v>
      </c>
      <c r="K139">
        <v>0</v>
      </c>
      <c r="L139">
        <v>1.19254899024963</v>
      </c>
      <c r="M139" t="s">
        <v>118</v>
      </c>
      <c r="N139">
        <v>132</v>
      </c>
      <c r="P139">
        <v>2</v>
      </c>
      <c r="Q139">
        <v>0.5</v>
      </c>
      <c r="R139">
        <v>100</v>
      </c>
      <c r="S139">
        <v>50</v>
      </c>
      <c r="T139">
        <v>0</v>
      </c>
      <c r="U139">
        <v>2</v>
      </c>
      <c r="V139" s="1" t="s">
        <v>28</v>
      </c>
      <c r="W139">
        <v>0.05</v>
      </c>
      <c r="X139">
        <v>3000</v>
      </c>
      <c r="Y139">
        <v>6390</v>
      </c>
      <c r="Z139">
        <v>3082</v>
      </c>
      <c r="AA139">
        <v>4139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</row>
    <row r="140" spans="1:34" x14ac:dyDescent="0.25">
      <c r="A140" t="s">
        <v>52</v>
      </c>
      <c r="B140" t="str" cm="1">
        <f t="array" ref="B140:F140">_xlfn.TEXTSPLIT(A140,"_")</f>
        <v>MVPRP</v>
      </c>
      <c r="C140" t="str">
        <v>C30</v>
      </c>
      <c r="D140" t="str">
        <v>P3</v>
      </c>
      <c r="E140" t="str">
        <v>V3</v>
      </c>
      <c r="F140" t="str">
        <v>I3</v>
      </c>
      <c r="G140" t="s">
        <v>137</v>
      </c>
      <c r="H140" t="s">
        <v>26</v>
      </c>
      <c r="I140">
        <v>33853</v>
      </c>
      <c r="J140">
        <v>33853</v>
      </c>
      <c r="K140">
        <v>0</v>
      </c>
      <c r="L140">
        <v>102.931480884552</v>
      </c>
      <c r="M140" t="s">
        <v>118</v>
      </c>
      <c r="N140">
        <v>228</v>
      </c>
      <c r="P140">
        <v>2</v>
      </c>
      <c r="Q140">
        <v>0.5</v>
      </c>
      <c r="R140">
        <v>100</v>
      </c>
      <c r="S140">
        <v>50</v>
      </c>
      <c r="T140">
        <v>0</v>
      </c>
      <c r="U140">
        <v>2</v>
      </c>
      <c r="V140" s="1" t="s">
        <v>28</v>
      </c>
      <c r="W140">
        <v>0.05</v>
      </c>
      <c r="X140">
        <v>3000</v>
      </c>
      <c r="Y140">
        <v>16680</v>
      </c>
      <c r="Z140">
        <v>6535</v>
      </c>
      <c r="AA140">
        <v>7638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</row>
    <row r="141" spans="1:34" x14ac:dyDescent="0.25">
      <c r="A141" t="s">
        <v>54</v>
      </c>
      <c r="B141" t="str" cm="1">
        <f t="array" ref="B141:F141">_xlfn.TEXTSPLIT(A141,"_")</f>
        <v>MVPRP</v>
      </c>
      <c r="C141" t="str">
        <v>C20</v>
      </c>
      <c r="D141" t="str">
        <v>P3</v>
      </c>
      <c r="E141" t="str">
        <v>V3</v>
      </c>
      <c r="F141" t="str">
        <v>I3</v>
      </c>
      <c r="G141" t="s">
        <v>137</v>
      </c>
      <c r="H141" t="s">
        <v>26</v>
      </c>
      <c r="I141">
        <v>26786.5</v>
      </c>
      <c r="J141">
        <v>26786.5</v>
      </c>
      <c r="K141">
        <v>0</v>
      </c>
      <c r="L141">
        <v>18.750438928604101</v>
      </c>
      <c r="M141" t="s">
        <v>118</v>
      </c>
      <c r="N141">
        <v>189</v>
      </c>
      <c r="P141">
        <v>2</v>
      </c>
      <c r="Q141">
        <v>0.5</v>
      </c>
      <c r="R141">
        <v>100</v>
      </c>
      <c r="S141">
        <v>50</v>
      </c>
      <c r="T141">
        <v>0</v>
      </c>
      <c r="U141">
        <v>2</v>
      </c>
      <c r="V141" s="1" t="s">
        <v>28</v>
      </c>
      <c r="W141">
        <v>0.05</v>
      </c>
      <c r="X141">
        <v>3000</v>
      </c>
      <c r="Y141">
        <v>12030</v>
      </c>
      <c r="Z141">
        <v>4509</v>
      </c>
      <c r="AA141">
        <v>7247.5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</row>
    <row r="142" spans="1:34" x14ac:dyDescent="0.25">
      <c r="A142" t="s">
        <v>56</v>
      </c>
      <c r="B142" t="str" cm="1">
        <f t="array" ref="B142:F142">_xlfn.TEXTSPLIT(A142,"_")</f>
        <v>MVPRP</v>
      </c>
      <c r="C142" t="str">
        <v>C35</v>
      </c>
      <c r="D142" t="str">
        <v>P6</v>
      </c>
      <c r="E142" t="str">
        <v>V3</v>
      </c>
      <c r="F142" t="str">
        <v>I3</v>
      </c>
      <c r="G142" t="s">
        <v>137</v>
      </c>
      <c r="H142" t="s">
        <v>30</v>
      </c>
      <c r="I142">
        <v>85085.999620258503</v>
      </c>
      <c r="J142">
        <v>84172.390987884894</v>
      </c>
      <c r="K142">
        <v>1.0737473103108E-2</v>
      </c>
      <c r="L142">
        <v>3600.0619230270399</v>
      </c>
      <c r="M142" t="s">
        <v>118</v>
      </c>
      <c r="N142">
        <v>276</v>
      </c>
      <c r="P142">
        <v>2</v>
      </c>
      <c r="Q142">
        <v>0.5</v>
      </c>
      <c r="R142">
        <v>100</v>
      </c>
      <c r="S142">
        <v>50</v>
      </c>
      <c r="T142">
        <v>0</v>
      </c>
      <c r="U142">
        <v>2</v>
      </c>
      <c r="V142" s="1" t="s">
        <v>28</v>
      </c>
      <c r="W142">
        <v>0.05</v>
      </c>
      <c r="X142">
        <v>6000</v>
      </c>
      <c r="Y142">
        <v>42899.999999996799</v>
      </c>
      <c r="Z142">
        <v>21081.999456215399</v>
      </c>
      <c r="AA142">
        <v>15104.0001640463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</row>
    <row r="143" spans="1:34" x14ac:dyDescent="0.25">
      <c r="A143" t="s">
        <v>58</v>
      </c>
      <c r="B143" t="str" cm="1">
        <f t="array" ref="B143:F143">_xlfn.TEXTSPLIT(A143,"_")</f>
        <v>MVPRP</v>
      </c>
      <c r="C143" t="str">
        <v>C25</v>
      </c>
      <c r="D143" t="str">
        <v>P6</v>
      </c>
      <c r="E143" t="str">
        <v>V3</v>
      </c>
      <c r="F143" t="str">
        <v>I3</v>
      </c>
      <c r="G143" t="s">
        <v>137</v>
      </c>
      <c r="H143" t="s">
        <v>30</v>
      </c>
      <c r="I143">
        <v>65227.495956007602</v>
      </c>
      <c r="J143">
        <v>64960.846244726403</v>
      </c>
      <c r="K143">
        <v>4.0879955204947797E-3</v>
      </c>
      <c r="L143">
        <v>3600.07558894157</v>
      </c>
      <c r="M143" t="s">
        <v>118</v>
      </c>
      <c r="N143">
        <v>189</v>
      </c>
      <c r="P143">
        <v>2</v>
      </c>
      <c r="Q143">
        <v>0.5</v>
      </c>
      <c r="R143">
        <v>100</v>
      </c>
      <c r="S143">
        <v>50</v>
      </c>
      <c r="T143">
        <v>0</v>
      </c>
      <c r="U143">
        <v>2</v>
      </c>
      <c r="V143" s="1" t="s">
        <v>28</v>
      </c>
      <c r="W143">
        <v>0.05</v>
      </c>
      <c r="X143">
        <v>6000</v>
      </c>
      <c r="Y143">
        <v>28380</v>
      </c>
      <c r="Z143">
        <v>18456.996115861501</v>
      </c>
      <c r="AA143">
        <v>12390.4998401461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</row>
    <row r="144" spans="1:34" x14ac:dyDescent="0.25">
      <c r="A144" t="s">
        <v>60</v>
      </c>
      <c r="B144" t="str" cm="1">
        <f t="array" ref="B144:F144">_xlfn.TEXTSPLIT(A144,"_")</f>
        <v>MVPRP</v>
      </c>
      <c r="C144" t="str">
        <v>C15</v>
      </c>
      <c r="D144" t="str">
        <v>P6</v>
      </c>
      <c r="E144" t="str">
        <v>V3</v>
      </c>
      <c r="F144" t="str">
        <v>I3</v>
      </c>
      <c r="G144" t="s">
        <v>137</v>
      </c>
      <c r="H144" t="s">
        <v>26</v>
      </c>
      <c r="I144">
        <v>49264.5</v>
      </c>
      <c r="J144">
        <v>49260.743995347599</v>
      </c>
      <c r="K144">
        <v>7.6241607088590503E-5</v>
      </c>
      <c r="L144">
        <v>57.6475670337677</v>
      </c>
      <c r="M144" t="s">
        <v>118</v>
      </c>
      <c r="N144">
        <v>132</v>
      </c>
      <c r="P144">
        <v>2</v>
      </c>
      <c r="Q144">
        <v>0.5</v>
      </c>
      <c r="R144">
        <v>100</v>
      </c>
      <c r="S144">
        <v>50</v>
      </c>
      <c r="T144">
        <v>0</v>
      </c>
      <c r="U144">
        <v>2</v>
      </c>
      <c r="V144" s="1" t="s">
        <v>28</v>
      </c>
      <c r="W144">
        <v>0.05</v>
      </c>
      <c r="X144">
        <v>6000</v>
      </c>
      <c r="Y144">
        <v>19800</v>
      </c>
      <c r="Z144">
        <v>12042</v>
      </c>
      <c r="AA144">
        <v>11422.5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</row>
    <row r="145" spans="1:34" x14ac:dyDescent="0.25">
      <c r="A145" t="s">
        <v>62</v>
      </c>
      <c r="B145" t="str" cm="1">
        <f t="array" ref="B145:F145">_xlfn.TEXTSPLIT(A145,"_")</f>
        <v>MVPRP</v>
      </c>
      <c r="C145" t="str">
        <v>C50</v>
      </c>
      <c r="D145" t="str">
        <v>P3</v>
      </c>
      <c r="E145" t="str">
        <v>V3</v>
      </c>
      <c r="F145" t="str">
        <v>I3</v>
      </c>
      <c r="G145" t="s">
        <v>137</v>
      </c>
      <c r="H145" t="s">
        <v>30</v>
      </c>
      <c r="I145">
        <v>54604.999542910897</v>
      </c>
      <c r="J145">
        <v>54230.911383608298</v>
      </c>
      <c r="K145">
        <v>6.8508041833894896E-3</v>
      </c>
      <c r="L145">
        <v>3600.0583188533801</v>
      </c>
      <c r="M145" t="s">
        <v>118</v>
      </c>
      <c r="N145">
        <v>360</v>
      </c>
      <c r="P145">
        <v>2</v>
      </c>
      <c r="Q145">
        <v>0.5</v>
      </c>
      <c r="R145">
        <v>100</v>
      </c>
      <c r="S145">
        <v>50</v>
      </c>
      <c r="T145">
        <v>0</v>
      </c>
      <c r="U145">
        <v>2</v>
      </c>
      <c r="V145" s="1" t="s">
        <v>28</v>
      </c>
      <c r="W145">
        <v>0.05</v>
      </c>
      <c r="X145">
        <v>3000</v>
      </c>
      <c r="Y145">
        <v>29580</v>
      </c>
      <c r="Z145">
        <v>10419</v>
      </c>
      <c r="AA145">
        <v>11605.9995429109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</row>
    <row r="146" spans="1:34" x14ac:dyDescent="0.25">
      <c r="A146" t="s">
        <v>64</v>
      </c>
      <c r="B146" t="str" cm="1">
        <f t="array" ref="B146:F146">_xlfn.TEXTSPLIT(A146,"_")</f>
        <v>MVPRP</v>
      </c>
      <c r="C146" t="str">
        <v>C30</v>
      </c>
      <c r="D146" t="str">
        <v>P6</v>
      </c>
      <c r="E146" t="str">
        <v>V3</v>
      </c>
      <c r="F146" t="str">
        <v>I3</v>
      </c>
      <c r="G146" t="s">
        <v>137</v>
      </c>
      <c r="H146" t="s">
        <v>30</v>
      </c>
      <c r="I146">
        <v>69819.4998441918</v>
      </c>
      <c r="J146">
        <v>69466.623639525802</v>
      </c>
      <c r="K146">
        <v>5.0541210615012398E-3</v>
      </c>
      <c r="L146">
        <v>3600.04102897644</v>
      </c>
      <c r="M146" t="s">
        <v>118</v>
      </c>
      <c r="N146">
        <v>228</v>
      </c>
      <c r="P146">
        <v>2</v>
      </c>
      <c r="Q146">
        <v>0.5</v>
      </c>
      <c r="R146">
        <v>100</v>
      </c>
      <c r="S146">
        <v>50</v>
      </c>
      <c r="T146">
        <v>0</v>
      </c>
      <c r="U146">
        <v>2</v>
      </c>
      <c r="V146" s="1" t="s">
        <v>28</v>
      </c>
      <c r="W146">
        <v>0.05</v>
      </c>
      <c r="X146">
        <v>6000</v>
      </c>
      <c r="Y146">
        <v>33149.999917894398</v>
      </c>
      <c r="Z146">
        <v>17739.999926297402</v>
      </c>
      <c r="AA146">
        <v>12929.5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</row>
    <row r="147" spans="1:34" x14ac:dyDescent="0.25">
      <c r="A147" t="s">
        <v>66</v>
      </c>
      <c r="B147" t="str" cm="1">
        <f t="array" ref="B147:F147">_xlfn.TEXTSPLIT(A147,"_")</f>
        <v>MVPRP</v>
      </c>
      <c r="C147" t="str">
        <v>C45</v>
      </c>
      <c r="D147" t="str">
        <v>P3</v>
      </c>
      <c r="E147" t="str">
        <v>V3</v>
      </c>
      <c r="F147" t="str">
        <v>I1</v>
      </c>
      <c r="G147" t="s">
        <v>137</v>
      </c>
      <c r="H147" t="s">
        <v>26</v>
      </c>
      <c r="I147">
        <v>47460</v>
      </c>
      <c r="J147">
        <v>47456.491272926498</v>
      </c>
      <c r="K147">
        <v>7.3930195395707107E-5</v>
      </c>
      <c r="L147">
        <v>921.40168499946606</v>
      </c>
      <c r="M147" t="s">
        <v>118</v>
      </c>
      <c r="N147">
        <v>360</v>
      </c>
      <c r="P147">
        <v>2</v>
      </c>
      <c r="Q147">
        <v>0.5</v>
      </c>
      <c r="R147">
        <v>100</v>
      </c>
      <c r="S147">
        <v>50</v>
      </c>
      <c r="T147">
        <v>0</v>
      </c>
      <c r="U147">
        <v>2</v>
      </c>
      <c r="V147" s="1" t="s">
        <v>28</v>
      </c>
      <c r="W147">
        <v>0.05</v>
      </c>
      <c r="X147">
        <v>6000</v>
      </c>
      <c r="Y147">
        <v>33060</v>
      </c>
      <c r="Z147">
        <v>4926</v>
      </c>
      <c r="AA147">
        <v>3474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</row>
    <row r="148" spans="1:34" x14ac:dyDescent="0.25">
      <c r="A148" t="s">
        <v>68</v>
      </c>
      <c r="B148" t="str" cm="1">
        <f t="array" ref="B148:F148">_xlfn.TEXTSPLIT(A148,"_")</f>
        <v>MVPRP</v>
      </c>
      <c r="C148" t="str">
        <v>C25</v>
      </c>
      <c r="D148" t="str">
        <v>P6</v>
      </c>
      <c r="E148" t="str">
        <v>V3</v>
      </c>
      <c r="F148" t="str">
        <v>I1</v>
      </c>
      <c r="G148" t="s">
        <v>137</v>
      </c>
      <c r="H148" t="s">
        <v>26</v>
      </c>
      <c r="I148">
        <v>54401</v>
      </c>
      <c r="J148">
        <v>54401</v>
      </c>
      <c r="K148">
        <v>0</v>
      </c>
      <c r="L148">
        <v>175.58229088783301</v>
      </c>
      <c r="M148" t="s">
        <v>118</v>
      </c>
      <c r="N148">
        <v>189</v>
      </c>
      <c r="P148">
        <v>2</v>
      </c>
      <c r="Q148">
        <v>0.5</v>
      </c>
      <c r="R148">
        <v>100</v>
      </c>
      <c r="S148">
        <v>50</v>
      </c>
      <c r="T148">
        <v>0</v>
      </c>
      <c r="U148">
        <v>2</v>
      </c>
      <c r="V148" s="1" t="s">
        <v>28</v>
      </c>
      <c r="W148">
        <v>0.05</v>
      </c>
      <c r="X148">
        <v>6000</v>
      </c>
      <c r="Y148">
        <v>28380</v>
      </c>
      <c r="Z148">
        <v>16316</v>
      </c>
      <c r="AA148">
        <v>3705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</row>
    <row r="149" spans="1:34" x14ac:dyDescent="0.25">
      <c r="A149" t="s">
        <v>70</v>
      </c>
      <c r="B149" t="str" cm="1">
        <f t="array" ref="B149:F149">_xlfn.TEXTSPLIT(A149,"_")</f>
        <v>MVPRP</v>
      </c>
      <c r="C149" t="str">
        <v>C35</v>
      </c>
      <c r="D149" t="str">
        <v>P6</v>
      </c>
      <c r="E149" t="str">
        <v>V3</v>
      </c>
      <c r="F149" t="str">
        <v>I1</v>
      </c>
      <c r="G149" t="s">
        <v>137</v>
      </c>
      <c r="H149" t="s">
        <v>30</v>
      </c>
      <c r="I149">
        <v>71232</v>
      </c>
      <c r="J149">
        <v>71100.599730043003</v>
      </c>
      <c r="K149">
        <v>1.84468033969259E-3</v>
      </c>
      <c r="L149">
        <v>3600.1047670841199</v>
      </c>
      <c r="M149" t="s">
        <v>118</v>
      </c>
      <c r="N149">
        <v>276</v>
      </c>
      <c r="P149">
        <v>2</v>
      </c>
      <c r="Q149">
        <v>0.5</v>
      </c>
      <c r="R149">
        <v>100</v>
      </c>
      <c r="S149">
        <v>50</v>
      </c>
      <c r="T149">
        <v>0</v>
      </c>
      <c r="U149">
        <v>2</v>
      </c>
      <c r="V149" s="1" t="s">
        <v>28</v>
      </c>
      <c r="W149">
        <v>0.05</v>
      </c>
      <c r="X149">
        <v>6000</v>
      </c>
      <c r="Y149">
        <v>42900</v>
      </c>
      <c r="Z149">
        <v>17311</v>
      </c>
      <c r="AA149">
        <v>5021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</row>
    <row r="150" spans="1:34" x14ac:dyDescent="0.25">
      <c r="A150" t="s">
        <v>72</v>
      </c>
      <c r="B150" t="str" cm="1">
        <f t="array" ref="B150:F150">_xlfn.TEXTSPLIT(A150,"_")</f>
        <v>MVPRP</v>
      </c>
      <c r="C150" t="str">
        <v>C25</v>
      </c>
      <c r="D150" t="str">
        <v>P3</v>
      </c>
      <c r="E150" t="str">
        <v>V3</v>
      </c>
      <c r="F150" t="str">
        <v>I1</v>
      </c>
      <c r="G150" t="s">
        <v>137</v>
      </c>
      <c r="H150" t="s">
        <v>26</v>
      </c>
      <c r="I150">
        <v>24584.5</v>
      </c>
      <c r="J150">
        <v>24584.5</v>
      </c>
      <c r="K150">
        <v>0</v>
      </c>
      <c r="L150">
        <v>32.363929033279398</v>
      </c>
      <c r="M150" t="s">
        <v>118</v>
      </c>
      <c r="N150">
        <v>189</v>
      </c>
      <c r="P150">
        <v>2</v>
      </c>
      <c r="Q150">
        <v>0.5</v>
      </c>
      <c r="R150">
        <v>100</v>
      </c>
      <c r="S150">
        <v>50</v>
      </c>
      <c r="T150">
        <v>0</v>
      </c>
      <c r="U150">
        <v>2</v>
      </c>
      <c r="V150" s="1" t="s">
        <v>28</v>
      </c>
      <c r="W150">
        <v>0.05</v>
      </c>
      <c r="X150">
        <v>3000</v>
      </c>
      <c r="Y150">
        <v>14340</v>
      </c>
      <c r="Z150">
        <v>4877</v>
      </c>
      <c r="AA150">
        <v>2367.5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</row>
    <row r="151" spans="1:34" x14ac:dyDescent="0.25">
      <c r="A151" t="s">
        <v>74</v>
      </c>
      <c r="B151" t="str" cm="1">
        <f t="array" ref="B151:F151">_xlfn.TEXTSPLIT(A151,"_")</f>
        <v>MVPRP</v>
      </c>
      <c r="C151" t="str">
        <v>C10</v>
      </c>
      <c r="D151" t="str">
        <v>P6</v>
      </c>
      <c r="E151" t="str">
        <v>V3</v>
      </c>
      <c r="F151" t="str">
        <v>I1</v>
      </c>
      <c r="G151" t="s">
        <v>137</v>
      </c>
      <c r="H151" t="s">
        <v>26</v>
      </c>
      <c r="I151">
        <v>28272</v>
      </c>
      <c r="J151">
        <v>28270.6093319262</v>
      </c>
      <c r="K151">
        <v>4.9188882066678302E-5</v>
      </c>
      <c r="L151">
        <v>3.55665111541748</v>
      </c>
      <c r="M151" t="s">
        <v>118</v>
      </c>
      <c r="N151">
        <v>132</v>
      </c>
      <c r="P151">
        <v>2</v>
      </c>
      <c r="Q151">
        <v>0.5</v>
      </c>
      <c r="R151">
        <v>100</v>
      </c>
      <c r="S151">
        <v>50</v>
      </c>
      <c r="T151">
        <v>0</v>
      </c>
      <c r="U151">
        <v>2</v>
      </c>
      <c r="V151" s="1" t="s">
        <v>28</v>
      </c>
      <c r="W151">
        <v>0.05</v>
      </c>
      <c r="X151">
        <v>6000</v>
      </c>
      <c r="Y151">
        <v>12690</v>
      </c>
      <c r="Z151">
        <v>7408</v>
      </c>
      <c r="AA151">
        <v>2174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</row>
    <row r="152" spans="1:34" x14ac:dyDescent="0.25">
      <c r="A152" t="s">
        <v>76</v>
      </c>
      <c r="B152" t="str" cm="1">
        <f t="array" ref="B152:F152">_xlfn.TEXTSPLIT(A152,"_")</f>
        <v>MVPRP</v>
      </c>
      <c r="C152" t="str">
        <v>C35</v>
      </c>
      <c r="D152" t="str">
        <v>P3</v>
      </c>
      <c r="E152" t="str">
        <v>V3</v>
      </c>
      <c r="F152" t="str">
        <v>I1</v>
      </c>
      <c r="G152" t="s">
        <v>137</v>
      </c>
      <c r="H152" t="s">
        <v>26</v>
      </c>
      <c r="I152">
        <v>33517.5</v>
      </c>
      <c r="J152">
        <v>33517.5</v>
      </c>
      <c r="K152">
        <v>0</v>
      </c>
      <c r="L152">
        <v>134.83490800857501</v>
      </c>
      <c r="M152" t="s">
        <v>118</v>
      </c>
      <c r="N152">
        <v>276</v>
      </c>
      <c r="P152">
        <v>2</v>
      </c>
      <c r="Q152">
        <v>0.5</v>
      </c>
      <c r="R152">
        <v>100</v>
      </c>
      <c r="S152">
        <v>50</v>
      </c>
      <c r="T152">
        <v>0</v>
      </c>
      <c r="U152">
        <v>2</v>
      </c>
      <c r="V152" s="1" t="s">
        <v>28</v>
      </c>
      <c r="W152">
        <v>0.05</v>
      </c>
      <c r="X152">
        <v>3000</v>
      </c>
      <c r="Y152">
        <v>21600</v>
      </c>
      <c r="Z152">
        <v>6341</v>
      </c>
      <c r="AA152">
        <v>2576.5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</row>
    <row r="153" spans="1:34" x14ac:dyDescent="0.25">
      <c r="A153" t="s">
        <v>78</v>
      </c>
      <c r="B153" t="str" cm="1">
        <f t="array" ref="B153:F153">_xlfn.TEXTSPLIT(A153,"_")</f>
        <v>MVPRP</v>
      </c>
      <c r="C153" t="str">
        <v>C10</v>
      </c>
      <c r="D153" t="str">
        <v>P6</v>
      </c>
      <c r="E153" t="str">
        <v>V3</v>
      </c>
      <c r="F153" t="str">
        <v>I3</v>
      </c>
      <c r="G153" t="s">
        <v>137</v>
      </c>
      <c r="H153" t="s">
        <v>26</v>
      </c>
      <c r="I153">
        <v>34625.5</v>
      </c>
      <c r="J153">
        <v>34625.5</v>
      </c>
      <c r="K153">
        <v>0</v>
      </c>
      <c r="L153">
        <v>1.75228595733643</v>
      </c>
      <c r="M153" t="s">
        <v>118</v>
      </c>
      <c r="N153">
        <v>132</v>
      </c>
      <c r="P153">
        <v>2</v>
      </c>
      <c r="Q153">
        <v>0.5</v>
      </c>
      <c r="R153">
        <v>100</v>
      </c>
      <c r="S153">
        <v>50</v>
      </c>
      <c r="T153">
        <v>0</v>
      </c>
      <c r="U153">
        <v>2</v>
      </c>
      <c r="V153" s="1" t="s">
        <v>28</v>
      </c>
      <c r="W153">
        <v>0.05</v>
      </c>
      <c r="X153">
        <v>6000</v>
      </c>
      <c r="Y153">
        <v>12690</v>
      </c>
      <c r="Z153">
        <v>8493</v>
      </c>
      <c r="AA153">
        <v>7442.5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</row>
    <row r="154" spans="1:34" x14ac:dyDescent="0.25">
      <c r="A154" t="s">
        <v>80</v>
      </c>
      <c r="B154" t="str" cm="1">
        <f t="array" ref="B154:F154">_xlfn.TEXTSPLIT(A154,"_")</f>
        <v>MVPRP</v>
      </c>
      <c r="C154" t="str">
        <v>C50</v>
      </c>
      <c r="D154" t="str">
        <v>P3</v>
      </c>
      <c r="E154" t="str">
        <v>V3</v>
      </c>
      <c r="F154" t="str">
        <v>I1</v>
      </c>
      <c r="G154" t="s">
        <v>137</v>
      </c>
      <c r="H154" t="s">
        <v>26</v>
      </c>
      <c r="I154">
        <v>43699.5</v>
      </c>
      <c r="J154">
        <v>43699.5</v>
      </c>
      <c r="K154">
        <v>0</v>
      </c>
      <c r="L154">
        <v>1575.5385169982901</v>
      </c>
      <c r="M154" t="s">
        <v>118</v>
      </c>
      <c r="N154">
        <v>360</v>
      </c>
      <c r="P154">
        <v>2</v>
      </c>
      <c r="Q154">
        <v>0.5</v>
      </c>
      <c r="R154">
        <v>100</v>
      </c>
      <c r="S154">
        <v>50</v>
      </c>
      <c r="T154">
        <v>0</v>
      </c>
      <c r="U154">
        <v>2</v>
      </c>
      <c r="V154" s="1" t="s">
        <v>28</v>
      </c>
      <c r="W154">
        <v>0.05</v>
      </c>
      <c r="X154">
        <v>6000</v>
      </c>
      <c r="Y154">
        <v>29580</v>
      </c>
      <c r="Z154">
        <v>4586</v>
      </c>
      <c r="AA154">
        <v>3533.5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</row>
    <row r="155" spans="1:34" x14ac:dyDescent="0.25">
      <c r="A155" t="s">
        <v>82</v>
      </c>
      <c r="B155" t="str" cm="1">
        <f t="array" ref="B155:F155">_xlfn.TEXTSPLIT(A155,"_")</f>
        <v>MVPRP</v>
      </c>
      <c r="C155" t="str">
        <v>C30</v>
      </c>
      <c r="D155" t="str">
        <v>P6</v>
      </c>
      <c r="E155" t="str">
        <v>V3</v>
      </c>
      <c r="F155" t="str">
        <v>I1</v>
      </c>
      <c r="G155" t="s">
        <v>137</v>
      </c>
      <c r="H155" t="s">
        <v>30</v>
      </c>
      <c r="I155">
        <v>58370.999852040499</v>
      </c>
      <c r="J155">
        <v>58337.748184958597</v>
      </c>
      <c r="K155">
        <v>5.6966074191187595E-4</v>
      </c>
      <c r="L155">
        <v>3600.0510439872701</v>
      </c>
      <c r="M155" t="s">
        <v>118</v>
      </c>
      <c r="N155">
        <v>228</v>
      </c>
      <c r="P155">
        <v>2</v>
      </c>
      <c r="Q155">
        <v>0.5</v>
      </c>
      <c r="R155">
        <v>100</v>
      </c>
      <c r="S155">
        <v>50</v>
      </c>
      <c r="T155">
        <v>0</v>
      </c>
      <c r="U155">
        <v>2</v>
      </c>
      <c r="V155" s="1" t="s">
        <v>28</v>
      </c>
      <c r="W155">
        <v>0.05</v>
      </c>
      <c r="X155">
        <v>6000</v>
      </c>
      <c r="Y155">
        <v>33149.999898718197</v>
      </c>
      <c r="Z155">
        <v>15611.9999533222</v>
      </c>
      <c r="AA155">
        <v>3609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</row>
    <row r="156" spans="1:34" x14ac:dyDescent="0.25">
      <c r="A156" t="s">
        <v>84</v>
      </c>
      <c r="B156" t="str" cm="1">
        <f t="array" ref="B156:F156">_xlfn.TEXTSPLIT(A156,"_")</f>
        <v>MVPRP</v>
      </c>
      <c r="C156" t="str">
        <v>C25</v>
      </c>
      <c r="D156" t="str">
        <v>P9</v>
      </c>
      <c r="E156" t="str">
        <v>V3</v>
      </c>
      <c r="F156" t="str">
        <v>I1</v>
      </c>
      <c r="G156" t="s">
        <v>137</v>
      </c>
      <c r="H156" t="s">
        <v>26</v>
      </c>
      <c r="I156">
        <v>95318.5</v>
      </c>
      <c r="J156">
        <v>95309.500866150003</v>
      </c>
      <c r="K156">
        <v>9.4411198770556399E-5</v>
      </c>
      <c r="L156">
        <v>1717.50952887535</v>
      </c>
      <c r="M156" t="s">
        <v>118</v>
      </c>
      <c r="N156">
        <v>189</v>
      </c>
      <c r="P156">
        <v>2</v>
      </c>
      <c r="Q156">
        <v>0.5</v>
      </c>
      <c r="R156">
        <v>100</v>
      </c>
      <c r="S156">
        <v>50</v>
      </c>
      <c r="T156">
        <v>0</v>
      </c>
      <c r="U156">
        <v>2</v>
      </c>
      <c r="V156" s="1" t="s">
        <v>28</v>
      </c>
      <c r="W156">
        <v>0.05</v>
      </c>
      <c r="X156">
        <v>9000</v>
      </c>
      <c r="Y156">
        <v>59880</v>
      </c>
      <c r="Z156">
        <v>19204</v>
      </c>
      <c r="AA156">
        <v>7234.5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</row>
    <row r="157" spans="1:34" x14ac:dyDescent="0.25">
      <c r="A157" t="s">
        <v>86</v>
      </c>
      <c r="B157" t="str" cm="1">
        <f t="array" ref="B157:F157">_xlfn.TEXTSPLIT(A157,"_")</f>
        <v>MVPRP</v>
      </c>
      <c r="C157" t="str">
        <v>C25</v>
      </c>
      <c r="D157" t="str">
        <v>P3</v>
      </c>
      <c r="E157" t="str">
        <v>V3</v>
      </c>
      <c r="F157" t="str">
        <v>I3</v>
      </c>
      <c r="G157" t="s">
        <v>137</v>
      </c>
      <c r="H157" t="s">
        <v>26</v>
      </c>
      <c r="I157">
        <v>31011.5</v>
      </c>
      <c r="J157">
        <v>31011.5</v>
      </c>
      <c r="K157">
        <v>0</v>
      </c>
      <c r="L157">
        <v>49.085165977477999</v>
      </c>
      <c r="M157" t="s">
        <v>118</v>
      </c>
      <c r="N157">
        <v>189</v>
      </c>
      <c r="P157">
        <v>2</v>
      </c>
      <c r="Q157">
        <v>0.5</v>
      </c>
      <c r="R157">
        <v>100</v>
      </c>
      <c r="S157">
        <v>50</v>
      </c>
      <c r="T157">
        <v>0</v>
      </c>
      <c r="U157">
        <v>2</v>
      </c>
      <c r="V157" s="1" t="s">
        <v>28</v>
      </c>
      <c r="W157">
        <v>0.05</v>
      </c>
      <c r="X157">
        <v>3000</v>
      </c>
      <c r="Y157">
        <v>14340</v>
      </c>
      <c r="Z157">
        <v>6083</v>
      </c>
      <c r="AA157">
        <v>7588.5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</row>
    <row r="158" spans="1:34" x14ac:dyDescent="0.25">
      <c r="A158" t="s">
        <v>88</v>
      </c>
      <c r="B158" t="str" cm="1">
        <f t="array" ref="B158:F158">_xlfn.TEXTSPLIT(A158,"_")</f>
        <v>MVPRP</v>
      </c>
      <c r="C158" t="str">
        <v>C15</v>
      </c>
      <c r="D158" t="str">
        <v>P6</v>
      </c>
      <c r="E158" t="str">
        <v>V3</v>
      </c>
      <c r="F158" t="str">
        <v>I1</v>
      </c>
      <c r="G158" t="s">
        <v>137</v>
      </c>
      <c r="H158" t="s">
        <v>26</v>
      </c>
      <c r="I158">
        <v>39771.5</v>
      </c>
      <c r="J158">
        <v>39771.5</v>
      </c>
      <c r="K158">
        <v>0</v>
      </c>
      <c r="L158">
        <v>1815.4872729778299</v>
      </c>
      <c r="M158" t="s">
        <v>118</v>
      </c>
      <c r="N158">
        <v>132</v>
      </c>
      <c r="P158">
        <v>2</v>
      </c>
      <c r="Q158">
        <v>0.5</v>
      </c>
      <c r="R158">
        <v>100</v>
      </c>
      <c r="S158">
        <v>50</v>
      </c>
      <c r="T158">
        <v>0</v>
      </c>
      <c r="U158">
        <v>2</v>
      </c>
      <c r="V158" s="1" t="s">
        <v>28</v>
      </c>
      <c r="W158">
        <v>0.05</v>
      </c>
      <c r="X158">
        <v>6000</v>
      </c>
      <c r="Y158">
        <v>19800</v>
      </c>
      <c r="Z158">
        <v>10042</v>
      </c>
      <c r="AA158">
        <v>3929.5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</row>
    <row r="159" spans="1:34" x14ac:dyDescent="0.25">
      <c r="A159" t="s">
        <v>90</v>
      </c>
      <c r="B159" t="str" cm="1">
        <f t="array" ref="B159:F159">_xlfn.TEXTSPLIT(A159,"_")</f>
        <v>MVPRP</v>
      </c>
      <c r="C159" t="str">
        <v>C15</v>
      </c>
      <c r="D159" t="str">
        <v>P3</v>
      </c>
      <c r="E159" t="str">
        <v>V3</v>
      </c>
      <c r="F159" t="str">
        <v>I1</v>
      </c>
      <c r="G159" t="s">
        <v>137</v>
      </c>
      <c r="H159" t="s">
        <v>26</v>
      </c>
      <c r="I159">
        <v>18296</v>
      </c>
      <c r="J159">
        <v>18296</v>
      </c>
      <c r="K159">
        <v>0</v>
      </c>
      <c r="L159">
        <v>19.071405172348001</v>
      </c>
      <c r="M159" t="s">
        <v>118</v>
      </c>
      <c r="N159">
        <v>132</v>
      </c>
      <c r="P159">
        <v>2</v>
      </c>
      <c r="Q159">
        <v>0.5</v>
      </c>
      <c r="R159">
        <v>100</v>
      </c>
      <c r="S159">
        <v>50</v>
      </c>
      <c r="T159">
        <v>0</v>
      </c>
      <c r="U159">
        <v>2</v>
      </c>
      <c r="V159" s="1" t="s">
        <v>28</v>
      </c>
      <c r="W159">
        <v>0.05</v>
      </c>
      <c r="X159">
        <v>3000</v>
      </c>
      <c r="Y159">
        <v>9960</v>
      </c>
      <c r="Z159">
        <v>3581</v>
      </c>
      <c r="AA159">
        <v>1755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</row>
    <row r="160" spans="1:34" x14ac:dyDescent="0.25">
      <c r="A160" t="s">
        <v>92</v>
      </c>
      <c r="B160" t="str" cm="1">
        <f t="array" ref="B160:F160">_xlfn.TEXTSPLIT(A160,"_")</f>
        <v>MVPRP</v>
      </c>
      <c r="C160" t="str">
        <v>C20</v>
      </c>
      <c r="D160" t="str">
        <v>P6</v>
      </c>
      <c r="E160" t="str">
        <v>V3</v>
      </c>
      <c r="F160" t="str">
        <v>I3</v>
      </c>
      <c r="G160" t="s">
        <v>137</v>
      </c>
      <c r="H160" t="s">
        <v>30</v>
      </c>
      <c r="I160">
        <v>55322.499816250303</v>
      </c>
      <c r="J160">
        <v>54992.145958273097</v>
      </c>
      <c r="K160">
        <v>5.9714195684285399E-3</v>
      </c>
      <c r="L160">
        <v>3600.04701304436</v>
      </c>
      <c r="M160" t="s">
        <v>118</v>
      </c>
      <c r="N160">
        <v>189</v>
      </c>
      <c r="P160">
        <v>2</v>
      </c>
      <c r="Q160">
        <v>0.5</v>
      </c>
      <c r="R160">
        <v>100</v>
      </c>
      <c r="S160">
        <v>50</v>
      </c>
      <c r="T160">
        <v>0</v>
      </c>
      <c r="U160">
        <v>2</v>
      </c>
      <c r="V160" s="1" t="s">
        <v>28</v>
      </c>
      <c r="W160">
        <v>0.05</v>
      </c>
      <c r="X160">
        <v>6000</v>
      </c>
      <c r="Y160">
        <v>23820</v>
      </c>
      <c r="Z160">
        <v>14425</v>
      </c>
      <c r="AA160">
        <v>11077.4998162503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</row>
    <row r="161" spans="1:34" x14ac:dyDescent="0.25">
      <c r="A161" t="s">
        <v>94</v>
      </c>
      <c r="B161" t="str" cm="1">
        <f t="array" ref="B161:F161">_xlfn.TEXTSPLIT(A161,"_")</f>
        <v>MVPRP</v>
      </c>
      <c r="C161" t="str">
        <v>C20</v>
      </c>
      <c r="D161" t="str">
        <v>P9</v>
      </c>
      <c r="E161" t="str">
        <v>V3</v>
      </c>
      <c r="F161" t="str">
        <v>I3</v>
      </c>
      <c r="G161" t="s">
        <v>137</v>
      </c>
      <c r="H161" t="s">
        <v>30</v>
      </c>
      <c r="I161">
        <v>96525.499358178204</v>
      </c>
      <c r="J161">
        <v>96159.489974376498</v>
      </c>
      <c r="K161">
        <v>3.7918413915008901E-3</v>
      </c>
      <c r="L161">
        <v>3600.0966207981101</v>
      </c>
      <c r="M161" t="s">
        <v>118</v>
      </c>
      <c r="N161">
        <v>189</v>
      </c>
      <c r="P161">
        <v>2</v>
      </c>
      <c r="Q161">
        <v>0.5</v>
      </c>
      <c r="R161">
        <v>100</v>
      </c>
      <c r="S161">
        <v>50</v>
      </c>
      <c r="T161">
        <v>0</v>
      </c>
      <c r="U161">
        <v>2</v>
      </c>
      <c r="V161" s="1" t="s">
        <v>28</v>
      </c>
      <c r="W161">
        <v>0.05</v>
      </c>
      <c r="X161">
        <v>9000</v>
      </c>
      <c r="Y161">
        <v>48119.999645334399</v>
      </c>
      <c r="Z161">
        <v>17500.999712843801</v>
      </c>
      <c r="AA161">
        <v>21904.5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</row>
    <row r="162" spans="1:34" x14ac:dyDescent="0.25">
      <c r="A162" t="s">
        <v>96</v>
      </c>
      <c r="B162" t="str" cm="1">
        <f t="array" ref="B162:F162">_xlfn.TEXTSPLIT(A162,"_")</f>
        <v>MVPRP</v>
      </c>
      <c r="C162" t="str">
        <v>C40</v>
      </c>
      <c r="D162" t="str">
        <v>P6</v>
      </c>
      <c r="E162" t="str">
        <v>V3</v>
      </c>
      <c r="F162" t="str">
        <v>I3</v>
      </c>
      <c r="G162" t="s">
        <v>137</v>
      </c>
      <c r="H162" t="s">
        <v>30</v>
      </c>
      <c r="I162">
        <v>108069.999896496</v>
      </c>
      <c r="J162">
        <v>106696.701272203</v>
      </c>
      <c r="K162">
        <v>1.27074916776955E-2</v>
      </c>
      <c r="L162">
        <v>3600.1495361328102</v>
      </c>
      <c r="M162" t="s">
        <v>118</v>
      </c>
      <c r="N162">
        <v>360</v>
      </c>
      <c r="P162">
        <v>2</v>
      </c>
      <c r="Q162">
        <v>0.5</v>
      </c>
      <c r="R162">
        <v>100</v>
      </c>
      <c r="S162">
        <v>50</v>
      </c>
      <c r="T162">
        <v>0</v>
      </c>
      <c r="U162">
        <v>2</v>
      </c>
      <c r="V162" s="1" t="s">
        <v>28</v>
      </c>
      <c r="W162">
        <v>0.05</v>
      </c>
      <c r="X162">
        <v>6000</v>
      </c>
      <c r="Y162">
        <v>55169.999999606502</v>
      </c>
      <c r="Z162">
        <v>31048.000066417098</v>
      </c>
      <c r="AA162">
        <v>15851.9998304725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</row>
    <row r="163" spans="1:34" x14ac:dyDescent="0.25">
      <c r="A163" t="s">
        <v>98</v>
      </c>
      <c r="B163" t="str" cm="1">
        <f t="array" ref="B163:F163">_xlfn.TEXTSPLIT(A163,"_")</f>
        <v>MVPRP</v>
      </c>
      <c r="C163" t="str">
        <v>C20</v>
      </c>
      <c r="D163" t="str">
        <v>P9</v>
      </c>
      <c r="E163" t="str">
        <v>V3</v>
      </c>
      <c r="F163" t="str">
        <v>I1</v>
      </c>
      <c r="G163" t="s">
        <v>137</v>
      </c>
      <c r="H163" t="s">
        <v>26</v>
      </c>
      <c r="I163">
        <v>77944.999831541107</v>
      </c>
      <c r="J163">
        <v>77943.090053310094</v>
      </c>
      <c r="K163">
        <v>2.45016131255053E-5</v>
      </c>
      <c r="L163">
        <v>192.42560005188</v>
      </c>
      <c r="M163" t="s">
        <v>118</v>
      </c>
      <c r="N163">
        <v>189</v>
      </c>
      <c r="P163">
        <v>2</v>
      </c>
      <c r="Q163">
        <v>0.5</v>
      </c>
      <c r="R163">
        <v>100</v>
      </c>
      <c r="S163">
        <v>50</v>
      </c>
      <c r="T163">
        <v>0</v>
      </c>
      <c r="U163">
        <v>2</v>
      </c>
      <c r="V163" s="1" t="s">
        <v>28</v>
      </c>
      <c r="W163">
        <v>0.05</v>
      </c>
      <c r="X163">
        <v>9000</v>
      </c>
      <c r="Y163">
        <v>48119.999849458203</v>
      </c>
      <c r="Z163">
        <v>15031.9999820829</v>
      </c>
      <c r="AA163">
        <v>5793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</row>
    <row r="164" spans="1:34" x14ac:dyDescent="0.25">
      <c r="A164" t="s">
        <v>100</v>
      </c>
      <c r="B164" t="str" cm="1">
        <f t="array" ref="B164:F164">_xlfn.TEXTSPLIT(A164,"_")</f>
        <v>MVPRP</v>
      </c>
      <c r="C164" t="str">
        <v>C15</v>
      </c>
      <c r="D164" t="str">
        <v>P9</v>
      </c>
      <c r="E164" t="str">
        <v>V3</v>
      </c>
      <c r="F164" t="str">
        <v>I3</v>
      </c>
      <c r="G164" t="s">
        <v>137</v>
      </c>
      <c r="H164" t="s">
        <v>30</v>
      </c>
      <c r="I164">
        <v>89063.999121602406</v>
      </c>
      <c r="J164">
        <v>88001.963644798205</v>
      </c>
      <c r="K164">
        <v>1.19244081478321E-2</v>
      </c>
      <c r="L164">
        <v>3600.0441670417799</v>
      </c>
      <c r="M164" t="s">
        <v>118</v>
      </c>
      <c r="N164">
        <v>132</v>
      </c>
      <c r="P164">
        <v>2</v>
      </c>
      <c r="Q164">
        <v>0.5</v>
      </c>
      <c r="R164">
        <v>100</v>
      </c>
      <c r="S164">
        <v>50</v>
      </c>
      <c r="T164">
        <v>0</v>
      </c>
      <c r="U164">
        <v>2</v>
      </c>
      <c r="V164" s="1" t="s">
        <v>28</v>
      </c>
      <c r="W164">
        <v>0.05</v>
      </c>
      <c r="X164">
        <v>9000</v>
      </c>
      <c r="Y164">
        <v>40949.999987188297</v>
      </c>
      <c r="Z164">
        <v>16372.999968296501</v>
      </c>
      <c r="AA164">
        <v>22740.999166117599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</row>
    <row r="165" spans="1:34" x14ac:dyDescent="0.25">
      <c r="A165" t="s">
        <v>102</v>
      </c>
      <c r="B165" t="str" cm="1">
        <f t="array" ref="B165:F165">_xlfn.TEXTSPLIT(A165,"_")</f>
        <v>MVPRP</v>
      </c>
      <c r="C165" t="str">
        <v>C30</v>
      </c>
      <c r="D165" t="str">
        <v>P9</v>
      </c>
      <c r="E165" t="str">
        <v>V3</v>
      </c>
      <c r="F165" t="str">
        <v>I1</v>
      </c>
      <c r="G165" t="s">
        <v>137</v>
      </c>
      <c r="H165" t="s">
        <v>30</v>
      </c>
      <c r="I165">
        <v>104120</v>
      </c>
      <c r="J165">
        <v>103658.355906187</v>
      </c>
      <c r="K165">
        <v>4.4337696293953802E-3</v>
      </c>
      <c r="L165">
        <v>3600.1525189876602</v>
      </c>
      <c r="M165" t="s">
        <v>118</v>
      </c>
      <c r="N165">
        <v>228</v>
      </c>
      <c r="P165">
        <v>2</v>
      </c>
      <c r="Q165">
        <v>0.5</v>
      </c>
      <c r="R165">
        <v>100</v>
      </c>
      <c r="S165">
        <v>50</v>
      </c>
      <c r="T165">
        <v>0</v>
      </c>
      <c r="U165">
        <v>2</v>
      </c>
      <c r="V165" s="1" t="s">
        <v>28</v>
      </c>
      <c r="W165">
        <v>0.05</v>
      </c>
      <c r="X165">
        <v>12000</v>
      </c>
      <c r="Y165">
        <v>67710</v>
      </c>
      <c r="Z165">
        <v>16173</v>
      </c>
      <c r="AA165">
        <v>8237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</row>
    <row r="166" spans="1:34" x14ac:dyDescent="0.25">
      <c r="A166" t="s">
        <v>104</v>
      </c>
      <c r="B166" t="str" cm="1">
        <f t="array" ref="B166:F166">_xlfn.TEXTSPLIT(A166,"_")</f>
        <v>MVPRP</v>
      </c>
      <c r="C166" t="str">
        <v>C10</v>
      </c>
      <c r="D166" t="str">
        <v>P9</v>
      </c>
      <c r="E166" t="str">
        <v>V3</v>
      </c>
      <c r="F166" t="str">
        <v>I1</v>
      </c>
      <c r="G166" t="s">
        <v>137</v>
      </c>
      <c r="H166" t="s">
        <v>26</v>
      </c>
      <c r="I166">
        <v>48654.5</v>
      </c>
      <c r="J166">
        <v>48654.5</v>
      </c>
      <c r="K166">
        <v>0</v>
      </c>
      <c r="L166">
        <v>39.388911008834803</v>
      </c>
      <c r="M166" t="s">
        <v>118</v>
      </c>
      <c r="N166">
        <v>132</v>
      </c>
      <c r="P166">
        <v>2</v>
      </c>
      <c r="Q166">
        <v>0.5</v>
      </c>
      <c r="R166">
        <v>100</v>
      </c>
      <c r="S166">
        <v>50</v>
      </c>
      <c r="T166">
        <v>0</v>
      </c>
      <c r="U166">
        <v>2</v>
      </c>
      <c r="V166" s="1" t="s">
        <v>28</v>
      </c>
      <c r="W166">
        <v>0.05</v>
      </c>
      <c r="X166">
        <v>9000</v>
      </c>
      <c r="Y166">
        <v>26370</v>
      </c>
      <c r="Z166">
        <v>9066</v>
      </c>
      <c r="AA166">
        <v>4218.5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</row>
    <row r="167" spans="1:34" x14ac:dyDescent="0.25">
      <c r="A167" t="s">
        <v>106</v>
      </c>
      <c r="B167" t="str" cm="1">
        <f t="array" ref="B167:F167">_xlfn.TEXTSPLIT(A167,"_")</f>
        <v>MVPRP</v>
      </c>
      <c r="C167" t="str">
        <v>C30</v>
      </c>
      <c r="D167" t="str">
        <v>P3</v>
      </c>
      <c r="E167" t="str">
        <v>V3</v>
      </c>
      <c r="F167" t="str">
        <v>I1</v>
      </c>
      <c r="G167" t="s">
        <v>137</v>
      </c>
      <c r="H167" t="s">
        <v>26</v>
      </c>
      <c r="I167">
        <v>27227.5</v>
      </c>
      <c r="J167">
        <v>27227.5</v>
      </c>
      <c r="K167">
        <v>0</v>
      </c>
      <c r="L167">
        <v>293.42446899414102</v>
      </c>
      <c r="M167" t="s">
        <v>118</v>
      </c>
      <c r="N167">
        <v>228</v>
      </c>
      <c r="P167">
        <v>2</v>
      </c>
      <c r="Q167">
        <v>0.5</v>
      </c>
      <c r="R167">
        <v>100</v>
      </c>
      <c r="S167">
        <v>50</v>
      </c>
      <c r="T167">
        <v>0</v>
      </c>
      <c r="U167">
        <v>2</v>
      </c>
      <c r="V167" s="1" t="s">
        <v>28</v>
      </c>
      <c r="W167">
        <v>0.05</v>
      </c>
      <c r="X167">
        <v>3000</v>
      </c>
      <c r="Y167">
        <v>16680</v>
      </c>
      <c r="Z167">
        <v>5477</v>
      </c>
      <c r="AA167">
        <v>2070.5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</row>
    <row r="168" spans="1:34" x14ac:dyDescent="0.25">
      <c r="A168" t="s">
        <v>108</v>
      </c>
      <c r="B168" t="str" cm="1">
        <f t="array" ref="B168:F168">_xlfn.TEXTSPLIT(A168,"_")</f>
        <v>MVPRP</v>
      </c>
      <c r="C168" t="str">
        <v>C10</v>
      </c>
      <c r="D168" t="str">
        <v>P9</v>
      </c>
      <c r="E168" t="str">
        <v>V3</v>
      </c>
      <c r="F168" t="str">
        <v>I3</v>
      </c>
      <c r="G168" t="s">
        <v>137</v>
      </c>
      <c r="H168" t="s">
        <v>26</v>
      </c>
      <c r="I168">
        <v>61035.5</v>
      </c>
      <c r="J168">
        <v>61033.606355002797</v>
      </c>
      <c r="K168">
        <v>3.1025304900483003E-5</v>
      </c>
      <c r="L168">
        <v>234.87872982025101</v>
      </c>
      <c r="M168" t="s">
        <v>118</v>
      </c>
      <c r="N168">
        <v>132</v>
      </c>
      <c r="P168">
        <v>2</v>
      </c>
      <c r="Q168">
        <v>0.5</v>
      </c>
      <c r="R168">
        <v>100</v>
      </c>
      <c r="S168">
        <v>50</v>
      </c>
      <c r="T168">
        <v>0</v>
      </c>
      <c r="U168">
        <v>2</v>
      </c>
      <c r="V168" s="1" t="s">
        <v>28</v>
      </c>
      <c r="W168">
        <v>0.05</v>
      </c>
      <c r="X168">
        <v>9000</v>
      </c>
      <c r="Y168">
        <v>26370</v>
      </c>
      <c r="Z168">
        <v>12609</v>
      </c>
      <c r="AA168">
        <v>13056.5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</row>
    <row r="169" spans="1:34" x14ac:dyDescent="0.25">
      <c r="A169" t="s">
        <v>110</v>
      </c>
      <c r="B169" t="str" cm="1">
        <f t="array" ref="B169:F169">_xlfn.TEXTSPLIT(A169,"_")</f>
        <v>MVPRP</v>
      </c>
      <c r="C169" t="str">
        <v>C25</v>
      </c>
      <c r="D169" t="str">
        <v>P9</v>
      </c>
      <c r="E169" t="str">
        <v>V3</v>
      </c>
      <c r="F169" t="str">
        <v>I3</v>
      </c>
      <c r="G169" t="s">
        <v>137</v>
      </c>
      <c r="H169" t="s">
        <v>30</v>
      </c>
      <c r="I169">
        <v>116251.499881542</v>
      </c>
      <c r="J169">
        <v>115245.010231066</v>
      </c>
      <c r="K169">
        <v>8.65786378241621E-3</v>
      </c>
      <c r="L169">
        <v>3600.0542008876801</v>
      </c>
      <c r="M169" t="s">
        <v>118</v>
      </c>
      <c r="N169">
        <v>189</v>
      </c>
      <c r="P169">
        <v>2</v>
      </c>
      <c r="Q169">
        <v>0.5</v>
      </c>
      <c r="R169">
        <v>100</v>
      </c>
      <c r="S169">
        <v>50</v>
      </c>
      <c r="T169">
        <v>0</v>
      </c>
      <c r="U169">
        <v>2</v>
      </c>
      <c r="V169" s="1" t="s">
        <v>28</v>
      </c>
      <c r="W169">
        <v>0.05</v>
      </c>
      <c r="X169">
        <v>9000</v>
      </c>
      <c r="Y169">
        <v>59880</v>
      </c>
      <c r="Z169">
        <v>23093</v>
      </c>
      <c r="AA169">
        <v>24278.4998815422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Tabelle3</vt:lpstr>
      <vt:lpstr>GenPivot</vt:lpstr>
      <vt:lpstr>Pivot</vt:lpstr>
      <vt:lpstr>model4_16_threads_MIPstart_med3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Rocha, Luis</cp:lastModifiedBy>
  <cp:revision>0</cp:revision>
  <dcterms:modified xsi:type="dcterms:W3CDTF">2026-02-04T16:34:30Z</dcterms:modified>
  <dc:language>en-US</dc:language>
</cp:coreProperties>
</file>